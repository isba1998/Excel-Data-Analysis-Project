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updateLinks="never" hidePivotFieldList="1"/>
  <mc:AlternateContent xmlns:mc="http://schemas.openxmlformats.org/markup-compatibility/2006">
    <mc:Choice Requires="x15">
      <x15ac:absPath xmlns:x15ac="http://schemas.microsoft.com/office/spreadsheetml/2010/11/ac" url="https://d.docs.live.net/86f3b031737c0651/Documents/"/>
    </mc:Choice>
  </mc:AlternateContent>
  <xr:revisionPtr revIDLastSave="0" documentId="8_{457F38DD-2425-4784-B9ED-7F64F0933B51}" xr6:coauthVersionLast="47" xr6:coauthVersionMax="47" xr10:uidLastSave="{00000000-0000-0000-0000-000000000000}"/>
  <bookViews>
    <workbookView xWindow="-120" yWindow="-120" windowWidth="20730" windowHeight="11040" firstSheet="1" activeTab="8" xr2:uid="{74ED38BB-AF75-4B21-A0DE-05AAE353F54E}"/>
  </bookViews>
  <sheets>
    <sheet name="Sheet4" sheetId="13" state="hidden" r:id="rId1"/>
    <sheet name="Personal Data" sheetId="12" r:id="rId2"/>
    <sheet name="Isba_Asghar_ExcData.xlsx (2)" sheetId="9" state="hidden" r:id="rId3"/>
    <sheet name="Categorization" sheetId="4" r:id="rId4"/>
    <sheet name="Economic Value" sheetId="5" r:id="rId5"/>
    <sheet name="Statistics" sheetId="6" r:id="rId6"/>
    <sheet name="Sheet1" sheetId="10" state="hidden" r:id="rId7"/>
    <sheet name="Search functions" sheetId="7" r:id="rId8"/>
    <sheet name="Optimal Allocation" sheetId="8" r:id="rId9"/>
  </sheets>
  <definedNames>
    <definedName name="_xlchart.v1.0" hidden="1">'Isba_Asghar_ExcData.xlsx (2)'!$B$1002</definedName>
    <definedName name="_xlchart.v1.1" hidden="1">'Isba_Asghar_ExcData.xlsx (2)'!$B$1:$B$1001</definedName>
    <definedName name="_xlchart.v1.2" hidden="1">'Personal Data'!$B$2:$B$1002</definedName>
    <definedName name="_xlchart.v1.3" hidden="1">'Personal Data'!$F$1</definedName>
    <definedName name="_xlchart.v1.4" hidden="1">'Personal Data'!$F$2:$F$1002</definedName>
    <definedName name="solver_adj" localSheetId="8" hidden="1">'Optimal Allocation'!$C$15:$G$24</definedName>
    <definedName name="solver_cvg" localSheetId="8" hidden="1">0.0001</definedName>
    <definedName name="solver_drv" localSheetId="8" hidden="1">2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'Optimal Allocation'!$C$15:$G$24</definedName>
    <definedName name="solver_lhs2" localSheetId="8" hidden="1">'Optimal Allocation'!$C$25:$G$25</definedName>
    <definedName name="solver_lhs3" localSheetId="8" hidden="1">'Optimal Allocation'!$H$15:$H$24</definedName>
    <definedName name="solver_lhs4" localSheetId="8" hidden="1">'Optimal Allocation'!$C$16:$G$24</definedName>
    <definedName name="solver_lhs5" localSheetId="8" hidden="1">'Optimal Allocation'!$C$16:$G$24</definedName>
    <definedName name="solver_lhs6" localSheetId="8" hidden="1">'Optimal Allocation'!$C$16:$G$24</definedName>
    <definedName name="solver_lhs7" localSheetId="8" hidden="1">'Optimal Allocation'!$C$18:$G$18</definedName>
    <definedName name="solver_lhs8" localSheetId="8" hidden="1">'Optimal Allocation'!$C$18:$G$18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3</definedName>
    <definedName name="solver_nwt" localSheetId="8" hidden="1">1</definedName>
    <definedName name="solver_opt" localSheetId="8" hidden="1">'Optimal Allocation'!$I$20</definedName>
    <definedName name="solver_pre" localSheetId="8" hidden="1">0.000001</definedName>
    <definedName name="solver_rbv" localSheetId="8" hidden="1">2</definedName>
    <definedName name="solver_rel1" localSheetId="8" hidden="1">5</definedName>
    <definedName name="solver_rel2" localSheetId="8" hidden="1">1</definedName>
    <definedName name="solver_rel3" localSheetId="8" hidden="1">2</definedName>
    <definedName name="solver_rel4" localSheetId="8" hidden="1">2</definedName>
    <definedName name="solver_rel5" localSheetId="8" hidden="1">2</definedName>
    <definedName name="solver_rel6" localSheetId="8" hidden="1">2</definedName>
    <definedName name="solver_rel7" localSheetId="8" hidden="1">2</definedName>
    <definedName name="solver_rel8" localSheetId="8" hidden="1">2</definedName>
    <definedName name="solver_rhs1" localSheetId="8" hidden="1">"binary"</definedName>
    <definedName name="solver_rhs2" localSheetId="8" hidden="1">2</definedName>
    <definedName name="solver_rhs3" localSheetId="8" hidden="1">1</definedName>
    <definedName name="solver_rhs4" localSheetId="8" hidden="1">2</definedName>
    <definedName name="solver_rhs5" localSheetId="8" hidden="1">2</definedName>
    <definedName name="solver_rhs6" localSheetId="8" hidden="1">2</definedName>
    <definedName name="solver_rhs7" localSheetId="8" hidden="1">2</definedName>
    <definedName name="solver_rhs8" localSheetId="8" hidden="1">2</definedName>
    <definedName name="solver_rlx" localSheetId="8" hidden="1">2</definedName>
    <definedName name="solver_rsd" localSheetId="8" hidden="1">0</definedName>
    <definedName name="solver_scl" localSheetId="8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</definedNames>
  <calcPr calcId="191028"/>
  <pivotCaches>
    <pivotCache cacheId="217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20" i="8"/>
  <c r="H21" i="8"/>
  <c r="H22" i="8"/>
  <c r="B26" i="8"/>
  <c r="H15" i="8"/>
  <c r="E25" i="8"/>
  <c r="G25" i="8"/>
  <c r="F25" i="8"/>
  <c r="D25" i="8"/>
  <c r="C25" i="8"/>
  <c r="H16" i="8"/>
  <c r="H17" i="8"/>
  <c r="H18" i="8"/>
  <c r="H23" i="8"/>
  <c r="H24" i="8"/>
  <c r="L9" i="7" a="1"/>
  <c r="L9" i="7" s="1"/>
  <c r="P6" i="7"/>
  <c r="O6" i="7"/>
  <c r="N6" i="7"/>
  <c r="M6" i="7"/>
  <c r="L6" i="7"/>
  <c r="K6" i="7"/>
  <c r="J6" i="7"/>
  <c r="I6" i="7"/>
  <c r="H6" i="7"/>
  <c r="G6" i="7"/>
  <c r="F6" i="7"/>
  <c r="E6" i="7"/>
  <c r="D6" i="7"/>
  <c r="A6" i="7"/>
  <c r="C6" i="7"/>
  <c r="B6" i="7"/>
  <c r="Z12" i="5"/>
  <c r="Z13" i="5"/>
  <c r="Z14" i="5"/>
  <c r="Z15" i="5"/>
  <c r="Z16" i="5"/>
  <c r="Z17" i="5"/>
  <c r="Z18" i="5"/>
  <c r="Z19" i="5"/>
  <c r="Z20" i="5"/>
  <c r="Y20" i="5"/>
  <c r="Y19" i="5"/>
  <c r="Y18" i="5"/>
  <c r="Y17" i="5"/>
  <c r="Y16" i="5"/>
  <c r="Y15" i="5"/>
  <c r="Y14" i="5"/>
  <c r="Y13" i="5"/>
  <c r="Y12" i="5"/>
  <c r="Z11" i="5"/>
  <c r="Y11" i="5"/>
  <c r="X19" i="5"/>
  <c r="X18" i="5"/>
  <c r="X17" i="5"/>
  <c r="X16" i="5"/>
  <c r="X15" i="5"/>
  <c r="X14" i="5"/>
  <c r="X13" i="5"/>
  <c r="X12" i="5"/>
  <c r="X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81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2" i="5"/>
  <c r="R2" i="4"/>
  <c r="R5" i="4"/>
  <c r="R178" i="4"/>
  <c r="R43" i="4"/>
  <c r="R985" i="4"/>
  <c r="R179" i="4"/>
  <c r="R54" i="4"/>
  <c r="R705" i="4"/>
  <c r="R180" i="4"/>
  <c r="R181" i="4"/>
  <c r="R111" i="4"/>
  <c r="R182" i="4"/>
  <c r="R183" i="4"/>
  <c r="R599" i="4"/>
  <c r="R858" i="4"/>
  <c r="R55" i="4"/>
  <c r="R600" i="4"/>
  <c r="R184" i="4"/>
  <c r="R833" i="4"/>
  <c r="R979" i="4"/>
  <c r="R859" i="4"/>
  <c r="R706" i="4"/>
  <c r="R185" i="4"/>
  <c r="R805" i="4"/>
  <c r="R860" i="4"/>
  <c r="R186" i="4"/>
  <c r="R601" i="4"/>
  <c r="R187" i="4"/>
  <c r="R846" i="4"/>
  <c r="R861" i="4"/>
  <c r="R66" i="4"/>
  <c r="R188" i="4"/>
  <c r="R189" i="4"/>
  <c r="R79" i="4"/>
  <c r="R707" i="4"/>
  <c r="R12" i="4"/>
  <c r="R190" i="4"/>
  <c r="R695" i="4"/>
  <c r="R191" i="4"/>
  <c r="R862" i="4"/>
  <c r="R192" i="4"/>
  <c r="R863" i="4"/>
  <c r="R193" i="4"/>
  <c r="R112" i="4"/>
  <c r="R864" i="4"/>
  <c r="R194" i="4"/>
  <c r="R865" i="4"/>
  <c r="R13" i="4"/>
  <c r="R195" i="4"/>
  <c r="R986" i="4"/>
  <c r="R125" i="4"/>
  <c r="R196" i="4"/>
  <c r="R197" i="4"/>
  <c r="R987" i="4"/>
  <c r="R708" i="4"/>
  <c r="R75" i="4"/>
  <c r="R198" i="4"/>
  <c r="R806" i="4"/>
  <c r="R199" i="4"/>
  <c r="R113" i="4"/>
  <c r="R602" i="4"/>
  <c r="R200" i="4"/>
  <c r="R201" i="4"/>
  <c r="R202" i="4"/>
  <c r="R203" i="4"/>
  <c r="R709" i="4"/>
  <c r="R842" i="4"/>
  <c r="R204" i="4"/>
  <c r="R696" i="4"/>
  <c r="R710" i="4"/>
  <c r="R603" i="4"/>
  <c r="R205" i="4"/>
  <c r="R711" i="4"/>
  <c r="R866" i="4"/>
  <c r="R206" i="4"/>
  <c r="R712" i="4"/>
  <c r="R867" i="4"/>
  <c r="R207" i="4"/>
  <c r="R126" i="4"/>
  <c r="R604" i="4"/>
  <c r="R80" i="4"/>
  <c r="R208" i="4"/>
  <c r="R209" i="4"/>
  <c r="R713" i="4"/>
  <c r="R14" i="4"/>
  <c r="R714" i="4"/>
  <c r="R210" i="4"/>
  <c r="R715" i="4"/>
  <c r="R211" i="4"/>
  <c r="R716" i="4"/>
  <c r="R81" i="4"/>
  <c r="R212" i="4"/>
  <c r="R67" i="4"/>
  <c r="R213" i="4"/>
  <c r="R214" i="4"/>
  <c r="R807" i="4"/>
  <c r="R605" i="4"/>
  <c r="R215" i="4"/>
  <c r="R216" i="4"/>
  <c r="R217" i="4"/>
  <c r="R868" i="4"/>
  <c r="R15" i="4"/>
  <c r="R869" i="4"/>
  <c r="R606" i="4"/>
  <c r="R218" i="4"/>
  <c r="R607" i="4"/>
  <c r="R219" i="4"/>
  <c r="R608" i="4"/>
  <c r="R717" i="4"/>
  <c r="R220" i="4"/>
  <c r="R44" i="4"/>
  <c r="R718" i="4"/>
  <c r="R221" i="4"/>
  <c r="R847" i="4"/>
  <c r="R222" i="4"/>
  <c r="R223" i="4"/>
  <c r="R959" i="4"/>
  <c r="R82" i="4"/>
  <c r="R960" i="4"/>
  <c r="R224" i="4"/>
  <c r="R609" i="4"/>
  <c r="R225" i="4"/>
  <c r="R610" i="4"/>
  <c r="R127" i="4"/>
  <c r="R226" i="4"/>
  <c r="R227" i="4"/>
  <c r="R228" i="4"/>
  <c r="R229" i="4"/>
  <c r="R870" i="4"/>
  <c r="R230" i="4"/>
  <c r="R719" i="4"/>
  <c r="R834" i="4"/>
  <c r="R720" i="4"/>
  <c r="R871" i="4"/>
  <c r="R231" i="4"/>
  <c r="R611" i="4"/>
  <c r="R232" i="4"/>
  <c r="R612" i="4"/>
  <c r="R872" i="4"/>
  <c r="R233" i="4"/>
  <c r="R873" i="4"/>
  <c r="R128" i="4"/>
  <c r="R234" i="4"/>
  <c r="R235" i="4"/>
  <c r="R874" i="4"/>
  <c r="R16" i="4"/>
  <c r="R236" i="4"/>
  <c r="R875" i="4"/>
  <c r="R721" i="4"/>
  <c r="R237" i="4"/>
  <c r="R613" i="4"/>
  <c r="R697" i="4"/>
  <c r="R614" i="4"/>
  <c r="R56" i="4"/>
  <c r="R238" i="4"/>
  <c r="R239" i="4"/>
  <c r="R722" i="4"/>
  <c r="R240" i="4"/>
  <c r="R723" i="4"/>
  <c r="R241" i="4"/>
  <c r="R242" i="4"/>
  <c r="R988" i="4"/>
  <c r="R83" i="4"/>
  <c r="R243" i="4"/>
  <c r="R989" i="4"/>
  <c r="R615" i="4"/>
  <c r="R244" i="4"/>
  <c r="R114" i="4"/>
  <c r="R876" i="4"/>
  <c r="R877" i="4"/>
  <c r="R616" i="4"/>
  <c r="R245" i="4"/>
  <c r="R617" i="4"/>
  <c r="R246" i="4"/>
  <c r="R247" i="4"/>
  <c r="R808" i="4"/>
  <c r="R129" i="4"/>
  <c r="R248" i="4"/>
  <c r="R809" i="4"/>
  <c r="R249" i="4"/>
  <c r="R724" i="4"/>
  <c r="R725" i="4"/>
  <c r="R878" i="4"/>
  <c r="R250" i="4"/>
  <c r="R879" i="4"/>
  <c r="R880" i="4"/>
  <c r="R17" i="4"/>
  <c r="R618" i="4"/>
  <c r="R961" i="4"/>
  <c r="R726" i="4"/>
  <c r="R881" i="4"/>
  <c r="R990" i="4"/>
  <c r="R727" i="4"/>
  <c r="R84" i="4"/>
  <c r="R619" i="4"/>
  <c r="R991" i="4"/>
  <c r="R810" i="4"/>
  <c r="R620" i="4"/>
  <c r="R130" i="4"/>
  <c r="R68" i="4"/>
  <c r="R251" i="4"/>
  <c r="R252" i="4"/>
  <c r="R253" i="4"/>
  <c r="R254" i="4"/>
  <c r="R255" i="4"/>
  <c r="R256" i="4"/>
  <c r="R257" i="4"/>
  <c r="R258" i="4"/>
  <c r="R131" i="4"/>
  <c r="R85" i="4"/>
  <c r="R18" i="4"/>
  <c r="R259" i="4"/>
  <c r="R260" i="4"/>
  <c r="R261" i="4"/>
  <c r="R262" i="4"/>
  <c r="R621" i="4"/>
  <c r="R263" i="4"/>
  <c r="R728" i="4"/>
  <c r="R264" i="4"/>
  <c r="R132" i="4"/>
  <c r="R882" i="4"/>
  <c r="R265" i="4"/>
  <c r="R86" i="4"/>
  <c r="R266" i="4"/>
  <c r="R267" i="4"/>
  <c r="R19" i="4"/>
  <c r="R268" i="4"/>
  <c r="R269" i="4"/>
  <c r="R270" i="4"/>
  <c r="R271" i="4"/>
  <c r="R272" i="4"/>
  <c r="R273" i="4"/>
  <c r="R6" i="4"/>
  <c r="R274" i="4"/>
  <c r="R275" i="4"/>
  <c r="R276" i="4"/>
  <c r="R87" i="4"/>
  <c r="R277" i="4"/>
  <c r="R278" i="4"/>
  <c r="R279" i="4"/>
  <c r="R20" i="4"/>
  <c r="R280" i="4"/>
  <c r="R281" i="4"/>
  <c r="R282" i="4"/>
  <c r="R283" i="4"/>
  <c r="R284" i="4"/>
  <c r="R962" i="4"/>
  <c r="R622" i="4"/>
  <c r="R285" i="4"/>
  <c r="R286" i="4"/>
  <c r="R133" i="4"/>
  <c r="R287" i="4"/>
  <c r="R288" i="4"/>
  <c r="R729" i="4"/>
  <c r="R730" i="4"/>
  <c r="R289" i="4"/>
  <c r="R290" i="4"/>
  <c r="R88" i="4"/>
  <c r="R291" i="4"/>
  <c r="R292" i="4"/>
  <c r="R883" i="4"/>
  <c r="R884" i="4"/>
  <c r="R115" i="4"/>
  <c r="R293" i="4"/>
  <c r="R294" i="4"/>
  <c r="R21" i="4"/>
  <c r="R295" i="4"/>
  <c r="R296" i="4"/>
  <c r="R297" i="4"/>
  <c r="R963" i="4"/>
  <c r="R298" i="4"/>
  <c r="R57" i="4"/>
  <c r="R964" i="4"/>
  <c r="R299" i="4"/>
  <c r="R300" i="4"/>
  <c r="R301" i="4"/>
  <c r="R302" i="4"/>
  <c r="R303" i="4"/>
  <c r="R304" i="4"/>
  <c r="R731" i="4"/>
  <c r="R305" i="4"/>
  <c r="R885" i="4"/>
  <c r="R732" i="4"/>
  <c r="R306" i="4"/>
  <c r="R45" i="4"/>
  <c r="R307" i="4"/>
  <c r="R308" i="4"/>
  <c r="R309" i="4"/>
  <c r="R623" i="4"/>
  <c r="R624" i="4"/>
  <c r="R625" i="4"/>
  <c r="R310" i="4"/>
  <c r="R134" i="4"/>
  <c r="R311" i="4"/>
  <c r="R886" i="4"/>
  <c r="R626" i="4"/>
  <c r="R312" i="4"/>
  <c r="R313" i="4"/>
  <c r="R887" i="4"/>
  <c r="R314" i="4"/>
  <c r="R733" i="4"/>
  <c r="R965" i="4"/>
  <c r="R315" i="4"/>
  <c r="R316" i="4"/>
  <c r="R317" i="4"/>
  <c r="R843" i="4"/>
  <c r="R734" i="4"/>
  <c r="R735" i="4"/>
  <c r="R736" i="4"/>
  <c r="R627" i="4"/>
  <c r="R628" i="4"/>
  <c r="R318" i="4"/>
  <c r="R629" i="4"/>
  <c r="R630" i="4"/>
  <c r="R89" i="4"/>
  <c r="R319" i="4"/>
  <c r="R320" i="4"/>
  <c r="R737" i="4"/>
  <c r="R631" i="4"/>
  <c r="R632" i="4"/>
  <c r="R321" i="4"/>
  <c r="R830" i="4"/>
  <c r="R322" i="4"/>
  <c r="R323" i="4"/>
  <c r="R324" i="4"/>
  <c r="R888" i="4"/>
  <c r="R738" i="4"/>
  <c r="R325" i="4"/>
  <c r="R326" i="4"/>
  <c r="R327" i="4"/>
  <c r="R633" i="4"/>
  <c r="R58" i="4"/>
  <c r="R889" i="4"/>
  <c r="R890" i="4"/>
  <c r="R116" i="4"/>
  <c r="R891" i="4"/>
  <c r="R739" i="4"/>
  <c r="R740" i="4"/>
  <c r="R634" i="4"/>
  <c r="R328" i="4"/>
  <c r="R741" i="4"/>
  <c r="R742" i="4"/>
  <c r="R22" i="4"/>
  <c r="R329" i="4"/>
  <c r="R135" i="4"/>
  <c r="R330" i="4"/>
  <c r="R892" i="4"/>
  <c r="R743" i="4"/>
  <c r="R744" i="4"/>
  <c r="R331" i="4"/>
  <c r="R811" i="4"/>
  <c r="R3" i="4"/>
  <c r="R332" i="4"/>
  <c r="R333" i="4"/>
  <c r="R635" i="4"/>
  <c r="R334" i="4"/>
  <c r="R335" i="4"/>
  <c r="R893" i="4"/>
  <c r="R966" i="4"/>
  <c r="R336" i="4"/>
  <c r="R337" i="4"/>
  <c r="R338" i="4"/>
  <c r="R136" i="4"/>
  <c r="R812" i="4"/>
  <c r="R745" i="4"/>
  <c r="R636" i="4"/>
  <c r="R894" i="4"/>
  <c r="R339" i="4"/>
  <c r="R340" i="4"/>
  <c r="R59" i="4"/>
  <c r="R637" i="4"/>
  <c r="R341" i="4"/>
  <c r="R895" i="4"/>
  <c r="R137" i="4"/>
  <c r="R896" i="4"/>
  <c r="R746" i="4"/>
  <c r="R342" i="4"/>
  <c r="R897" i="4"/>
  <c r="R117" i="4"/>
  <c r="R848" i="4"/>
  <c r="R898" i="4"/>
  <c r="R343" i="4"/>
  <c r="R638" i="4"/>
  <c r="R344" i="4"/>
  <c r="R90" i="4"/>
  <c r="R345" i="4"/>
  <c r="R346" i="4"/>
  <c r="R899" i="4"/>
  <c r="R900" i="4"/>
  <c r="R1007" i="4"/>
  <c r="R347" i="4"/>
  <c r="R992" i="4"/>
  <c r="R23" i="4"/>
  <c r="R639" i="4"/>
  <c r="R138" i="4"/>
  <c r="R348" i="4"/>
  <c r="R967" i="4"/>
  <c r="R349" i="4"/>
  <c r="R747" i="4"/>
  <c r="R350" i="4"/>
  <c r="R351" i="4"/>
  <c r="R352" i="4"/>
  <c r="R139" i="4"/>
  <c r="R748" i="4"/>
  <c r="R353" i="4"/>
  <c r="R354" i="4"/>
  <c r="R355" i="4"/>
  <c r="R91" i="4"/>
  <c r="R993" i="4"/>
  <c r="R901" i="4"/>
  <c r="R749" i="4"/>
  <c r="R356" i="4"/>
  <c r="R357" i="4"/>
  <c r="R358" i="4"/>
  <c r="R902" i="4"/>
  <c r="R750" i="4"/>
  <c r="R359" i="4"/>
  <c r="R360" i="4"/>
  <c r="R92" i="4"/>
  <c r="R361" i="4"/>
  <c r="R903" i="4"/>
  <c r="R140" i="4"/>
  <c r="R640" i="4"/>
  <c r="R362" i="4"/>
  <c r="R363" i="4"/>
  <c r="R980" i="4"/>
  <c r="R60" i="4"/>
  <c r="R93" i="4"/>
  <c r="R364" i="4"/>
  <c r="R365" i="4"/>
  <c r="R751" i="4"/>
  <c r="R46" i="4"/>
  <c r="R47" i="4"/>
  <c r="R641" i="4"/>
  <c r="R366" i="4"/>
  <c r="R24" i="4"/>
  <c r="R141" i="4"/>
  <c r="R642" i="4"/>
  <c r="R643" i="4"/>
  <c r="R968" i="4"/>
  <c r="R367" i="4"/>
  <c r="R644" i="4"/>
  <c r="R645" i="4"/>
  <c r="R368" i="4"/>
  <c r="R969" i="4"/>
  <c r="R369" i="4"/>
  <c r="R370" i="4"/>
  <c r="R646" i="4"/>
  <c r="R994" i="4"/>
  <c r="R371" i="4"/>
  <c r="R48" i="4"/>
  <c r="R904" i="4"/>
  <c r="R698" i="4"/>
  <c r="R372" i="4"/>
  <c r="R752" i="4"/>
  <c r="R94" i="4"/>
  <c r="R373" i="4"/>
  <c r="R753" i="4"/>
  <c r="R374" i="4"/>
  <c r="R905" i="4"/>
  <c r="R375" i="4"/>
  <c r="R142" i="4"/>
  <c r="R376" i="4"/>
  <c r="R377" i="4"/>
  <c r="R95" i="4"/>
  <c r="R906" i="4"/>
  <c r="R378" i="4"/>
  <c r="R813" i="4"/>
  <c r="R379" i="4"/>
  <c r="R380" i="4"/>
  <c r="R814" i="4"/>
  <c r="R25" i="4"/>
  <c r="R143" i="4"/>
  <c r="R907" i="4"/>
  <c r="R381" i="4"/>
  <c r="R908" i="4"/>
  <c r="R647" i="4"/>
  <c r="R648" i="4"/>
  <c r="R382" i="4"/>
  <c r="R383" i="4"/>
  <c r="R384" i="4"/>
  <c r="R649" i="4"/>
  <c r="R385" i="4"/>
  <c r="R909" i="4"/>
  <c r="R386" i="4"/>
  <c r="R387" i="4"/>
  <c r="R26" i="4"/>
  <c r="R388" i="4"/>
  <c r="R389" i="4"/>
  <c r="R96" i="4"/>
  <c r="R754" i="4"/>
  <c r="R390" i="4"/>
  <c r="R650" i="4"/>
  <c r="R391" i="4"/>
  <c r="R844" i="4"/>
  <c r="R835" i="4"/>
  <c r="R910" i="4"/>
  <c r="R27" i="4"/>
  <c r="R392" i="4"/>
  <c r="R393" i="4"/>
  <c r="R651" i="4"/>
  <c r="R911" i="4"/>
  <c r="R755" i="4"/>
  <c r="R756" i="4"/>
  <c r="R757" i="4"/>
  <c r="R394" i="4"/>
  <c r="R395" i="4"/>
  <c r="R7" i="4"/>
  <c r="R97" i="4"/>
  <c r="R815" i="4"/>
  <c r="R758" i="4"/>
  <c r="R759" i="4"/>
  <c r="R760" i="4"/>
  <c r="R396" i="4"/>
  <c r="R761" i="4"/>
  <c r="R762" i="4"/>
  <c r="R397" i="4"/>
  <c r="R1008" i="4"/>
  <c r="R763" i="4"/>
  <c r="R816" i="4"/>
  <c r="R398" i="4"/>
  <c r="R399" i="4"/>
  <c r="R764" i="4"/>
  <c r="R912" i="4"/>
  <c r="R400" i="4"/>
  <c r="R765" i="4"/>
  <c r="R652" i="4"/>
  <c r="R401" i="4"/>
  <c r="R118" i="4"/>
  <c r="R836" i="4"/>
  <c r="R402" i="4"/>
  <c r="R653" i="4"/>
  <c r="R654" i="4"/>
  <c r="R913" i="4"/>
  <c r="R28" i="4"/>
  <c r="R970" i="4"/>
  <c r="R403" i="4"/>
  <c r="R914" i="4"/>
  <c r="R404" i="4"/>
  <c r="R405" i="4"/>
  <c r="R406" i="4"/>
  <c r="R98" i="4"/>
  <c r="R407" i="4"/>
  <c r="R408" i="4"/>
  <c r="R29" i="4"/>
  <c r="R409" i="4"/>
  <c r="R410" i="4"/>
  <c r="R995" i="4"/>
  <c r="R49" i="4"/>
  <c r="R981" i="4"/>
  <c r="R411" i="4"/>
  <c r="R412" i="4"/>
  <c r="R996" i="4"/>
  <c r="R413" i="4"/>
  <c r="R99" i="4"/>
  <c r="R414" i="4"/>
  <c r="R415" i="4"/>
  <c r="R416" i="4"/>
  <c r="R766" i="4"/>
  <c r="R767" i="4"/>
  <c r="R417" i="4"/>
  <c r="R144" i="4"/>
  <c r="R418" i="4"/>
  <c r="R419" i="4"/>
  <c r="R768" i="4"/>
  <c r="R420" i="4"/>
  <c r="R421" i="4"/>
  <c r="R655" i="4"/>
  <c r="R422" i="4"/>
  <c r="R8" i="4"/>
  <c r="R423" i="4"/>
  <c r="R1009" i="4"/>
  <c r="R424" i="4"/>
  <c r="R425" i="4"/>
  <c r="R426" i="4"/>
  <c r="R30" i="4"/>
  <c r="R915" i="4"/>
  <c r="R427" i="4"/>
  <c r="R656" i="4"/>
  <c r="R769" i="4"/>
  <c r="R428" i="4"/>
  <c r="R61" i="4"/>
  <c r="R145" i="4"/>
  <c r="R31" i="4"/>
  <c r="R429" i="4"/>
  <c r="R430" i="4"/>
  <c r="R431" i="4"/>
  <c r="R432" i="4"/>
  <c r="R770" i="4"/>
  <c r="R433" i="4"/>
  <c r="R657" i="4"/>
  <c r="R916" i="4"/>
  <c r="R917" i="4"/>
  <c r="R918" i="4"/>
  <c r="R971" i="4"/>
  <c r="R434" i="4"/>
  <c r="R435" i="4"/>
  <c r="R100" i="4"/>
  <c r="R32" i="4"/>
  <c r="R997" i="4"/>
  <c r="R119" i="4"/>
  <c r="R919" i="4"/>
  <c r="R972" i="4"/>
  <c r="R920" i="4"/>
  <c r="R921" i="4"/>
  <c r="R436" i="4"/>
  <c r="R922" i="4"/>
  <c r="R923" i="4"/>
  <c r="R437" i="4"/>
  <c r="R998" i="4"/>
  <c r="R924" i="4"/>
  <c r="R999" i="4"/>
  <c r="R438" i="4"/>
  <c r="R658" i="4"/>
  <c r="R439" i="4"/>
  <c r="R925" i="4"/>
  <c r="R440" i="4"/>
  <c r="R441" i="4"/>
  <c r="R659" i="4"/>
  <c r="R926" i="4"/>
  <c r="R771" i="4"/>
  <c r="R442" i="4"/>
  <c r="R62" i="4"/>
  <c r="R660" i="4"/>
  <c r="R33" i="4"/>
  <c r="R443" i="4"/>
  <c r="R772" i="4"/>
  <c r="R773" i="4"/>
  <c r="R444" i="4"/>
  <c r="R445" i="4"/>
  <c r="R774" i="4"/>
  <c r="R699" i="4"/>
  <c r="R661" i="4"/>
  <c r="R446" i="4"/>
  <c r="R662" i="4"/>
  <c r="R447" i="4"/>
  <c r="R448" i="4"/>
  <c r="R449" i="4"/>
  <c r="R450" i="4"/>
  <c r="R4" i="4"/>
  <c r="R817" i="4"/>
  <c r="R34" i="4"/>
  <c r="R451" i="4"/>
  <c r="R452" i="4"/>
  <c r="R818" i="4"/>
  <c r="R453" i="4"/>
  <c r="R146" i="4"/>
  <c r="R454" i="4"/>
  <c r="R455" i="4"/>
  <c r="R927" i="4"/>
  <c r="R147" i="4"/>
  <c r="R775" i="4"/>
  <c r="R837" i="4"/>
  <c r="R456" i="4"/>
  <c r="R457" i="4"/>
  <c r="R928" i="4"/>
  <c r="R458" i="4"/>
  <c r="R35" i="4"/>
  <c r="R459" i="4"/>
  <c r="R460" i="4"/>
  <c r="R461" i="4"/>
  <c r="R9" i="4"/>
  <c r="R663" i="4"/>
  <c r="R664" i="4"/>
  <c r="R929" i="4"/>
  <c r="R930" i="4"/>
  <c r="R462" i="4"/>
  <c r="R101" i="4"/>
  <c r="R463" i="4"/>
  <c r="R464" i="4"/>
  <c r="R931" i="4"/>
  <c r="R465" i="4"/>
  <c r="R466" i="4"/>
  <c r="R776" i="4"/>
  <c r="R665" i="4"/>
  <c r="R467" i="4"/>
  <c r="R102" i="4"/>
  <c r="R468" i="4"/>
  <c r="R1010" i="4"/>
  <c r="R1000" i="4"/>
  <c r="R666" i="4"/>
  <c r="R667" i="4"/>
  <c r="R982" i="4"/>
  <c r="R469" i="4"/>
  <c r="R470" i="4"/>
  <c r="R471" i="4"/>
  <c r="R472" i="4"/>
  <c r="R973" i="4"/>
  <c r="R473" i="4"/>
  <c r="R474" i="4"/>
  <c r="R777" i="4"/>
  <c r="R932" i="4"/>
  <c r="R475" i="4"/>
  <c r="R933" i="4"/>
  <c r="R103" i="4"/>
  <c r="R476" i="4"/>
  <c r="R477" i="4"/>
  <c r="R1011" i="4"/>
  <c r="R478" i="4"/>
  <c r="R479" i="4"/>
  <c r="R480" i="4"/>
  <c r="R934" i="4"/>
  <c r="R819" i="4"/>
  <c r="R481" i="4"/>
  <c r="R700" i="4"/>
  <c r="R148" i="4"/>
  <c r="R778" i="4"/>
  <c r="R482" i="4"/>
  <c r="R483" i="4"/>
  <c r="R668" i="4"/>
  <c r="R484" i="4"/>
  <c r="R779" i="4"/>
  <c r="R669" i="4"/>
  <c r="R485" i="4"/>
  <c r="R701" i="4"/>
  <c r="R486" i="4"/>
  <c r="R36" i="4"/>
  <c r="R487" i="4"/>
  <c r="R935" i="4"/>
  <c r="R63" i="4"/>
  <c r="R488" i="4"/>
  <c r="R780" i="4"/>
  <c r="R489" i="4"/>
  <c r="R820" i="4"/>
  <c r="R849" i="4"/>
  <c r="R490" i="4"/>
  <c r="R491" i="4"/>
  <c r="R492" i="4"/>
  <c r="R670" i="4"/>
  <c r="R974" i="4"/>
  <c r="R493" i="4"/>
  <c r="R494" i="4"/>
  <c r="R936" i="4"/>
  <c r="R495" i="4"/>
  <c r="R937" i="4"/>
  <c r="R496" i="4"/>
  <c r="R781" i="4"/>
  <c r="R497" i="4"/>
  <c r="R498" i="4"/>
  <c r="R499" i="4"/>
  <c r="R120" i="4"/>
  <c r="R500" i="4"/>
  <c r="R782" i="4"/>
  <c r="R501" i="4"/>
  <c r="R975" i="4"/>
  <c r="R671" i="4"/>
  <c r="R938" i="4"/>
  <c r="R502" i="4"/>
  <c r="R939" i="4"/>
  <c r="R783" i="4"/>
  <c r="R503" i="4"/>
  <c r="R504" i="4"/>
  <c r="R940" i="4"/>
  <c r="R941" i="4"/>
  <c r="R505" i="4"/>
  <c r="R506" i="4"/>
  <c r="R942" i="4"/>
  <c r="R672" i="4"/>
  <c r="R838" i="4"/>
  <c r="R784" i="4"/>
  <c r="R507" i="4"/>
  <c r="R785" i="4"/>
  <c r="R673" i="4"/>
  <c r="R149" i="4"/>
  <c r="R508" i="4"/>
  <c r="R509" i="4"/>
  <c r="R510" i="4"/>
  <c r="R850" i="4"/>
  <c r="R511" i="4"/>
  <c r="R674" i="4"/>
  <c r="R64" i="4"/>
  <c r="R1001" i="4"/>
  <c r="R512" i="4"/>
  <c r="R513" i="4"/>
  <c r="R514" i="4"/>
  <c r="R675" i="4"/>
  <c r="R1002" i="4"/>
  <c r="R515" i="4"/>
  <c r="R104" i="4"/>
  <c r="R676" i="4"/>
  <c r="R516" i="4"/>
  <c r="R677" i="4"/>
  <c r="R517" i="4"/>
  <c r="R678" i="4"/>
  <c r="R518" i="4"/>
  <c r="R105" i="4"/>
  <c r="R851" i="4"/>
  <c r="R943" i="4"/>
  <c r="R37" i="4"/>
  <c r="R679" i="4"/>
  <c r="R519" i="4"/>
  <c r="R121" i="4"/>
  <c r="R150" i="4"/>
  <c r="R680" i="4"/>
  <c r="R151" i="4"/>
  <c r="R520" i="4"/>
  <c r="R52" i="4"/>
  <c r="R521" i="4"/>
  <c r="R522" i="4"/>
  <c r="R122" i="4"/>
  <c r="R681" i="4"/>
  <c r="R523" i="4"/>
  <c r="R524" i="4"/>
  <c r="R525" i="4"/>
  <c r="R526" i="4"/>
  <c r="R106" i="4"/>
  <c r="R786" i="4"/>
  <c r="R787" i="4"/>
  <c r="R527" i="4"/>
  <c r="R528" i="4"/>
  <c r="R529" i="4"/>
  <c r="R38" i="4"/>
  <c r="R530" i="4"/>
  <c r="R531" i="4"/>
  <c r="R532" i="4"/>
  <c r="R152" i="4"/>
  <c r="R533" i="4"/>
  <c r="R534" i="4"/>
  <c r="R976" i="4"/>
  <c r="R682" i="4"/>
  <c r="R944" i="4"/>
  <c r="R788" i="4"/>
  <c r="R535" i="4"/>
  <c r="R683" i="4"/>
  <c r="R39" i="4"/>
  <c r="R845" i="4"/>
  <c r="R536" i="4"/>
  <c r="R1003" i="4"/>
  <c r="R945" i="4"/>
  <c r="R153" i="4"/>
  <c r="R789" i="4"/>
  <c r="R790" i="4"/>
  <c r="R839" i="4"/>
  <c r="R537" i="4"/>
  <c r="R538" i="4"/>
  <c r="R539" i="4"/>
  <c r="R540" i="4"/>
  <c r="R791" i="4"/>
  <c r="R702" i="4"/>
  <c r="R541" i="4"/>
  <c r="R542" i="4"/>
  <c r="R946" i="4"/>
  <c r="R543" i="4"/>
  <c r="R544" i="4"/>
  <c r="R545" i="4"/>
  <c r="R40" i="4"/>
  <c r="R154" i="4"/>
  <c r="R546" i="4"/>
  <c r="R684" i="4"/>
  <c r="R547" i="4"/>
  <c r="R1004" i="4"/>
  <c r="R685" i="4"/>
  <c r="R548" i="4"/>
  <c r="R549" i="4"/>
  <c r="R852" i="4"/>
  <c r="R550" i="4"/>
  <c r="R821" i="4"/>
  <c r="R551" i="4"/>
  <c r="R1005" i="4"/>
  <c r="R552" i="4"/>
  <c r="R840" i="4"/>
  <c r="R107" i="4"/>
  <c r="R947" i="4"/>
  <c r="R553" i="4"/>
  <c r="R554" i="4"/>
  <c r="R792" i="4"/>
  <c r="R555" i="4"/>
  <c r="R948" i="4"/>
  <c r="R793" i="4"/>
  <c r="R556" i="4"/>
  <c r="R841" i="4"/>
  <c r="R977" i="4"/>
  <c r="R50" i="4"/>
  <c r="R557" i="4"/>
  <c r="R558" i="4"/>
  <c r="R559" i="4"/>
  <c r="R560" i="4"/>
  <c r="R703" i="4"/>
  <c r="R949" i="4"/>
  <c r="R686" i="4"/>
  <c r="R822" i="4"/>
  <c r="R687" i="4"/>
  <c r="R561" i="4"/>
  <c r="R155" i="4"/>
  <c r="R950" i="4"/>
  <c r="R562" i="4"/>
  <c r="R1006" i="4"/>
  <c r="R108" i="4"/>
  <c r="R563" i="4"/>
  <c r="R823" i="4"/>
  <c r="R564" i="4"/>
  <c r="R565" i="4"/>
  <c r="R794" i="4"/>
  <c r="R10" i="4"/>
  <c r="R795" i="4"/>
  <c r="R566" i="4"/>
  <c r="R567" i="4"/>
  <c r="R568" i="4"/>
  <c r="R569" i="4"/>
  <c r="R570" i="4"/>
  <c r="R831" i="4"/>
  <c r="R688" i="4"/>
  <c r="R51" i="4"/>
  <c r="R571" i="4"/>
  <c r="R951" i="4"/>
  <c r="R572" i="4"/>
  <c r="R69" i="4"/>
  <c r="R573" i="4"/>
  <c r="R574" i="4"/>
  <c r="R65" i="4"/>
  <c r="R824" i="4"/>
  <c r="R689" i="4"/>
  <c r="R575" i="4"/>
  <c r="R952" i="4"/>
  <c r="R978" i="4"/>
  <c r="R576" i="4"/>
  <c r="R796" i="4"/>
  <c r="R156" i="4"/>
  <c r="R797" i="4"/>
  <c r="R577" i="4"/>
  <c r="R578" i="4"/>
  <c r="R579" i="4"/>
  <c r="R953" i="4"/>
  <c r="R580" i="4"/>
  <c r="R581" i="4"/>
  <c r="R582" i="4"/>
  <c r="R583" i="4"/>
  <c r="R584" i="4"/>
  <c r="R853" i="4"/>
  <c r="R585" i="4"/>
  <c r="R157" i="4"/>
  <c r="R586" i="4"/>
  <c r="R798" i="4"/>
  <c r="R41" i="4"/>
  <c r="R954" i="4"/>
  <c r="R983" i="4"/>
  <c r="R587" i="4"/>
  <c r="R955" i="4"/>
  <c r="R690" i="4"/>
  <c r="R799" i="4"/>
  <c r="R109" i="4"/>
  <c r="R588" i="4"/>
  <c r="R691" i="4"/>
  <c r="R589" i="4"/>
  <c r="R692" i="4"/>
  <c r="R590" i="4"/>
  <c r="R110" i="4"/>
  <c r="R123" i="4"/>
  <c r="R693" i="4"/>
  <c r="R591" i="4"/>
  <c r="R800" i="4"/>
  <c r="R956" i="4"/>
  <c r="R957" i="4"/>
  <c r="R592" i="4"/>
  <c r="R158" i="4"/>
  <c r="R593" i="4"/>
  <c r="R594" i="4"/>
  <c r="R801" i="4"/>
  <c r="R704" i="4"/>
  <c r="R958" i="4"/>
  <c r="R160" i="4"/>
  <c r="R76" i="4"/>
  <c r="R124" i="4"/>
  <c r="R595" i="4"/>
  <c r="R161" i="4"/>
  <c r="R984" i="4"/>
  <c r="R162" i="4"/>
  <c r="R163" i="4"/>
  <c r="R42" i="4"/>
  <c r="R11" i="4"/>
  <c r="R854" i="4"/>
  <c r="R164" i="4"/>
  <c r="R165" i="4"/>
  <c r="R832" i="4"/>
  <c r="R166" i="4"/>
  <c r="R167" i="4"/>
  <c r="R694" i="4"/>
  <c r="R168" i="4"/>
  <c r="R169" i="4"/>
  <c r="R170" i="4"/>
  <c r="R53" i="4"/>
  <c r="R171" i="4"/>
  <c r="R172" i="4"/>
  <c r="R173" i="4"/>
  <c r="R802" i="4"/>
  <c r="R174" i="4"/>
  <c r="R596" i="4"/>
  <c r="R175" i="4"/>
  <c r="R855" i="4"/>
  <c r="R77" i="4"/>
  <c r="R803" i="4"/>
  <c r="R176" i="4"/>
  <c r="R78" i="4"/>
  <c r="R177" i="4"/>
  <c r="R597" i="4"/>
  <c r="R856" i="4"/>
  <c r="R857" i="4"/>
  <c r="R804" i="4"/>
  <c r="R598" i="4"/>
  <c r="R159" i="4"/>
  <c r="X5" i="5" l="1"/>
  <c r="Z5" i="5"/>
  <c r="Y5" i="5"/>
  <c r="Z4" i="5"/>
  <c r="Y4" i="5"/>
  <c r="Z6" i="5"/>
  <c r="Y6" i="5"/>
  <c r="X4" i="5"/>
  <c r="X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<sst xmlns="http://schemas.openxmlformats.org/spreadsheetml/2006/main" count="20244" uniqueCount="109">
  <si>
    <t>Row Labels</t>
  </si>
  <si>
    <t>Sum of Shell_weight</t>
  </si>
  <si>
    <t>Sum of Viscera_weight</t>
  </si>
  <si>
    <t>Sum of Shucked_weight</t>
  </si>
  <si>
    <t>Florida Atlantic Coast</t>
  </si>
  <si>
    <t>Florida Gulf Coast</t>
  </si>
  <si>
    <t>Great Lakes</t>
  </si>
  <si>
    <t xml:space="preserve">Gulf of Mexico	</t>
  </si>
  <si>
    <t>Mid-Atlantic</t>
  </si>
  <si>
    <t>North Pacific</t>
  </si>
  <si>
    <t>Northeast</t>
  </si>
  <si>
    <t>Pacific</t>
  </si>
  <si>
    <t>Southeast</t>
  </si>
  <si>
    <t>West Coast</t>
  </si>
  <si>
    <t>(blank)</t>
  </si>
  <si>
    <t>Grand Total</t>
  </si>
  <si>
    <t>Abalone ID</t>
  </si>
  <si>
    <t>Gender</t>
  </si>
  <si>
    <t>Length</t>
  </si>
  <si>
    <t>Diameter</t>
  </si>
  <si>
    <t>Height</t>
  </si>
  <si>
    <t>Whole_weight</t>
  </si>
  <si>
    <t>Shucked_weight</t>
  </si>
  <si>
    <t>Viscera_weight</t>
  </si>
  <si>
    <t>Shell_weight</t>
  </si>
  <si>
    <t>Rings</t>
  </si>
  <si>
    <t>Collector</t>
  </si>
  <si>
    <t>Collector_First</t>
  </si>
  <si>
    <t>Collector_last</t>
  </si>
  <si>
    <t>Collector_organization</t>
  </si>
  <si>
    <t>Water</t>
  </si>
  <si>
    <t xml:space="preserve"> </t>
  </si>
  <si>
    <t>Feb_temp</t>
  </si>
  <si>
    <t>F</t>
  </si>
  <si>
    <t>Danica</t>
  </si>
  <si>
    <t>Tyler</t>
  </si>
  <si>
    <t xml:space="preserve">University of Florida	</t>
  </si>
  <si>
    <t>Hazel</t>
  </si>
  <si>
    <t>Villa</t>
  </si>
  <si>
    <t>University of Minnesota</t>
  </si>
  <si>
    <t>Nate</t>
  </si>
  <si>
    <t>Craig</t>
  </si>
  <si>
    <t>NOAA Fisheries</t>
  </si>
  <si>
    <t>Betty</t>
  </si>
  <si>
    <t>Berg</t>
  </si>
  <si>
    <t>University of Houston</t>
  </si>
  <si>
    <t>Martin</t>
  </si>
  <si>
    <t>Gaines</t>
  </si>
  <si>
    <t>San Diego State University</t>
  </si>
  <si>
    <t>Tiegan</t>
  </si>
  <si>
    <t>Davie</t>
  </si>
  <si>
    <t>University of California, Davis</t>
  </si>
  <si>
    <t>Inaya</t>
  </si>
  <si>
    <t>Bernard</t>
  </si>
  <si>
    <t>Stanford University</t>
  </si>
  <si>
    <t>Kali</t>
  </si>
  <si>
    <t>Metcalfe</t>
  </si>
  <si>
    <t>Mote Marine Laboratory</t>
  </si>
  <si>
    <t>Rebecca</t>
  </si>
  <si>
    <t>Bennett</t>
  </si>
  <si>
    <t>Conan</t>
  </si>
  <si>
    <t>Dalton</t>
  </si>
  <si>
    <t>Iona</t>
  </si>
  <si>
    <t>Connolly</t>
  </si>
  <si>
    <t>Florida Atlantic University</t>
  </si>
  <si>
    <t>Naima</t>
  </si>
  <si>
    <t>Reyes</t>
  </si>
  <si>
    <t>Haniya</t>
  </si>
  <si>
    <t>Talley</t>
  </si>
  <si>
    <t>Prince William Sound Science Center</t>
  </si>
  <si>
    <t>Jan</t>
  </si>
  <si>
    <t>Odom</t>
  </si>
  <si>
    <t>Jose</t>
  </si>
  <si>
    <t>Vaughan</t>
  </si>
  <si>
    <t xml:space="preserve">Ohio State University	</t>
  </si>
  <si>
    <t>I</t>
  </si>
  <si>
    <t>M</t>
  </si>
  <si>
    <t>Abalone_id</t>
  </si>
  <si>
    <t>Whole Weight</t>
  </si>
  <si>
    <t>Water_region</t>
  </si>
  <si>
    <t>Category</t>
  </si>
  <si>
    <t>Economic Value</t>
  </si>
  <si>
    <t xml:space="preserve">Avg value
</t>
  </si>
  <si>
    <t>MOST EXPENSIVE</t>
  </si>
  <si>
    <t>LEAST EXPENSIVE</t>
  </si>
  <si>
    <t>Water Region</t>
  </si>
  <si>
    <t>Most Expensive</t>
  </si>
  <si>
    <t>Least Expensive</t>
  </si>
  <si>
    <t>North East</t>
  </si>
  <si>
    <t>Gulf of Mexico</t>
  </si>
  <si>
    <t>Attribute</t>
  </si>
  <si>
    <t>Mean</t>
  </si>
  <si>
    <t>Variance</t>
  </si>
  <si>
    <t>Minimum</t>
  </si>
  <si>
    <t>Maximum</t>
  </si>
  <si>
    <t>Column1</t>
  </si>
  <si>
    <t>Column2</t>
  </si>
  <si>
    <t>Enter Abalon ID</t>
  </si>
  <si>
    <t xml:space="preserve"> ID Output</t>
  </si>
  <si>
    <t>Average of Shell_weight</t>
  </si>
  <si>
    <t>Average of Viscera_weight</t>
  </si>
  <si>
    <t>Average of Shucked_weight</t>
  </si>
  <si>
    <t>Region / Scientist</t>
  </si>
  <si>
    <t>Beatrice</t>
  </si>
  <si>
    <t>Alivia</t>
  </si>
  <si>
    <t>Tori</t>
  </si>
  <si>
    <t>Angela</t>
  </si>
  <si>
    <t>Axel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</si>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</sst>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charset val="1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0" fillId="0" borderId="0" xfId="0" quotePrefix="1"/>
    <xf numFmtId="0" fontId="16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4" borderId="10" xfId="0" applyFill="1" applyBorder="1"/>
    <xf numFmtId="0" fontId="13" fillId="33" borderId="10" xfId="0" applyFont="1" applyFill="1" applyBorder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Relation between Shell_weight and Shucked weight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'Personal Data'!$I$1</c:f>
              <c:strCache>
                <c:ptCount val="1"/>
                <c:pt idx="0">
                  <c:v>Shell_weight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'Personal Data'!$G$2:$G$1002</c:f>
              <c:numCache>
                <c:formatCode>General</c:formatCode>
                <c:ptCount val="1001"/>
                <c:pt idx="0">
                  <c:v>0.1255</c:v>
                </c:pt>
                <c:pt idx="1">
                  <c:v>0.42899999999999999</c:v>
                </c:pt>
                <c:pt idx="2">
                  <c:v>0.47849999999999998</c:v>
                </c:pt>
                <c:pt idx="3">
                  <c:v>5.3499999999999999E-2</c:v>
                </c:pt>
                <c:pt idx="4">
                  <c:v>0.40050000000000002</c:v>
                </c:pt>
                <c:pt idx="5">
                  <c:v>0.38500000000000001</c:v>
                </c:pt>
                <c:pt idx="6">
                  <c:v>0.34100000000000003</c:v>
                </c:pt>
                <c:pt idx="7">
                  <c:v>0.51849999999999996</c:v>
                </c:pt>
                <c:pt idx="8">
                  <c:v>0.45150000000000001</c:v>
                </c:pt>
                <c:pt idx="9">
                  <c:v>7.8E-2</c:v>
                </c:pt>
                <c:pt idx="10">
                  <c:v>0.34799999999999998</c:v>
                </c:pt>
                <c:pt idx="11">
                  <c:v>0.372</c:v>
                </c:pt>
                <c:pt idx="12">
                  <c:v>0.36749999999999999</c:v>
                </c:pt>
                <c:pt idx="13">
                  <c:v>0.40949999999999998</c:v>
                </c:pt>
                <c:pt idx="14">
                  <c:v>0.16700000000000001</c:v>
                </c:pt>
                <c:pt idx="15">
                  <c:v>0.25700000000000001</c:v>
                </c:pt>
                <c:pt idx="16">
                  <c:v>0.215</c:v>
                </c:pt>
                <c:pt idx="17">
                  <c:v>0.1615</c:v>
                </c:pt>
                <c:pt idx="18">
                  <c:v>0.18099999999999999</c:v>
                </c:pt>
                <c:pt idx="19">
                  <c:v>0.35399999999999998</c:v>
                </c:pt>
                <c:pt idx="20">
                  <c:v>0.1255</c:v>
                </c:pt>
                <c:pt idx="21">
                  <c:v>0.60250000000000004</c:v>
                </c:pt>
                <c:pt idx="22">
                  <c:v>0.35149999999999998</c:v>
                </c:pt>
                <c:pt idx="23">
                  <c:v>0.3125</c:v>
                </c:pt>
                <c:pt idx="24">
                  <c:v>0.30149999999999999</c:v>
                </c:pt>
                <c:pt idx="25">
                  <c:v>0.29599999999999999</c:v>
                </c:pt>
                <c:pt idx="26">
                  <c:v>0.312</c:v>
                </c:pt>
                <c:pt idx="27">
                  <c:v>0.27300000000000002</c:v>
                </c:pt>
                <c:pt idx="28">
                  <c:v>0.20250000000000001</c:v>
                </c:pt>
                <c:pt idx="29">
                  <c:v>0.44</c:v>
                </c:pt>
                <c:pt idx="30">
                  <c:v>0.35499999999999998</c:v>
                </c:pt>
                <c:pt idx="31">
                  <c:v>0.46800000000000003</c:v>
                </c:pt>
                <c:pt idx="32">
                  <c:v>0.33450000000000002</c:v>
                </c:pt>
                <c:pt idx="33">
                  <c:v>0.28999999999999998</c:v>
                </c:pt>
                <c:pt idx="34">
                  <c:v>0.14000000000000001</c:v>
                </c:pt>
                <c:pt idx="35">
                  <c:v>0.4995</c:v>
                </c:pt>
                <c:pt idx="36">
                  <c:v>0.1525</c:v>
                </c:pt>
                <c:pt idx="37">
                  <c:v>0.21299999999999999</c:v>
                </c:pt>
                <c:pt idx="38">
                  <c:v>0.1055</c:v>
                </c:pt>
                <c:pt idx="39">
                  <c:v>0.438</c:v>
                </c:pt>
                <c:pt idx="40">
                  <c:v>0.24199999999999999</c:v>
                </c:pt>
                <c:pt idx="41">
                  <c:v>0.21299999999999999</c:v>
                </c:pt>
                <c:pt idx="42">
                  <c:v>0.36</c:v>
                </c:pt>
                <c:pt idx="43">
                  <c:v>0.48299999999999998</c:v>
                </c:pt>
                <c:pt idx="44">
                  <c:v>0.32450000000000001</c:v>
                </c:pt>
                <c:pt idx="45">
                  <c:v>0.17050000000000001</c:v>
                </c:pt>
                <c:pt idx="46">
                  <c:v>0.47349999999999998</c:v>
                </c:pt>
                <c:pt idx="47">
                  <c:v>0.21299999999999999</c:v>
                </c:pt>
                <c:pt idx="48">
                  <c:v>9.4E-2</c:v>
                </c:pt>
                <c:pt idx="49">
                  <c:v>0.377</c:v>
                </c:pt>
                <c:pt idx="50">
                  <c:v>0.159</c:v>
                </c:pt>
                <c:pt idx="51">
                  <c:v>0.25900000000000001</c:v>
                </c:pt>
                <c:pt idx="52">
                  <c:v>9.7000000000000003E-2</c:v>
                </c:pt>
                <c:pt idx="53">
                  <c:v>0.4325</c:v>
                </c:pt>
                <c:pt idx="54">
                  <c:v>0.28449999999999998</c:v>
                </c:pt>
                <c:pt idx="55">
                  <c:v>0.12</c:v>
                </c:pt>
                <c:pt idx="56">
                  <c:v>0.44750000000000001</c:v>
                </c:pt>
                <c:pt idx="57">
                  <c:v>0.18149999999999999</c:v>
                </c:pt>
                <c:pt idx="58">
                  <c:v>0.2555</c:v>
                </c:pt>
                <c:pt idx="59">
                  <c:v>0.40550000000000003</c:v>
                </c:pt>
                <c:pt idx="60">
                  <c:v>0.20949999999999999</c:v>
                </c:pt>
                <c:pt idx="61">
                  <c:v>0.16500000000000001</c:v>
                </c:pt>
                <c:pt idx="62">
                  <c:v>0.69099999999999995</c:v>
                </c:pt>
                <c:pt idx="63">
                  <c:v>0.13400000000000001</c:v>
                </c:pt>
                <c:pt idx="64">
                  <c:v>5.7000000000000002E-2</c:v>
                </c:pt>
                <c:pt idx="65">
                  <c:v>0.3795</c:v>
                </c:pt>
                <c:pt idx="66">
                  <c:v>0.42349999999999999</c:v>
                </c:pt>
                <c:pt idx="67">
                  <c:v>0.33300000000000002</c:v>
                </c:pt>
                <c:pt idx="68">
                  <c:v>0.314</c:v>
                </c:pt>
                <c:pt idx="69">
                  <c:v>0.4365</c:v>
                </c:pt>
                <c:pt idx="70">
                  <c:v>0.28799999999999998</c:v>
                </c:pt>
                <c:pt idx="71">
                  <c:v>0.54600000000000004</c:v>
                </c:pt>
                <c:pt idx="72">
                  <c:v>0.25</c:v>
                </c:pt>
                <c:pt idx="73">
                  <c:v>0.47349999999999998</c:v>
                </c:pt>
                <c:pt idx="74">
                  <c:v>0.27250000000000002</c:v>
                </c:pt>
                <c:pt idx="75">
                  <c:v>0.26200000000000001</c:v>
                </c:pt>
                <c:pt idx="76">
                  <c:v>0.11749999999999999</c:v>
                </c:pt>
                <c:pt idx="77">
                  <c:v>0.25</c:v>
                </c:pt>
                <c:pt idx="78">
                  <c:v>0.3695</c:v>
                </c:pt>
                <c:pt idx="79">
                  <c:v>0.20250000000000001</c:v>
                </c:pt>
                <c:pt idx="80">
                  <c:v>0.53149999999999997</c:v>
                </c:pt>
                <c:pt idx="81">
                  <c:v>6.7500000000000004E-2</c:v>
                </c:pt>
                <c:pt idx="82">
                  <c:v>0.33450000000000002</c:v>
                </c:pt>
                <c:pt idx="83">
                  <c:v>0.27</c:v>
                </c:pt>
                <c:pt idx="84">
                  <c:v>9.5500000000000002E-2</c:v>
                </c:pt>
                <c:pt idx="85">
                  <c:v>7.2999999999999995E-2</c:v>
                </c:pt>
                <c:pt idx="86">
                  <c:v>0.436</c:v>
                </c:pt>
                <c:pt idx="87">
                  <c:v>0.18049999999999999</c:v>
                </c:pt>
                <c:pt idx="88">
                  <c:v>0.108</c:v>
                </c:pt>
                <c:pt idx="89">
                  <c:v>0.35249999999999998</c:v>
                </c:pt>
                <c:pt idx="90">
                  <c:v>0.28499999999999998</c:v>
                </c:pt>
                <c:pt idx="91">
                  <c:v>7.8E-2</c:v>
                </c:pt>
                <c:pt idx="92">
                  <c:v>6.1499999999999999E-2</c:v>
                </c:pt>
                <c:pt idx="93">
                  <c:v>0.52349999999999997</c:v>
                </c:pt>
                <c:pt idx="94">
                  <c:v>0.1235</c:v>
                </c:pt>
                <c:pt idx="95">
                  <c:v>0.58099999999999996</c:v>
                </c:pt>
                <c:pt idx="96">
                  <c:v>0.252</c:v>
                </c:pt>
                <c:pt idx="97">
                  <c:v>0.29549999999999998</c:v>
                </c:pt>
                <c:pt idx="98">
                  <c:v>0.2175</c:v>
                </c:pt>
                <c:pt idx="99">
                  <c:v>0.64700000000000002</c:v>
                </c:pt>
                <c:pt idx="100">
                  <c:v>0.25600000000000001</c:v>
                </c:pt>
                <c:pt idx="101">
                  <c:v>0.44350000000000001</c:v>
                </c:pt>
                <c:pt idx="102">
                  <c:v>0.129</c:v>
                </c:pt>
                <c:pt idx="103">
                  <c:v>0.40150000000000002</c:v>
                </c:pt>
                <c:pt idx="104">
                  <c:v>0.40699999999999997</c:v>
                </c:pt>
                <c:pt idx="105">
                  <c:v>0.13700000000000001</c:v>
                </c:pt>
                <c:pt idx="106">
                  <c:v>0.28899999999999998</c:v>
                </c:pt>
                <c:pt idx="107">
                  <c:v>0.29299999999999998</c:v>
                </c:pt>
                <c:pt idx="108">
                  <c:v>0.32100000000000001</c:v>
                </c:pt>
                <c:pt idx="109">
                  <c:v>0.115</c:v>
                </c:pt>
                <c:pt idx="110">
                  <c:v>0.48599999999999999</c:v>
                </c:pt>
                <c:pt idx="111">
                  <c:v>0.19400000000000001</c:v>
                </c:pt>
                <c:pt idx="112">
                  <c:v>0.50900000000000001</c:v>
                </c:pt>
                <c:pt idx="113">
                  <c:v>0.187</c:v>
                </c:pt>
                <c:pt idx="114">
                  <c:v>0.44500000000000001</c:v>
                </c:pt>
                <c:pt idx="115">
                  <c:v>0.2485</c:v>
                </c:pt>
                <c:pt idx="116">
                  <c:v>0.23050000000000001</c:v>
                </c:pt>
                <c:pt idx="117">
                  <c:v>3.1E-2</c:v>
                </c:pt>
                <c:pt idx="118">
                  <c:v>0.34100000000000003</c:v>
                </c:pt>
                <c:pt idx="119">
                  <c:v>0.2235</c:v>
                </c:pt>
                <c:pt idx="120">
                  <c:v>9.6000000000000002E-2</c:v>
                </c:pt>
                <c:pt idx="121">
                  <c:v>0.3165</c:v>
                </c:pt>
                <c:pt idx="122">
                  <c:v>0.58699999999999997</c:v>
                </c:pt>
                <c:pt idx="123">
                  <c:v>0.42799999999999999</c:v>
                </c:pt>
                <c:pt idx="124">
                  <c:v>0.16500000000000001</c:v>
                </c:pt>
                <c:pt idx="125">
                  <c:v>0.39350000000000002</c:v>
                </c:pt>
                <c:pt idx="126">
                  <c:v>0.26450000000000001</c:v>
                </c:pt>
                <c:pt idx="127">
                  <c:v>0.11600000000000001</c:v>
                </c:pt>
                <c:pt idx="128">
                  <c:v>0.34100000000000003</c:v>
                </c:pt>
                <c:pt idx="129">
                  <c:v>0.33750000000000002</c:v>
                </c:pt>
                <c:pt idx="130">
                  <c:v>0.1265</c:v>
                </c:pt>
                <c:pt idx="131">
                  <c:v>5.8500000000000003E-2</c:v>
                </c:pt>
                <c:pt idx="132">
                  <c:v>7.0499999999999993E-2</c:v>
                </c:pt>
                <c:pt idx="133">
                  <c:v>0.1065</c:v>
                </c:pt>
                <c:pt idx="134">
                  <c:v>0.18</c:v>
                </c:pt>
                <c:pt idx="135">
                  <c:v>0.25</c:v>
                </c:pt>
                <c:pt idx="136">
                  <c:v>0.42499999999999999</c:v>
                </c:pt>
                <c:pt idx="137">
                  <c:v>0.21049999999999999</c:v>
                </c:pt>
                <c:pt idx="138">
                  <c:v>0.104</c:v>
                </c:pt>
                <c:pt idx="139">
                  <c:v>0.40749999999999997</c:v>
                </c:pt>
                <c:pt idx="140">
                  <c:v>0.47649999999999998</c:v>
                </c:pt>
                <c:pt idx="141">
                  <c:v>0.31950000000000001</c:v>
                </c:pt>
                <c:pt idx="142">
                  <c:v>0.29949999999999999</c:v>
                </c:pt>
                <c:pt idx="143">
                  <c:v>0.14149999999999999</c:v>
                </c:pt>
                <c:pt idx="144">
                  <c:v>9.6000000000000002E-2</c:v>
                </c:pt>
                <c:pt idx="145">
                  <c:v>0.13500000000000001</c:v>
                </c:pt>
                <c:pt idx="146">
                  <c:v>0.36699999999999999</c:v>
                </c:pt>
                <c:pt idx="147">
                  <c:v>0.4975</c:v>
                </c:pt>
                <c:pt idx="148">
                  <c:v>0.39350000000000002</c:v>
                </c:pt>
                <c:pt idx="149">
                  <c:v>0.40350000000000003</c:v>
                </c:pt>
                <c:pt idx="150">
                  <c:v>4.4999999999999998E-2</c:v>
                </c:pt>
                <c:pt idx="151">
                  <c:v>0.49049999999999999</c:v>
                </c:pt>
                <c:pt idx="152">
                  <c:v>9.6000000000000002E-2</c:v>
                </c:pt>
                <c:pt idx="153">
                  <c:v>0.13900000000000001</c:v>
                </c:pt>
                <c:pt idx="154">
                  <c:v>0.47499999999999998</c:v>
                </c:pt>
                <c:pt idx="155">
                  <c:v>0.19450000000000001</c:v>
                </c:pt>
                <c:pt idx="156">
                  <c:v>0.186</c:v>
                </c:pt>
                <c:pt idx="157">
                  <c:v>0.54500000000000004</c:v>
                </c:pt>
                <c:pt idx="158">
                  <c:v>0.27350000000000002</c:v>
                </c:pt>
                <c:pt idx="159">
                  <c:v>0.30649999999999999</c:v>
                </c:pt>
                <c:pt idx="160">
                  <c:v>0.495</c:v>
                </c:pt>
                <c:pt idx="161">
                  <c:v>0.308</c:v>
                </c:pt>
                <c:pt idx="162">
                  <c:v>0.46050000000000002</c:v>
                </c:pt>
                <c:pt idx="163">
                  <c:v>0.2505</c:v>
                </c:pt>
                <c:pt idx="164">
                  <c:v>0.40550000000000003</c:v>
                </c:pt>
                <c:pt idx="165">
                  <c:v>0.35349999999999998</c:v>
                </c:pt>
                <c:pt idx="166">
                  <c:v>0.45200000000000001</c:v>
                </c:pt>
                <c:pt idx="167">
                  <c:v>0.52749999999999997</c:v>
                </c:pt>
                <c:pt idx="168">
                  <c:v>0.29249999999999998</c:v>
                </c:pt>
                <c:pt idx="169">
                  <c:v>0.13350000000000001</c:v>
                </c:pt>
                <c:pt idx="170">
                  <c:v>0.36149999999999999</c:v>
                </c:pt>
                <c:pt idx="171">
                  <c:v>0.15</c:v>
                </c:pt>
                <c:pt idx="172">
                  <c:v>0.27500000000000002</c:v>
                </c:pt>
                <c:pt idx="173">
                  <c:v>0.28249999999999997</c:v>
                </c:pt>
                <c:pt idx="174">
                  <c:v>0.20549999999999999</c:v>
                </c:pt>
                <c:pt idx="175">
                  <c:v>7.1999999999999995E-2</c:v>
                </c:pt>
                <c:pt idx="176">
                  <c:v>0.316</c:v>
                </c:pt>
                <c:pt idx="177">
                  <c:v>0.32700000000000001</c:v>
                </c:pt>
                <c:pt idx="178">
                  <c:v>0.19850000000000001</c:v>
                </c:pt>
                <c:pt idx="179">
                  <c:v>0.49049999999999999</c:v>
                </c:pt>
                <c:pt idx="180">
                  <c:v>0.16850000000000001</c:v>
                </c:pt>
                <c:pt idx="181">
                  <c:v>0.4325</c:v>
                </c:pt>
                <c:pt idx="182">
                  <c:v>0.3135</c:v>
                </c:pt>
                <c:pt idx="183">
                  <c:v>0.13950000000000001</c:v>
                </c:pt>
                <c:pt idx="184">
                  <c:v>6.9000000000000006E-2</c:v>
                </c:pt>
                <c:pt idx="185">
                  <c:v>0.56499999999999995</c:v>
                </c:pt>
                <c:pt idx="186">
                  <c:v>0.312</c:v>
                </c:pt>
                <c:pt idx="187">
                  <c:v>0.26350000000000001</c:v>
                </c:pt>
                <c:pt idx="188">
                  <c:v>0.27550000000000002</c:v>
                </c:pt>
                <c:pt idx="189">
                  <c:v>4.2500000000000003E-2</c:v>
                </c:pt>
                <c:pt idx="190">
                  <c:v>0.1915</c:v>
                </c:pt>
                <c:pt idx="191">
                  <c:v>0.2165</c:v>
                </c:pt>
                <c:pt idx="192">
                  <c:v>0.108</c:v>
                </c:pt>
                <c:pt idx="193">
                  <c:v>0.20300000000000001</c:v>
                </c:pt>
                <c:pt idx="194">
                  <c:v>0.46250000000000002</c:v>
                </c:pt>
                <c:pt idx="195">
                  <c:v>0.60499999999999998</c:v>
                </c:pt>
                <c:pt idx="196">
                  <c:v>0.40050000000000002</c:v>
                </c:pt>
                <c:pt idx="197">
                  <c:v>0.108</c:v>
                </c:pt>
                <c:pt idx="198">
                  <c:v>0.128</c:v>
                </c:pt>
                <c:pt idx="199">
                  <c:v>4.5499999999999999E-2</c:v>
                </c:pt>
                <c:pt idx="200">
                  <c:v>0.35499999999999998</c:v>
                </c:pt>
                <c:pt idx="201">
                  <c:v>6.5500000000000003E-2</c:v>
                </c:pt>
                <c:pt idx="202">
                  <c:v>0.3115</c:v>
                </c:pt>
                <c:pt idx="203">
                  <c:v>0.2155</c:v>
                </c:pt>
                <c:pt idx="204">
                  <c:v>2.8500000000000001E-2</c:v>
                </c:pt>
                <c:pt idx="205">
                  <c:v>0.33600000000000002</c:v>
                </c:pt>
                <c:pt idx="206">
                  <c:v>0.35749999999999998</c:v>
                </c:pt>
                <c:pt idx="207">
                  <c:v>0.1575</c:v>
                </c:pt>
                <c:pt idx="208">
                  <c:v>5.1999999999999998E-2</c:v>
                </c:pt>
                <c:pt idx="209">
                  <c:v>0.41099999999999998</c:v>
                </c:pt>
                <c:pt idx="210">
                  <c:v>0.27800000000000002</c:v>
                </c:pt>
                <c:pt idx="211">
                  <c:v>0.40500000000000003</c:v>
                </c:pt>
                <c:pt idx="212">
                  <c:v>0.23949999999999999</c:v>
                </c:pt>
                <c:pt idx="213">
                  <c:v>0.11</c:v>
                </c:pt>
                <c:pt idx="214">
                  <c:v>0.48949999999999999</c:v>
                </c:pt>
                <c:pt idx="215">
                  <c:v>0.30149999999999999</c:v>
                </c:pt>
                <c:pt idx="216">
                  <c:v>0.38100000000000001</c:v>
                </c:pt>
                <c:pt idx="217">
                  <c:v>1.9E-2</c:v>
                </c:pt>
                <c:pt idx="218">
                  <c:v>8.9999999999999993E-3</c:v>
                </c:pt>
                <c:pt idx="219">
                  <c:v>0.48149999999999998</c:v>
                </c:pt>
                <c:pt idx="220">
                  <c:v>0.55400000000000005</c:v>
                </c:pt>
                <c:pt idx="221">
                  <c:v>0.28249999999999997</c:v>
                </c:pt>
                <c:pt idx="222">
                  <c:v>0.43099999999999999</c:v>
                </c:pt>
                <c:pt idx="223">
                  <c:v>0.27350000000000002</c:v>
                </c:pt>
                <c:pt idx="224">
                  <c:v>0.3095</c:v>
                </c:pt>
                <c:pt idx="225">
                  <c:v>5.45E-2</c:v>
                </c:pt>
                <c:pt idx="226">
                  <c:v>3.6499999999999998E-2</c:v>
                </c:pt>
                <c:pt idx="227">
                  <c:v>7.7499999999999999E-2</c:v>
                </c:pt>
                <c:pt idx="228">
                  <c:v>0.2505</c:v>
                </c:pt>
                <c:pt idx="229">
                  <c:v>0.28249999999999997</c:v>
                </c:pt>
                <c:pt idx="230">
                  <c:v>4.0500000000000001E-2</c:v>
                </c:pt>
                <c:pt idx="231">
                  <c:v>0.495</c:v>
                </c:pt>
                <c:pt idx="232">
                  <c:v>0.47499999999999998</c:v>
                </c:pt>
                <c:pt idx="233">
                  <c:v>0.39150000000000001</c:v>
                </c:pt>
                <c:pt idx="234">
                  <c:v>0.08</c:v>
                </c:pt>
                <c:pt idx="235">
                  <c:v>0.39200000000000002</c:v>
                </c:pt>
                <c:pt idx="236">
                  <c:v>0.219</c:v>
                </c:pt>
                <c:pt idx="237">
                  <c:v>0.35599999999999998</c:v>
                </c:pt>
                <c:pt idx="238">
                  <c:v>0.495</c:v>
                </c:pt>
                <c:pt idx="239">
                  <c:v>0.22</c:v>
                </c:pt>
                <c:pt idx="240">
                  <c:v>0.41549999999999998</c:v>
                </c:pt>
                <c:pt idx="241">
                  <c:v>0.4415</c:v>
                </c:pt>
                <c:pt idx="242">
                  <c:v>0.50549999999999995</c:v>
                </c:pt>
                <c:pt idx="243">
                  <c:v>0.4995</c:v>
                </c:pt>
                <c:pt idx="244">
                  <c:v>0.1575</c:v>
                </c:pt>
                <c:pt idx="245">
                  <c:v>0.2135</c:v>
                </c:pt>
                <c:pt idx="246">
                  <c:v>8.7499999999999994E-2</c:v>
                </c:pt>
                <c:pt idx="247">
                  <c:v>0.14099999999999999</c:v>
                </c:pt>
                <c:pt idx="248">
                  <c:v>0.25900000000000001</c:v>
                </c:pt>
                <c:pt idx="249">
                  <c:v>0.34699999999999998</c:v>
                </c:pt>
                <c:pt idx="250">
                  <c:v>0.1535</c:v>
                </c:pt>
                <c:pt idx="251">
                  <c:v>0.15</c:v>
                </c:pt>
                <c:pt idx="252">
                  <c:v>0.54749999999999999</c:v>
                </c:pt>
                <c:pt idx="253">
                  <c:v>0.16350000000000001</c:v>
                </c:pt>
                <c:pt idx="254">
                  <c:v>0.18049999999999999</c:v>
                </c:pt>
                <c:pt idx="255">
                  <c:v>0.18149999999999999</c:v>
                </c:pt>
                <c:pt idx="256">
                  <c:v>0.3795</c:v>
                </c:pt>
                <c:pt idx="257">
                  <c:v>0.28199999999999997</c:v>
                </c:pt>
                <c:pt idx="258">
                  <c:v>0.11749999999999999</c:v>
                </c:pt>
                <c:pt idx="259">
                  <c:v>0.497</c:v>
                </c:pt>
                <c:pt idx="260">
                  <c:v>0.39350000000000002</c:v>
                </c:pt>
                <c:pt idx="261">
                  <c:v>0.33600000000000002</c:v>
                </c:pt>
                <c:pt idx="262">
                  <c:v>0.21049999999999999</c:v>
                </c:pt>
                <c:pt idx="263">
                  <c:v>0.51749999999999996</c:v>
                </c:pt>
                <c:pt idx="264">
                  <c:v>0.20799999999999999</c:v>
                </c:pt>
                <c:pt idx="265">
                  <c:v>0.2145</c:v>
                </c:pt>
                <c:pt idx="266">
                  <c:v>0.22900000000000001</c:v>
                </c:pt>
                <c:pt idx="267">
                  <c:v>0.28000000000000003</c:v>
                </c:pt>
                <c:pt idx="268">
                  <c:v>0.32750000000000001</c:v>
                </c:pt>
                <c:pt idx="269">
                  <c:v>0.1205</c:v>
                </c:pt>
                <c:pt idx="270">
                  <c:v>0.17399999999999999</c:v>
                </c:pt>
                <c:pt idx="271">
                  <c:v>0.22950000000000001</c:v>
                </c:pt>
                <c:pt idx="272">
                  <c:v>0.113</c:v>
                </c:pt>
                <c:pt idx="273">
                  <c:v>0.1065</c:v>
                </c:pt>
                <c:pt idx="274">
                  <c:v>0.24299999999999999</c:v>
                </c:pt>
                <c:pt idx="275">
                  <c:v>0.33200000000000002</c:v>
                </c:pt>
                <c:pt idx="276">
                  <c:v>0.50449999999999995</c:v>
                </c:pt>
                <c:pt idx="277">
                  <c:v>0.26900000000000002</c:v>
                </c:pt>
                <c:pt idx="278">
                  <c:v>0.1545</c:v>
                </c:pt>
                <c:pt idx="279">
                  <c:v>0.06</c:v>
                </c:pt>
                <c:pt idx="280">
                  <c:v>0.26100000000000001</c:v>
                </c:pt>
                <c:pt idx="281">
                  <c:v>0.17749999999999999</c:v>
                </c:pt>
                <c:pt idx="282">
                  <c:v>0.1575</c:v>
                </c:pt>
                <c:pt idx="283">
                  <c:v>2.1499999999999998E-2</c:v>
                </c:pt>
                <c:pt idx="284">
                  <c:v>0.27450000000000002</c:v>
                </c:pt>
                <c:pt idx="285">
                  <c:v>2.9499999999999998E-2</c:v>
                </c:pt>
                <c:pt idx="286">
                  <c:v>0.24049999999999999</c:v>
                </c:pt>
                <c:pt idx="287">
                  <c:v>0.224</c:v>
                </c:pt>
                <c:pt idx="288">
                  <c:v>0.32500000000000001</c:v>
                </c:pt>
                <c:pt idx="289">
                  <c:v>0.151</c:v>
                </c:pt>
                <c:pt idx="290">
                  <c:v>0.40600000000000003</c:v>
                </c:pt>
                <c:pt idx="291">
                  <c:v>0.46899999999999997</c:v>
                </c:pt>
                <c:pt idx="292">
                  <c:v>7.9000000000000001E-2</c:v>
                </c:pt>
                <c:pt idx="293">
                  <c:v>0.17399999999999999</c:v>
                </c:pt>
                <c:pt idx="294">
                  <c:v>0.53100000000000003</c:v>
                </c:pt>
                <c:pt idx="295">
                  <c:v>0.109</c:v>
                </c:pt>
                <c:pt idx="296">
                  <c:v>0.224</c:v>
                </c:pt>
                <c:pt idx="297">
                  <c:v>0.222</c:v>
                </c:pt>
                <c:pt idx="298">
                  <c:v>0.39050000000000001</c:v>
                </c:pt>
                <c:pt idx="299">
                  <c:v>0.26350000000000001</c:v>
                </c:pt>
                <c:pt idx="300">
                  <c:v>0.26350000000000001</c:v>
                </c:pt>
                <c:pt idx="301">
                  <c:v>0.24199999999999999</c:v>
                </c:pt>
                <c:pt idx="302">
                  <c:v>3.4500000000000003E-2</c:v>
                </c:pt>
                <c:pt idx="303">
                  <c:v>0.34699999999999998</c:v>
                </c:pt>
                <c:pt idx="304">
                  <c:v>0.11899999999999999</c:v>
                </c:pt>
                <c:pt idx="305">
                  <c:v>9.9500000000000005E-2</c:v>
                </c:pt>
                <c:pt idx="306">
                  <c:v>0.41899999999999998</c:v>
                </c:pt>
                <c:pt idx="307">
                  <c:v>0.28949999999999998</c:v>
                </c:pt>
                <c:pt idx="308">
                  <c:v>0.32800000000000001</c:v>
                </c:pt>
                <c:pt idx="309">
                  <c:v>8.1000000000000003E-2</c:v>
                </c:pt>
                <c:pt idx="310">
                  <c:v>0.24049999999999999</c:v>
                </c:pt>
                <c:pt idx="311">
                  <c:v>7.2499999999999995E-2</c:v>
                </c:pt>
                <c:pt idx="312">
                  <c:v>0.30599999999999999</c:v>
                </c:pt>
                <c:pt idx="313">
                  <c:v>0.44550000000000001</c:v>
                </c:pt>
                <c:pt idx="314">
                  <c:v>0.3785</c:v>
                </c:pt>
                <c:pt idx="315">
                  <c:v>0.1865</c:v>
                </c:pt>
                <c:pt idx="316">
                  <c:v>0.41399999999999998</c:v>
                </c:pt>
                <c:pt idx="317">
                  <c:v>7.4999999999999997E-3</c:v>
                </c:pt>
                <c:pt idx="318">
                  <c:v>0.19450000000000001</c:v>
                </c:pt>
                <c:pt idx="319">
                  <c:v>0.373</c:v>
                </c:pt>
                <c:pt idx="320">
                  <c:v>6.25E-2</c:v>
                </c:pt>
                <c:pt idx="321">
                  <c:v>7.85E-2</c:v>
                </c:pt>
                <c:pt idx="322">
                  <c:v>0.1075</c:v>
                </c:pt>
                <c:pt idx="323">
                  <c:v>0.36799999999999999</c:v>
                </c:pt>
                <c:pt idx="324">
                  <c:v>0.377</c:v>
                </c:pt>
                <c:pt idx="325">
                  <c:v>0.27600000000000002</c:v>
                </c:pt>
                <c:pt idx="326">
                  <c:v>8.1000000000000003E-2</c:v>
                </c:pt>
                <c:pt idx="327">
                  <c:v>0.23699999999999999</c:v>
                </c:pt>
                <c:pt idx="328">
                  <c:v>0.41899999999999998</c:v>
                </c:pt>
                <c:pt idx="329">
                  <c:v>0.21299999999999999</c:v>
                </c:pt>
                <c:pt idx="330">
                  <c:v>0.34499999999999997</c:v>
                </c:pt>
                <c:pt idx="331">
                  <c:v>0.2535</c:v>
                </c:pt>
                <c:pt idx="332">
                  <c:v>0.47699999999999998</c:v>
                </c:pt>
                <c:pt idx="333">
                  <c:v>0.39050000000000001</c:v>
                </c:pt>
                <c:pt idx="334">
                  <c:v>0.41399999999999998</c:v>
                </c:pt>
                <c:pt idx="335">
                  <c:v>0.39250000000000002</c:v>
                </c:pt>
                <c:pt idx="336">
                  <c:v>0.51100000000000001</c:v>
                </c:pt>
                <c:pt idx="337">
                  <c:v>0.31850000000000001</c:v>
                </c:pt>
                <c:pt idx="338">
                  <c:v>0.36449999999999999</c:v>
                </c:pt>
                <c:pt idx="339">
                  <c:v>0.40949999999999998</c:v>
                </c:pt>
                <c:pt idx="340">
                  <c:v>0.16950000000000001</c:v>
                </c:pt>
                <c:pt idx="341">
                  <c:v>0.23649999999999999</c:v>
                </c:pt>
                <c:pt idx="342">
                  <c:v>0.104</c:v>
                </c:pt>
                <c:pt idx="343">
                  <c:v>0.1205</c:v>
                </c:pt>
                <c:pt idx="344">
                  <c:v>0.35299999999999998</c:v>
                </c:pt>
                <c:pt idx="345">
                  <c:v>0.44600000000000001</c:v>
                </c:pt>
                <c:pt idx="346">
                  <c:v>0.16250000000000001</c:v>
                </c:pt>
                <c:pt idx="347">
                  <c:v>6.0499999999999998E-2</c:v>
                </c:pt>
                <c:pt idx="348">
                  <c:v>0.1845</c:v>
                </c:pt>
                <c:pt idx="349">
                  <c:v>0.4</c:v>
                </c:pt>
                <c:pt idx="350">
                  <c:v>0.38650000000000001</c:v>
                </c:pt>
                <c:pt idx="351">
                  <c:v>9.5000000000000001E-2</c:v>
                </c:pt>
                <c:pt idx="352">
                  <c:v>0.152</c:v>
                </c:pt>
                <c:pt idx="353">
                  <c:v>0.41149999999999998</c:v>
                </c:pt>
                <c:pt idx="354">
                  <c:v>0.45150000000000001</c:v>
                </c:pt>
                <c:pt idx="355">
                  <c:v>0.1075</c:v>
                </c:pt>
                <c:pt idx="356">
                  <c:v>0.41649999999999998</c:v>
                </c:pt>
                <c:pt idx="357">
                  <c:v>0.45150000000000001</c:v>
                </c:pt>
                <c:pt idx="358">
                  <c:v>5.6500000000000002E-2</c:v>
                </c:pt>
                <c:pt idx="359">
                  <c:v>0.23549999999999999</c:v>
                </c:pt>
                <c:pt idx="360">
                  <c:v>0.23350000000000001</c:v>
                </c:pt>
                <c:pt idx="361">
                  <c:v>0.2485</c:v>
                </c:pt>
                <c:pt idx="362">
                  <c:v>0.4375</c:v>
                </c:pt>
                <c:pt idx="363">
                  <c:v>0.41899999999999998</c:v>
                </c:pt>
                <c:pt idx="364">
                  <c:v>0.25950000000000001</c:v>
                </c:pt>
                <c:pt idx="365">
                  <c:v>0.5625</c:v>
                </c:pt>
                <c:pt idx="366">
                  <c:v>0.115</c:v>
                </c:pt>
                <c:pt idx="367">
                  <c:v>3.1E-2</c:v>
                </c:pt>
                <c:pt idx="368">
                  <c:v>0.16550000000000001</c:v>
                </c:pt>
                <c:pt idx="369">
                  <c:v>0.16</c:v>
                </c:pt>
                <c:pt idx="370">
                  <c:v>0.123</c:v>
                </c:pt>
                <c:pt idx="371">
                  <c:v>0.35449999999999998</c:v>
                </c:pt>
                <c:pt idx="372">
                  <c:v>0.29749999999999999</c:v>
                </c:pt>
                <c:pt idx="373">
                  <c:v>0.29299999999999998</c:v>
                </c:pt>
                <c:pt idx="374">
                  <c:v>0.441</c:v>
                </c:pt>
                <c:pt idx="375">
                  <c:v>0.26150000000000001</c:v>
                </c:pt>
                <c:pt idx="376">
                  <c:v>0.153</c:v>
                </c:pt>
                <c:pt idx="377">
                  <c:v>2.4E-2</c:v>
                </c:pt>
                <c:pt idx="378">
                  <c:v>0.47199999999999998</c:v>
                </c:pt>
                <c:pt idx="379">
                  <c:v>0.13350000000000001</c:v>
                </c:pt>
                <c:pt idx="380">
                  <c:v>3.4000000000000002E-2</c:v>
                </c:pt>
                <c:pt idx="381">
                  <c:v>1.55E-2</c:v>
                </c:pt>
                <c:pt idx="382">
                  <c:v>0.44500000000000001</c:v>
                </c:pt>
                <c:pt idx="383">
                  <c:v>4.1500000000000002E-2</c:v>
                </c:pt>
                <c:pt idx="384">
                  <c:v>0.14299999999999999</c:v>
                </c:pt>
                <c:pt idx="385">
                  <c:v>0.23250000000000001</c:v>
                </c:pt>
                <c:pt idx="386">
                  <c:v>0.16250000000000001</c:v>
                </c:pt>
                <c:pt idx="387">
                  <c:v>0.35349999999999998</c:v>
                </c:pt>
                <c:pt idx="388">
                  <c:v>0.54549999999999998</c:v>
                </c:pt>
                <c:pt idx="389">
                  <c:v>0.23100000000000001</c:v>
                </c:pt>
                <c:pt idx="390">
                  <c:v>7.1999999999999995E-2</c:v>
                </c:pt>
                <c:pt idx="391">
                  <c:v>0.33450000000000002</c:v>
                </c:pt>
                <c:pt idx="392">
                  <c:v>0.34899999999999998</c:v>
                </c:pt>
                <c:pt idx="393">
                  <c:v>0.27050000000000002</c:v>
                </c:pt>
                <c:pt idx="394">
                  <c:v>0.43</c:v>
                </c:pt>
                <c:pt idx="395">
                  <c:v>0.27</c:v>
                </c:pt>
                <c:pt idx="396">
                  <c:v>0.114</c:v>
                </c:pt>
                <c:pt idx="397">
                  <c:v>0.255</c:v>
                </c:pt>
                <c:pt idx="398">
                  <c:v>0.40949999999999998</c:v>
                </c:pt>
                <c:pt idx="399">
                  <c:v>0.17199999999999999</c:v>
                </c:pt>
                <c:pt idx="400">
                  <c:v>0.34499999999999997</c:v>
                </c:pt>
                <c:pt idx="401">
                  <c:v>0.187</c:v>
                </c:pt>
                <c:pt idx="402">
                  <c:v>0.42549999999999999</c:v>
                </c:pt>
                <c:pt idx="403">
                  <c:v>7.2499999999999995E-2</c:v>
                </c:pt>
                <c:pt idx="404">
                  <c:v>0.221</c:v>
                </c:pt>
                <c:pt idx="405">
                  <c:v>0.14799999999999999</c:v>
                </c:pt>
                <c:pt idx="406">
                  <c:v>0.53949999999999998</c:v>
                </c:pt>
                <c:pt idx="407">
                  <c:v>0.48599999999999999</c:v>
                </c:pt>
                <c:pt idx="408">
                  <c:v>0.13850000000000001</c:v>
                </c:pt>
                <c:pt idx="409">
                  <c:v>0.48949999999999999</c:v>
                </c:pt>
                <c:pt idx="410">
                  <c:v>0.21</c:v>
                </c:pt>
                <c:pt idx="411">
                  <c:v>0.17849999999999999</c:v>
                </c:pt>
                <c:pt idx="412">
                  <c:v>0.16650000000000001</c:v>
                </c:pt>
                <c:pt idx="413">
                  <c:v>0.27450000000000002</c:v>
                </c:pt>
                <c:pt idx="414">
                  <c:v>0.47649999999999998</c:v>
                </c:pt>
                <c:pt idx="415">
                  <c:v>0.16900000000000001</c:v>
                </c:pt>
                <c:pt idx="416">
                  <c:v>0.104</c:v>
                </c:pt>
                <c:pt idx="417">
                  <c:v>0.59699999999999998</c:v>
                </c:pt>
                <c:pt idx="418">
                  <c:v>0.249</c:v>
                </c:pt>
                <c:pt idx="419">
                  <c:v>0.21</c:v>
                </c:pt>
                <c:pt idx="420">
                  <c:v>6.8500000000000005E-2</c:v>
                </c:pt>
                <c:pt idx="421">
                  <c:v>0.33250000000000002</c:v>
                </c:pt>
                <c:pt idx="422">
                  <c:v>0.46</c:v>
                </c:pt>
                <c:pt idx="423">
                  <c:v>0.5635</c:v>
                </c:pt>
                <c:pt idx="424">
                  <c:v>6.8000000000000005E-2</c:v>
                </c:pt>
                <c:pt idx="425">
                  <c:v>0.21049999999999999</c:v>
                </c:pt>
                <c:pt idx="426">
                  <c:v>0.45100000000000001</c:v>
                </c:pt>
                <c:pt idx="427">
                  <c:v>9.35E-2</c:v>
                </c:pt>
                <c:pt idx="428">
                  <c:v>0.14599999999999999</c:v>
                </c:pt>
                <c:pt idx="429">
                  <c:v>0.20799999999999999</c:v>
                </c:pt>
                <c:pt idx="430">
                  <c:v>0.1515</c:v>
                </c:pt>
                <c:pt idx="431">
                  <c:v>0.158</c:v>
                </c:pt>
                <c:pt idx="432">
                  <c:v>7.8E-2</c:v>
                </c:pt>
                <c:pt idx="433">
                  <c:v>0.41899999999999998</c:v>
                </c:pt>
                <c:pt idx="434">
                  <c:v>1.7000000000000001E-2</c:v>
                </c:pt>
                <c:pt idx="435">
                  <c:v>0.26950000000000002</c:v>
                </c:pt>
                <c:pt idx="436">
                  <c:v>0.33750000000000002</c:v>
                </c:pt>
                <c:pt idx="437">
                  <c:v>0.49</c:v>
                </c:pt>
                <c:pt idx="438">
                  <c:v>0.52</c:v>
                </c:pt>
                <c:pt idx="439">
                  <c:v>0.02</c:v>
                </c:pt>
                <c:pt idx="440">
                  <c:v>0.40400000000000003</c:v>
                </c:pt>
                <c:pt idx="441">
                  <c:v>0.17499999999999999</c:v>
                </c:pt>
                <c:pt idx="442">
                  <c:v>0.19600000000000001</c:v>
                </c:pt>
                <c:pt idx="443">
                  <c:v>0.11849999999999999</c:v>
                </c:pt>
                <c:pt idx="444">
                  <c:v>3.3000000000000002E-2</c:v>
                </c:pt>
                <c:pt idx="445">
                  <c:v>0.254</c:v>
                </c:pt>
                <c:pt idx="446">
                  <c:v>0.52049999999999996</c:v>
                </c:pt>
                <c:pt idx="447">
                  <c:v>0.24099999999999999</c:v>
                </c:pt>
                <c:pt idx="448">
                  <c:v>0.3145</c:v>
                </c:pt>
                <c:pt idx="449">
                  <c:v>0.23200000000000001</c:v>
                </c:pt>
                <c:pt idx="450">
                  <c:v>0.14299999999999999</c:v>
                </c:pt>
                <c:pt idx="451">
                  <c:v>0.33</c:v>
                </c:pt>
                <c:pt idx="452">
                  <c:v>0.3745</c:v>
                </c:pt>
                <c:pt idx="453">
                  <c:v>0.222</c:v>
                </c:pt>
                <c:pt idx="454">
                  <c:v>0.214</c:v>
                </c:pt>
                <c:pt idx="455">
                  <c:v>0.35399999999999998</c:v>
                </c:pt>
                <c:pt idx="456">
                  <c:v>0.1125</c:v>
                </c:pt>
                <c:pt idx="457">
                  <c:v>1.35E-2</c:v>
                </c:pt>
                <c:pt idx="458">
                  <c:v>0.23699999999999999</c:v>
                </c:pt>
                <c:pt idx="459">
                  <c:v>0.2485</c:v>
                </c:pt>
                <c:pt idx="460">
                  <c:v>0.38650000000000001</c:v>
                </c:pt>
                <c:pt idx="461">
                  <c:v>0.3125</c:v>
                </c:pt>
                <c:pt idx="462">
                  <c:v>0.27450000000000002</c:v>
                </c:pt>
                <c:pt idx="463">
                  <c:v>0.33700000000000002</c:v>
                </c:pt>
                <c:pt idx="464">
                  <c:v>0.34</c:v>
                </c:pt>
                <c:pt idx="465">
                  <c:v>0.54700000000000004</c:v>
                </c:pt>
                <c:pt idx="466">
                  <c:v>0.44350000000000001</c:v>
                </c:pt>
                <c:pt idx="467">
                  <c:v>0.1255</c:v>
                </c:pt>
                <c:pt idx="468">
                  <c:v>0.19</c:v>
                </c:pt>
                <c:pt idx="469">
                  <c:v>0.51749999999999996</c:v>
                </c:pt>
                <c:pt idx="470">
                  <c:v>7.4999999999999997E-3</c:v>
                </c:pt>
                <c:pt idx="471">
                  <c:v>0.19700000000000001</c:v>
                </c:pt>
                <c:pt idx="472">
                  <c:v>0.35199999999999998</c:v>
                </c:pt>
                <c:pt idx="473">
                  <c:v>0.17499999999999999</c:v>
                </c:pt>
                <c:pt idx="474">
                  <c:v>0.246</c:v>
                </c:pt>
                <c:pt idx="475">
                  <c:v>0.4425</c:v>
                </c:pt>
                <c:pt idx="476">
                  <c:v>0.46150000000000002</c:v>
                </c:pt>
                <c:pt idx="477">
                  <c:v>0.49349999999999999</c:v>
                </c:pt>
                <c:pt idx="478">
                  <c:v>0.38250000000000001</c:v>
                </c:pt>
                <c:pt idx="479">
                  <c:v>0.1075</c:v>
                </c:pt>
                <c:pt idx="480">
                  <c:v>0.70699999999999996</c:v>
                </c:pt>
                <c:pt idx="481">
                  <c:v>0.40050000000000002</c:v>
                </c:pt>
                <c:pt idx="482">
                  <c:v>0.4985</c:v>
                </c:pt>
                <c:pt idx="483">
                  <c:v>0.46100000000000002</c:v>
                </c:pt>
                <c:pt idx="484">
                  <c:v>5.45E-2</c:v>
                </c:pt>
                <c:pt idx="485">
                  <c:v>0.42149999999999999</c:v>
                </c:pt>
                <c:pt idx="486">
                  <c:v>0.49349999999999999</c:v>
                </c:pt>
                <c:pt idx="487">
                  <c:v>0.1575</c:v>
                </c:pt>
                <c:pt idx="488">
                  <c:v>0.43149999999999999</c:v>
                </c:pt>
                <c:pt idx="489">
                  <c:v>0.34300000000000003</c:v>
                </c:pt>
                <c:pt idx="490">
                  <c:v>0.39700000000000002</c:v>
                </c:pt>
                <c:pt idx="491">
                  <c:v>0.40350000000000003</c:v>
                </c:pt>
                <c:pt idx="492">
                  <c:v>0.16700000000000001</c:v>
                </c:pt>
                <c:pt idx="493">
                  <c:v>0.27350000000000002</c:v>
                </c:pt>
                <c:pt idx="494">
                  <c:v>0.45950000000000002</c:v>
                </c:pt>
                <c:pt idx="495">
                  <c:v>0.08</c:v>
                </c:pt>
                <c:pt idx="496">
                  <c:v>0.5585</c:v>
                </c:pt>
                <c:pt idx="497">
                  <c:v>0.30449999999999999</c:v>
                </c:pt>
                <c:pt idx="498">
                  <c:v>0.23300000000000001</c:v>
                </c:pt>
                <c:pt idx="499">
                  <c:v>3.85E-2</c:v>
                </c:pt>
                <c:pt idx="500">
                  <c:v>0.3765</c:v>
                </c:pt>
                <c:pt idx="501">
                  <c:v>0.1875</c:v>
                </c:pt>
                <c:pt idx="502">
                  <c:v>0.216</c:v>
                </c:pt>
                <c:pt idx="503">
                  <c:v>0.17849999999999999</c:v>
                </c:pt>
                <c:pt idx="504">
                  <c:v>0.19400000000000001</c:v>
                </c:pt>
                <c:pt idx="505">
                  <c:v>0.55900000000000005</c:v>
                </c:pt>
                <c:pt idx="506">
                  <c:v>0.35399999999999998</c:v>
                </c:pt>
                <c:pt idx="507">
                  <c:v>0.34699999999999998</c:v>
                </c:pt>
                <c:pt idx="508">
                  <c:v>0.3735</c:v>
                </c:pt>
                <c:pt idx="509">
                  <c:v>0.25950000000000001</c:v>
                </c:pt>
                <c:pt idx="510">
                  <c:v>2.0500000000000001E-2</c:v>
                </c:pt>
                <c:pt idx="511">
                  <c:v>0.4955</c:v>
                </c:pt>
                <c:pt idx="512">
                  <c:v>0.1825</c:v>
                </c:pt>
                <c:pt idx="513">
                  <c:v>0.23849999999999999</c:v>
                </c:pt>
                <c:pt idx="514">
                  <c:v>0.46450000000000002</c:v>
                </c:pt>
                <c:pt idx="515">
                  <c:v>0.29349999999999998</c:v>
                </c:pt>
                <c:pt idx="516">
                  <c:v>0.56950000000000001</c:v>
                </c:pt>
                <c:pt idx="517">
                  <c:v>0.33750000000000002</c:v>
                </c:pt>
                <c:pt idx="518">
                  <c:v>0.17749999999999999</c:v>
                </c:pt>
                <c:pt idx="519">
                  <c:v>0.16550000000000001</c:v>
                </c:pt>
                <c:pt idx="520">
                  <c:v>0.45400000000000001</c:v>
                </c:pt>
                <c:pt idx="521">
                  <c:v>0.4415</c:v>
                </c:pt>
                <c:pt idx="522">
                  <c:v>2.7E-2</c:v>
                </c:pt>
                <c:pt idx="523">
                  <c:v>8.8499999999999995E-2</c:v>
                </c:pt>
                <c:pt idx="524">
                  <c:v>0.38500000000000001</c:v>
                </c:pt>
                <c:pt idx="525">
                  <c:v>0.40799999999999997</c:v>
                </c:pt>
                <c:pt idx="526">
                  <c:v>0.34300000000000003</c:v>
                </c:pt>
                <c:pt idx="527">
                  <c:v>0.39200000000000002</c:v>
                </c:pt>
                <c:pt idx="528">
                  <c:v>0.39350000000000002</c:v>
                </c:pt>
                <c:pt idx="529">
                  <c:v>0.20649999999999999</c:v>
                </c:pt>
                <c:pt idx="530">
                  <c:v>0.34749999999999998</c:v>
                </c:pt>
                <c:pt idx="531">
                  <c:v>0.18099999999999999</c:v>
                </c:pt>
                <c:pt idx="532">
                  <c:v>2.7E-2</c:v>
                </c:pt>
                <c:pt idx="533">
                  <c:v>0.17649999999999999</c:v>
                </c:pt>
                <c:pt idx="534">
                  <c:v>0.3775</c:v>
                </c:pt>
                <c:pt idx="535">
                  <c:v>0.26400000000000001</c:v>
                </c:pt>
                <c:pt idx="536">
                  <c:v>0.46949999999999997</c:v>
                </c:pt>
                <c:pt idx="537">
                  <c:v>0.16400000000000001</c:v>
                </c:pt>
                <c:pt idx="538">
                  <c:v>0.48449999999999999</c:v>
                </c:pt>
                <c:pt idx="539">
                  <c:v>0.22450000000000001</c:v>
                </c:pt>
                <c:pt idx="540">
                  <c:v>0.3105</c:v>
                </c:pt>
                <c:pt idx="541">
                  <c:v>0.29199999999999998</c:v>
                </c:pt>
                <c:pt idx="542">
                  <c:v>0.18149999999999999</c:v>
                </c:pt>
                <c:pt idx="543">
                  <c:v>0.25650000000000001</c:v>
                </c:pt>
                <c:pt idx="544">
                  <c:v>0.48149999999999998</c:v>
                </c:pt>
                <c:pt idx="545">
                  <c:v>0.14449999999999999</c:v>
                </c:pt>
                <c:pt idx="546">
                  <c:v>9.1999999999999998E-2</c:v>
                </c:pt>
                <c:pt idx="547">
                  <c:v>0.28749999999999998</c:v>
                </c:pt>
                <c:pt idx="548">
                  <c:v>0.38750000000000001</c:v>
                </c:pt>
                <c:pt idx="549">
                  <c:v>4.3999999999999997E-2</c:v>
                </c:pt>
                <c:pt idx="550">
                  <c:v>0.3725</c:v>
                </c:pt>
                <c:pt idx="551">
                  <c:v>0.53949999999999998</c:v>
                </c:pt>
                <c:pt idx="552">
                  <c:v>0.26750000000000002</c:v>
                </c:pt>
                <c:pt idx="553">
                  <c:v>0.44850000000000001</c:v>
                </c:pt>
                <c:pt idx="554">
                  <c:v>0.29699999999999999</c:v>
                </c:pt>
                <c:pt idx="555">
                  <c:v>0.34849999999999998</c:v>
                </c:pt>
                <c:pt idx="556">
                  <c:v>1.0999999999999999E-2</c:v>
                </c:pt>
                <c:pt idx="557">
                  <c:v>0.1915</c:v>
                </c:pt>
                <c:pt idx="558">
                  <c:v>0.1275</c:v>
                </c:pt>
                <c:pt idx="559">
                  <c:v>0.38</c:v>
                </c:pt>
                <c:pt idx="560">
                  <c:v>0.27850000000000003</c:v>
                </c:pt>
                <c:pt idx="561">
                  <c:v>0.49149999999999999</c:v>
                </c:pt>
                <c:pt idx="562">
                  <c:v>9.4E-2</c:v>
                </c:pt>
                <c:pt idx="563">
                  <c:v>0.41099999999999998</c:v>
                </c:pt>
                <c:pt idx="564">
                  <c:v>5.6500000000000002E-2</c:v>
                </c:pt>
                <c:pt idx="565">
                  <c:v>0.1545</c:v>
                </c:pt>
                <c:pt idx="566">
                  <c:v>0.186</c:v>
                </c:pt>
                <c:pt idx="567">
                  <c:v>0.11899999999999999</c:v>
                </c:pt>
                <c:pt idx="568">
                  <c:v>6.5500000000000003E-2</c:v>
                </c:pt>
                <c:pt idx="569">
                  <c:v>0.17249999999999999</c:v>
                </c:pt>
                <c:pt idx="570">
                  <c:v>0.4375</c:v>
                </c:pt>
                <c:pt idx="571">
                  <c:v>0.377</c:v>
                </c:pt>
                <c:pt idx="572">
                  <c:v>0.48399999999999999</c:v>
                </c:pt>
                <c:pt idx="573">
                  <c:v>0.2</c:v>
                </c:pt>
                <c:pt idx="574">
                  <c:v>0.36799999999999999</c:v>
                </c:pt>
                <c:pt idx="575">
                  <c:v>0.47549999999999998</c:v>
                </c:pt>
                <c:pt idx="576">
                  <c:v>0.40300000000000002</c:v>
                </c:pt>
                <c:pt idx="577">
                  <c:v>0.20250000000000001</c:v>
                </c:pt>
                <c:pt idx="578">
                  <c:v>0.17499999999999999</c:v>
                </c:pt>
                <c:pt idx="579">
                  <c:v>0.46700000000000003</c:v>
                </c:pt>
                <c:pt idx="580">
                  <c:v>0.27650000000000002</c:v>
                </c:pt>
                <c:pt idx="581">
                  <c:v>0.27250000000000002</c:v>
                </c:pt>
                <c:pt idx="582">
                  <c:v>0.26650000000000001</c:v>
                </c:pt>
                <c:pt idx="583">
                  <c:v>8.6499999999999994E-2</c:v>
                </c:pt>
                <c:pt idx="584">
                  <c:v>0.36099999999999999</c:v>
                </c:pt>
                <c:pt idx="585">
                  <c:v>3.85E-2</c:v>
                </c:pt>
                <c:pt idx="586">
                  <c:v>0.375</c:v>
                </c:pt>
                <c:pt idx="587">
                  <c:v>0.39100000000000001</c:v>
                </c:pt>
                <c:pt idx="588">
                  <c:v>0.1255</c:v>
                </c:pt>
                <c:pt idx="589">
                  <c:v>6.1499999999999999E-2</c:v>
                </c:pt>
                <c:pt idx="590">
                  <c:v>7.8E-2</c:v>
                </c:pt>
                <c:pt idx="591">
                  <c:v>0.28949999999999998</c:v>
                </c:pt>
                <c:pt idx="592">
                  <c:v>0.40300000000000002</c:v>
                </c:pt>
                <c:pt idx="593">
                  <c:v>0.55500000000000005</c:v>
                </c:pt>
                <c:pt idx="594">
                  <c:v>7.5999999999999998E-2</c:v>
                </c:pt>
                <c:pt idx="595">
                  <c:v>0.14149999999999999</c:v>
                </c:pt>
                <c:pt idx="596">
                  <c:v>0.17100000000000001</c:v>
                </c:pt>
                <c:pt idx="597">
                  <c:v>0.14799999999999999</c:v>
                </c:pt>
                <c:pt idx="598">
                  <c:v>0.159</c:v>
                </c:pt>
                <c:pt idx="599">
                  <c:v>0.1285</c:v>
                </c:pt>
                <c:pt idx="600">
                  <c:v>7.2999999999999995E-2</c:v>
                </c:pt>
                <c:pt idx="601">
                  <c:v>0.18149999999999999</c:v>
                </c:pt>
                <c:pt idx="602">
                  <c:v>0.19900000000000001</c:v>
                </c:pt>
                <c:pt idx="603">
                  <c:v>0.08</c:v>
                </c:pt>
                <c:pt idx="604">
                  <c:v>0.1225</c:v>
                </c:pt>
                <c:pt idx="605">
                  <c:v>0.63149999999999995</c:v>
                </c:pt>
                <c:pt idx="606">
                  <c:v>0.23100000000000001</c:v>
                </c:pt>
                <c:pt idx="607">
                  <c:v>0.2445</c:v>
                </c:pt>
                <c:pt idx="608">
                  <c:v>0.115</c:v>
                </c:pt>
                <c:pt idx="609">
                  <c:v>0.10150000000000001</c:v>
                </c:pt>
                <c:pt idx="610">
                  <c:v>0.28199999999999997</c:v>
                </c:pt>
                <c:pt idx="611">
                  <c:v>0.435</c:v>
                </c:pt>
                <c:pt idx="612">
                  <c:v>0.26650000000000001</c:v>
                </c:pt>
                <c:pt idx="613">
                  <c:v>0.53</c:v>
                </c:pt>
                <c:pt idx="614">
                  <c:v>0.184</c:v>
                </c:pt>
                <c:pt idx="615">
                  <c:v>0.47499999999999998</c:v>
                </c:pt>
                <c:pt idx="616">
                  <c:v>0.36899999999999999</c:v>
                </c:pt>
                <c:pt idx="617">
                  <c:v>6.5000000000000002E-2</c:v>
                </c:pt>
                <c:pt idx="618">
                  <c:v>2.5000000000000001E-3</c:v>
                </c:pt>
                <c:pt idx="619">
                  <c:v>0.312</c:v>
                </c:pt>
                <c:pt idx="620">
                  <c:v>6.5000000000000002E-2</c:v>
                </c:pt>
                <c:pt idx="621">
                  <c:v>5.9499999999999997E-2</c:v>
                </c:pt>
                <c:pt idx="622">
                  <c:v>0.4355</c:v>
                </c:pt>
                <c:pt idx="623">
                  <c:v>0.38600000000000001</c:v>
                </c:pt>
                <c:pt idx="624">
                  <c:v>0.35049999999999998</c:v>
                </c:pt>
                <c:pt idx="625">
                  <c:v>0.35599999999999998</c:v>
                </c:pt>
                <c:pt idx="626">
                  <c:v>0.58899999999999997</c:v>
                </c:pt>
                <c:pt idx="627">
                  <c:v>0.3175</c:v>
                </c:pt>
                <c:pt idx="628">
                  <c:v>9.4500000000000001E-2</c:v>
                </c:pt>
                <c:pt idx="629">
                  <c:v>9.4500000000000001E-2</c:v>
                </c:pt>
                <c:pt idx="630">
                  <c:v>0.1525</c:v>
                </c:pt>
                <c:pt idx="631">
                  <c:v>0.35949999999999999</c:v>
                </c:pt>
                <c:pt idx="632">
                  <c:v>0.24099999999999999</c:v>
                </c:pt>
                <c:pt idx="633">
                  <c:v>0.32</c:v>
                </c:pt>
                <c:pt idx="634">
                  <c:v>0.48099999999999998</c:v>
                </c:pt>
                <c:pt idx="635">
                  <c:v>0.37</c:v>
                </c:pt>
                <c:pt idx="636">
                  <c:v>0.35449999999999998</c:v>
                </c:pt>
                <c:pt idx="637">
                  <c:v>0.35249999999999998</c:v>
                </c:pt>
                <c:pt idx="638">
                  <c:v>0.40050000000000002</c:v>
                </c:pt>
                <c:pt idx="639">
                  <c:v>0.34549999999999997</c:v>
                </c:pt>
                <c:pt idx="640">
                  <c:v>0.34399999999999997</c:v>
                </c:pt>
                <c:pt idx="641">
                  <c:v>0.33250000000000002</c:v>
                </c:pt>
                <c:pt idx="642">
                  <c:v>5.0000000000000001E-3</c:v>
                </c:pt>
                <c:pt idx="643">
                  <c:v>4.1500000000000002E-2</c:v>
                </c:pt>
                <c:pt idx="644">
                  <c:v>0.42</c:v>
                </c:pt>
                <c:pt idx="645">
                  <c:v>0.184</c:v>
                </c:pt>
                <c:pt idx="646">
                  <c:v>0.48649999999999999</c:v>
                </c:pt>
                <c:pt idx="647">
                  <c:v>0.32450000000000001</c:v>
                </c:pt>
                <c:pt idx="648">
                  <c:v>9.1499999999999998E-2</c:v>
                </c:pt>
                <c:pt idx="649">
                  <c:v>0.30199999999999999</c:v>
                </c:pt>
                <c:pt idx="650">
                  <c:v>0.109</c:v>
                </c:pt>
                <c:pt idx="651">
                  <c:v>0.30149999999999999</c:v>
                </c:pt>
                <c:pt idx="652">
                  <c:v>7.7499999999999999E-2</c:v>
                </c:pt>
                <c:pt idx="653">
                  <c:v>0.2505</c:v>
                </c:pt>
                <c:pt idx="654">
                  <c:v>0.14549999999999999</c:v>
                </c:pt>
                <c:pt idx="655">
                  <c:v>0.38850000000000001</c:v>
                </c:pt>
                <c:pt idx="656">
                  <c:v>0.23699999999999999</c:v>
                </c:pt>
                <c:pt idx="657">
                  <c:v>0.46949999999999997</c:v>
                </c:pt>
                <c:pt idx="658">
                  <c:v>0.24349999999999999</c:v>
                </c:pt>
                <c:pt idx="659">
                  <c:v>0.2455</c:v>
                </c:pt>
                <c:pt idx="660">
                  <c:v>0.16</c:v>
                </c:pt>
                <c:pt idx="661">
                  <c:v>0.33100000000000002</c:v>
                </c:pt>
                <c:pt idx="662">
                  <c:v>0.42199999999999999</c:v>
                </c:pt>
                <c:pt idx="663">
                  <c:v>0.14299999999999999</c:v>
                </c:pt>
                <c:pt idx="664">
                  <c:v>0.188</c:v>
                </c:pt>
                <c:pt idx="665">
                  <c:v>0.18</c:v>
                </c:pt>
                <c:pt idx="666">
                  <c:v>0.34300000000000003</c:v>
                </c:pt>
                <c:pt idx="667">
                  <c:v>0.40300000000000002</c:v>
                </c:pt>
                <c:pt idx="668">
                  <c:v>7.1499999999999994E-2</c:v>
                </c:pt>
                <c:pt idx="669">
                  <c:v>0.36699999999999999</c:v>
                </c:pt>
                <c:pt idx="670">
                  <c:v>6.4500000000000002E-2</c:v>
                </c:pt>
                <c:pt idx="671">
                  <c:v>3.6999999999999998E-2</c:v>
                </c:pt>
                <c:pt idx="672">
                  <c:v>0.1</c:v>
                </c:pt>
                <c:pt idx="673">
                  <c:v>0.39400000000000002</c:v>
                </c:pt>
                <c:pt idx="674">
                  <c:v>0.26450000000000001</c:v>
                </c:pt>
                <c:pt idx="675">
                  <c:v>0.51149999999999995</c:v>
                </c:pt>
                <c:pt idx="676">
                  <c:v>0.44</c:v>
                </c:pt>
                <c:pt idx="677">
                  <c:v>0.14549999999999999</c:v>
                </c:pt>
                <c:pt idx="678">
                  <c:v>0.45850000000000002</c:v>
                </c:pt>
                <c:pt idx="679">
                  <c:v>0.13800000000000001</c:v>
                </c:pt>
                <c:pt idx="680">
                  <c:v>0.19400000000000001</c:v>
                </c:pt>
                <c:pt idx="681">
                  <c:v>6.1499999999999999E-2</c:v>
                </c:pt>
                <c:pt idx="682">
                  <c:v>0.36599999999999999</c:v>
                </c:pt>
                <c:pt idx="683">
                  <c:v>0.4955</c:v>
                </c:pt>
                <c:pt idx="684">
                  <c:v>0.48249999999999998</c:v>
                </c:pt>
                <c:pt idx="685">
                  <c:v>9.4999999999999998E-3</c:v>
                </c:pt>
                <c:pt idx="686">
                  <c:v>0.214</c:v>
                </c:pt>
                <c:pt idx="687">
                  <c:v>0.38200000000000001</c:v>
                </c:pt>
                <c:pt idx="688">
                  <c:v>0.40899999999999997</c:v>
                </c:pt>
                <c:pt idx="689">
                  <c:v>0.1825</c:v>
                </c:pt>
                <c:pt idx="690">
                  <c:v>0.50600000000000001</c:v>
                </c:pt>
                <c:pt idx="691">
                  <c:v>0.1865</c:v>
                </c:pt>
                <c:pt idx="692">
                  <c:v>0.20349999999999999</c:v>
                </c:pt>
                <c:pt idx="693">
                  <c:v>0.21149999999999999</c:v>
                </c:pt>
                <c:pt idx="694">
                  <c:v>0.51800000000000002</c:v>
                </c:pt>
                <c:pt idx="695">
                  <c:v>0.22500000000000001</c:v>
                </c:pt>
                <c:pt idx="696">
                  <c:v>0.36549999999999999</c:v>
                </c:pt>
                <c:pt idx="697">
                  <c:v>0.1845</c:v>
                </c:pt>
                <c:pt idx="698">
                  <c:v>3.4500000000000003E-2</c:v>
                </c:pt>
                <c:pt idx="699">
                  <c:v>0.23449999999999999</c:v>
                </c:pt>
                <c:pt idx="700">
                  <c:v>0.33450000000000002</c:v>
                </c:pt>
                <c:pt idx="701">
                  <c:v>0.39600000000000002</c:v>
                </c:pt>
                <c:pt idx="702">
                  <c:v>0.216</c:v>
                </c:pt>
                <c:pt idx="703">
                  <c:v>0.32350000000000001</c:v>
                </c:pt>
                <c:pt idx="704">
                  <c:v>0.246</c:v>
                </c:pt>
                <c:pt idx="705">
                  <c:v>0.61799999999999999</c:v>
                </c:pt>
                <c:pt idx="706">
                  <c:v>0.45650000000000002</c:v>
                </c:pt>
                <c:pt idx="707">
                  <c:v>0.42549999999999999</c:v>
                </c:pt>
                <c:pt idx="708">
                  <c:v>0.25600000000000001</c:v>
                </c:pt>
                <c:pt idx="709">
                  <c:v>0.157</c:v>
                </c:pt>
                <c:pt idx="710">
                  <c:v>0.3745</c:v>
                </c:pt>
                <c:pt idx="711">
                  <c:v>0.27700000000000002</c:v>
                </c:pt>
                <c:pt idx="712">
                  <c:v>2.0500000000000001E-2</c:v>
                </c:pt>
                <c:pt idx="713">
                  <c:v>0.28499999999999998</c:v>
                </c:pt>
                <c:pt idx="714">
                  <c:v>0.22500000000000001</c:v>
                </c:pt>
                <c:pt idx="715">
                  <c:v>0.316</c:v>
                </c:pt>
                <c:pt idx="716">
                  <c:v>0.27550000000000002</c:v>
                </c:pt>
                <c:pt idx="717">
                  <c:v>0.23400000000000001</c:v>
                </c:pt>
                <c:pt idx="718">
                  <c:v>0.4335</c:v>
                </c:pt>
                <c:pt idx="719">
                  <c:v>0.39100000000000001</c:v>
                </c:pt>
                <c:pt idx="720">
                  <c:v>0.20749999999999999</c:v>
                </c:pt>
                <c:pt idx="721">
                  <c:v>0.22600000000000001</c:v>
                </c:pt>
                <c:pt idx="722">
                  <c:v>0.47649999999999998</c:v>
                </c:pt>
                <c:pt idx="723">
                  <c:v>0.13</c:v>
                </c:pt>
                <c:pt idx="724">
                  <c:v>0.49399999999999999</c:v>
                </c:pt>
                <c:pt idx="725">
                  <c:v>0.45800000000000002</c:v>
                </c:pt>
                <c:pt idx="726">
                  <c:v>0.51700000000000002</c:v>
                </c:pt>
                <c:pt idx="727">
                  <c:v>0.36599999999999999</c:v>
                </c:pt>
                <c:pt idx="728">
                  <c:v>0.3695</c:v>
                </c:pt>
                <c:pt idx="729">
                  <c:v>0.2185</c:v>
                </c:pt>
                <c:pt idx="730">
                  <c:v>8.3500000000000005E-2</c:v>
                </c:pt>
                <c:pt idx="731">
                  <c:v>0.42799999999999999</c:v>
                </c:pt>
                <c:pt idx="732">
                  <c:v>0.34399999999999997</c:v>
                </c:pt>
                <c:pt idx="733">
                  <c:v>5.7500000000000002E-2</c:v>
                </c:pt>
                <c:pt idx="734">
                  <c:v>0.3165</c:v>
                </c:pt>
                <c:pt idx="735">
                  <c:v>5.9499999999999997E-2</c:v>
                </c:pt>
                <c:pt idx="736">
                  <c:v>9.0499999999999997E-2</c:v>
                </c:pt>
                <c:pt idx="737">
                  <c:v>0.17549999999999999</c:v>
                </c:pt>
                <c:pt idx="738">
                  <c:v>0.29699999999999999</c:v>
                </c:pt>
                <c:pt idx="739">
                  <c:v>0.34799999999999998</c:v>
                </c:pt>
                <c:pt idx="740">
                  <c:v>0.111</c:v>
                </c:pt>
                <c:pt idx="741">
                  <c:v>0.437</c:v>
                </c:pt>
                <c:pt idx="742">
                  <c:v>8.8499999999999995E-2</c:v>
                </c:pt>
                <c:pt idx="743">
                  <c:v>7.4499999999999997E-2</c:v>
                </c:pt>
                <c:pt idx="744">
                  <c:v>0.15049999999999999</c:v>
                </c:pt>
                <c:pt idx="745">
                  <c:v>7.4999999999999997E-2</c:v>
                </c:pt>
                <c:pt idx="746">
                  <c:v>0.437</c:v>
                </c:pt>
                <c:pt idx="747">
                  <c:v>0.34449999999999997</c:v>
                </c:pt>
                <c:pt idx="748">
                  <c:v>0.51200000000000001</c:v>
                </c:pt>
                <c:pt idx="749">
                  <c:v>0.52849999999999997</c:v>
                </c:pt>
                <c:pt idx="750">
                  <c:v>7.9500000000000001E-2</c:v>
                </c:pt>
                <c:pt idx="751">
                  <c:v>0.17299999999999999</c:v>
                </c:pt>
                <c:pt idx="752">
                  <c:v>0.17499999999999999</c:v>
                </c:pt>
                <c:pt idx="753">
                  <c:v>0.47499999999999998</c:v>
                </c:pt>
                <c:pt idx="754">
                  <c:v>0.36649999999999999</c:v>
                </c:pt>
                <c:pt idx="755">
                  <c:v>0.22</c:v>
                </c:pt>
                <c:pt idx="756">
                  <c:v>0.45950000000000002</c:v>
                </c:pt>
                <c:pt idx="757">
                  <c:v>0.36299999999999999</c:v>
                </c:pt>
                <c:pt idx="758">
                  <c:v>0.50049999999999994</c:v>
                </c:pt>
                <c:pt idx="759">
                  <c:v>5.2999999999999999E-2</c:v>
                </c:pt>
                <c:pt idx="760">
                  <c:v>6.0499999999999998E-2</c:v>
                </c:pt>
                <c:pt idx="761">
                  <c:v>0.2235</c:v>
                </c:pt>
                <c:pt idx="762">
                  <c:v>0.313</c:v>
                </c:pt>
                <c:pt idx="763">
                  <c:v>5.7500000000000002E-2</c:v>
                </c:pt>
                <c:pt idx="764">
                  <c:v>0.24149999999999999</c:v>
                </c:pt>
                <c:pt idx="765">
                  <c:v>8.4000000000000005E-2</c:v>
                </c:pt>
                <c:pt idx="766">
                  <c:v>1.2999999999999999E-2</c:v>
                </c:pt>
                <c:pt idx="767">
                  <c:v>0.434</c:v>
                </c:pt>
                <c:pt idx="768">
                  <c:v>0.54149999999999998</c:v>
                </c:pt>
                <c:pt idx="769">
                  <c:v>0.126</c:v>
                </c:pt>
                <c:pt idx="770">
                  <c:v>0.187</c:v>
                </c:pt>
                <c:pt idx="771">
                  <c:v>0.20899999999999999</c:v>
                </c:pt>
                <c:pt idx="772">
                  <c:v>0.49049999999999999</c:v>
                </c:pt>
                <c:pt idx="773">
                  <c:v>0.438</c:v>
                </c:pt>
                <c:pt idx="774">
                  <c:v>0.34699999999999998</c:v>
                </c:pt>
                <c:pt idx="775">
                  <c:v>0.38350000000000001</c:v>
                </c:pt>
                <c:pt idx="776">
                  <c:v>0.18099999999999999</c:v>
                </c:pt>
                <c:pt idx="777">
                  <c:v>0.25</c:v>
                </c:pt>
                <c:pt idx="778">
                  <c:v>0.16850000000000001</c:v>
                </c:pt>
                <c:pt idx="779">
                  <c:v>0.30199999999999999</c:v>
                </c:pt>
                <c:pt idx="780">
                  <c:v>0.20399999999999999</c:v>
                </c:pt>
                <c:pt idx="781">
                  <c:v>0.34</c:v>
                </c:pt>
                <c:pt idx="782">
                  <c:v>7.9000000000000001E-2</c:v>
                </c:pt>
                <c:pt idx="783">
                  <c:v>0.20849999999999999</c:v>
                </c:pt>
                <c:pt idx="784">
                  <c:v>0.42899999999999999</c:v>
                </c:pt>
                <c:pt idx="785">
                  <c:v>0.1605</c:v>
                </c:pt>
                <c:pt idx="786">
                  <c:v>0.3785</c:v>
                </c:pt>
                <c:pt idx="787">
                  <c:v>0.23749999999999999</c:v>
                </c:pt>
                <c:pt idx="788">
                  <c:v>0.47599999999999998</c:v>
                </c:pt>
                <c:pt idx="789">
                  <c:v>0.42849999999999999</c:v>
                </c:pt>
                <c:pt idx="790">
                  <c:v>0.373</c:v>
                </c:pt>
                <c:pt idx="791">
                  <c:v>0.28199999999999997</c:v>
                </c:pt>
                <c:pt idx="792">
                  <c:v>0.1305</c:v>
                </c:pt>
                <c:pt idx="793">
                  <c:v>7.4499999999999997E-2</c:v>
                </c:pt>
                <c:pt idx="794">
                  <c:v>0.219</c:v>
                </c:pt>
                <c:pt idx="795">
                  <c:v>1.2500000000000001E-2</c:v>
                </c:pt>
                <c:pt idx="796">
                  <c:v>0.39150000000000001</c:v>
                </c:pt>
                <c:pt idx="797">
                  <c:v>0.28549999999999998</c:v>
                </c:pt>
                <c:pt idx="798">
                  <c:v>0.317</c:v>
                </c:pt>
                <c:pt idx="799">
                  <c:v>9.2499999999999999E-2</c:v>
                </c:pt>
                <c:pt idx="800">
                  <c:v>0.16750000000000001</c:v>
                </c:pt>
                <c:pt idx="801">
                  <c:v>0.46300000000000002</c:v>
                </c:pt>
                <c:pt idx="802">
                  <c:v>0.2155</c:v>
                </c:pt>
                <c:pt idx="803">
                  <c:v>0.23799999999999999</c:v>
                </c:pt>
                <c:pt idx="804">
                  <c:v>0.1565</c:v>
                </c:pt>
                <c:pt idx="805">
                  <c:v>0.14599999999999999</c:v>
                </c:pt>
                <c:pt idx="806">
                  <c:v>0.4365</c:v>
                </c:pt>
                <c:pt idx="807">
                  <c:v>0.54549999999999998</c:v>
                </c:pt>
                <c:pt idx="808">
                  <c:v>4.0500000000000001E-2</c:v>
                </c:pt>
                <c:pt idx="809">
                  <c:v>0.28149999999999997</c:v>
                </c:pt>
                <c:pt idx="810">
                  <c:v>0.21049999999999999</c:v>
                </c:pt>
                <c:pt idx="811">
                  <c:v>0.50049999999999994</c:v>
                </c:pt>
                <c:pt idx="812">
                  <c:v>0.2155</c:v>
                </c:pt>
                <c:pt idx="813">
                  <c:v>0.48299999999999998</c:v>
                </c:pt>
                <c:pt idx="814">
                  <c:v>0.05</c:v>
                </c:pt>
                <c:pt idx="815">
                  <c:v>6.7500000000000004E-2</c:v>
                </c:pt>
                <c:pt idx="816">
                  <c:v>0.04</c:v>
                </c:pt>
                <c:pt idx="817">
                  <c:v>3.9E-2</c:v>
                </c:pt>
                <c:pt idx="818">
                  <c:v>9.1499999999999998E-2</c:v>
                </c:pt>
                <c:pt idx="819">
                  <c:v>0.44750000000000001</c:v>
                </c:pt>
                <c:pt idx="820">
                  <c:v>0.1925</c:v>
                </c:pt>
                <c:pt idx="821">
                  <c:v>1.8499999999999999E-2</c:v>
                </c:pt>
                <c:pt idx="822">
                  <c:v>8.4500000000000006E-2</c:v>
                </c:pt>
                <c:pt idx="823">
                  <c:v>0.437</c:v>
                </c:pt>
                <c:pt idx="824">
                  <c:v>0.192</c:v>
                </c:pt>
                <c:pt idx="825">
                  <c:v>0.45500000000000002</c:v>
                </c:pt>
                <c:pt idx="826">
                  <c:v>0.152</c:v>
                </c:pt>
                <c:pt idx="827">
                  <c:v>0.47299999999999998</c:v>
                </c:pt>
                <c:pt idx="828">
                  <c:v>0.39200000000000002</c:v>
                </c:pt>
                <c:pt idx="829">
                  <c:v>5.1999999999999998E-2</c:v>
                </c:pt>
                <c:pt idx="830">
                  <c:v>0.56499999999999995</c:v>
                </c:pt>
                <c:pt idx="831">
                  <c:v>8.2000000000000003E-2</c:v>
                </c:pt>
                <c:pt idx="832">
                  <c:v>0.1</c:v>
                </c:pt>
                <c:pt idx="833">
                  <c:v>0.49199999999999999</c:v>
                </c:pt>
                <c:pt idx="834">
                  <c:v>0.28899999999999998</c:v>
                </c:pt>
                <c:pt idx="835">
                  <c:v>0.45350000000000001</c:v>
                </c:pt>
                <c:pt idx="836">
                  <c:v>0.51800000000000002</c:v>
                </c:pt>
                <c:pt idx="837">
                  <c:v>0.48399999999999999</c:v>
                </c:pt>
                <c:pt idx="838">
                  <c:v>0.5575</c:v>
                </c:pt>
                <c:pt idx="839">
                  <c:v>0.38450000000000001</c:v>
                </c:pt>
                <c:pt idx="840">
                  <c:v>0.55900000000000005</c:v>
                </c:pt>
                <c:pt idx="841">
                  <c:v>4.65E-2</c:v>
                </c:pt>
                <c:pt idx="842">
                  <c:v>0.16750000000000001</c:v>
                </c:pt>
                <c:pt idx="843">
                  <c:v>0.47699999999999998</c:v>
                </c:pt>
                <c:pt idx="844">
                  <c:v>0.48799999999999999</c:v>
                </c:pt>
                <c:pt idx="845">
                  <c:v>0.33</c:v>
                </c:pt>
                <c:pt idx="846">
                  <c:v>7.5999999999999998E-2</c:v>
                </c:pt>
                <c:pt idx="847">
                  <c:v>0.19800000000000001</c:v>
                </c:pt>
                <c:pt idx="848">
                  <c:v>0.29049999999999998</c:v>
                </c:pt>
                <c:pt idx="849">
                  <c:v>0.06</c:v>
                </c:pt>
                <c:pt idx="850">
                  <c:v>0.19900000000000001</c:v>
                </c:pt>
                <c:pt idx="851">
                  <c:v>0.36799999999999999</c:v>
                </c:pt>
                <c:pt idx="852">
                  <c:v>0.375</c:v>
                </c:pt>
                <c:pt idx="853">
                  <c:v>2.4500000000000001E-2</c:v>
                </c:pt>
                <c:pt idx="854">
                  <c:v>0.1515</c:v>
                </c:pt>
                <c:pt idx="855">
                  <c:v>0.13850000000000001</c:v>
                </c:pt>
                <c:pt idx="856">
                  <c:v>0.23400000000000001</c:v>
                </c:pt>
                <c:pt idx="857">
                  <c:v>0.23150000000000001</c:v>
                </c:pt>
                <c:pt idx="858">
                  <c:v>4.1500000000000002E-2</c:v>
                </c:pt>
                <c:pt idx="859">
                  <c:v>0.54049999999999998</c:v>
                </c:pt>
                <c:pt idx="860">
                  <c:v>0.312</c:v>
                </c:pt>
                <c:pt idx="861">
                  <c:v>0.39450000000000002</c:v>
                </c:pt>
                <c:pt idx="862">
                  <c:v>0.44950000000000001</c:v>
                </c:pt>
                <c:pt idx="863">
                  <c:v>0.47149999999999997</c:v>
                </c:pt>
                <c:pt idx="864">
                  <c:v>0.3</c:v>
                </c:pt>
                <c:pt idx="865">
                  <c:v>0.318</c:v>
                </c:pt>
                <c:pt idx="866">
                  <c:v>0.14050000000000001</c:v>
                </c:pt>
                <c:pt idx="867">
                  <c:v>0.45250000000000001</c:v>
                </c:pt>
                <c:pt idx="868">
                  <c:v>0.23849999999999999</c:v>
                </c:pt>
                <c:pt idx="869">
                  <c:v>0.438</c:v>
                </c:pt>
                <c:pt idx="870">
                  <c:v>0.28649999999999998</c:v>
                </c:pt>
                <c:pt idx="871">
                  <c:v>0.38900000000000001</c:v>
                </c:pt>
                <c:pt idx="872">
                  <c:v>1.2500000000000001E-2</c:v>
                </c:pt>
                <c:pt idx="873">
                  <c:v>0.55249999999999999</c:v>
                </c:pt>
                <c:pt idx="874">
                  <c:v>8.5500000000000007E-2</c:v>
                </c:pt>
                <c:pt idx="875">
                  <c:v>9.7500000000000003E-2</c:v>
                </c:pt>
                <c:pt idx="876">
                  <c:v>0.38150000000000001</c:v>
                </c:pt>
                <c:pt idx="877">
                  <c:v>0.36049999999999999</c:v>
                </c:pt>
                <c:pt idx="878">
                  <c:v>6.25E-2</c:v>
                </c:pt>
                <c:pt idx="879">
                  <c:v>0.30599999999999999</c:v>
                </c:pt>
                <c:pt idx="880">
                  <c:v>0.19850000000000001</c:v>
                </c:pt>
                <c:pt idx="881">
                  <c:v>0.38700000000000001</c:v>
                </c:pt>
                <c:pt idx="882">
                  <c:v>0.50549999999999995</c:v>
                </c:pt>
                <c:pt idx="883">
                  <c:v>0.16450000000000001</c:v>
                </c:pt>
                <c:pt idx="884">
                  <c:v>7.3999999999999996E-2</c:v>
                </c:pt>
                <c:pt idx="885">
                  <c:v>0.189</c:v>
                </c:pt>
                <c:pt idx="886">
                  <c:v>0.34150000000000003</c:v>
                </c:pt>
                <c:pt idx="887">
                  <c:v>0.20150000000000001</c:v>
                </c:pt>
                <c:pt idx="888">
                  <c:v>3.5999999999999997E-2</c:v>
                </c:pt>
                <c:pt idx="889">
                  <c:v>0.17349999999999999</c:v>
                </c:pt>
                <c:pt idx="890">
                  <c:v>0.56000000000000005</c:v>
                </c:pt>
                <c:pt idx="891">
                  <c:v>0.19950000000000001</c:v>
                </c:pt>
                <c:pt idx="892">
                  <c:v>0.45850000000000002</c:v>
                </c:pt>
                <c:pt idx="893">
                  <c:v>0.30049999999999999</c:v>
                </c:pt>
                <c:pt idx="894">
                  <c:v>0.151</c:v>
                </c:pt>
                <c:pt idx="895">
                  <c:v>0.41399999999999998</c:v>
                </c:pt>
                <c:pt idx="896">
                  <c:v>0.17299999999999999</c:v>
                </c:pt>
                <c:pt idx="897">
                  <c:v>0.39950000000000002</c:v>
                </c:pt>
                <c:pt idx="898">
                  <c:v>0.58599999999999997</c:v>
                </c:pt>
                <c:pt idx="899">
                  <c:v>0.36649999999999999</c:v>
                </c:pt>
                <c:pt idx="900">
                  <c:v>0.48499999999999999</c:v>
                </c:pt>
                <c:pt idx="901">
                  <c:v>0.11650000000000001</c:v>
                </c:pt>
                <c:pt idx="902">
                  <c:v>0.15049999999999999</c:v>
                </c:pt>
                <c:pt idx="903">
                  <c:v>0.34849999999999998</c:v>
                </c:pt>
                <c:pt idx="904">
                  <c:v>0.2475</c:v>
                </c:pt>
                <c:pt idx="905">
                  <c:v>0.39950000000000002</c:v>
                </c:pt>
                <c:pt idx="906">
                  <c:v>3.7499999999999999E-2</c:v>
                </c:pt>
                <c:pt idx="907">
                  <c:v>0.29249999999999998</c:v>
                </c:pt>
                <c:pt idx="908">
                  <c:v>0.16700000000000001</c:v>
                </c:pt>
                <c:pt idx="909">
                  <c:v>0.33200000000000002</c:v>
                </c:pt>
                <c:pt idx="910">
                  <c:v>0.29399999999999998</c:v>
                </c:pt>
                <c:pt idx="911">
                  <c:v>0.309</c:v>
                </c:pt>
                <c:pt idx="912">
                  <c:v>4.3999999999999997E-2</c:v>
                </c:pt>
                <c:pt idx="913">
                  <c:v>0.27150000000000002</c:v>
                </c:pt>
                <c:pt idx="914">
                  <c:v>0.35799999999999998</c:v>
                </c:pt>
                <c:pt idx="915">
                  <c:v>0.439</c:v>
                </c:pt>
                <c:pt idx="916">
                  <c:v>0.4385</c:v>
                </c:pt>
                <c:pt idx="917">
                  <c:v>5.8999999999999997E-2</c:v>
                </c:pt>
                <c:pt idx="918">
                  <c:v>5.3999999999999999E-2</c:v>
                </c:pt>
                <c:pt idx="919">
                  <c:v>0.26100000000000001</c:v>
                </c:pt>
                <c:pt idx="920">
                  <c:v>0.30499999999999999</c:v>
                </c:pt>
                <c:pt idx="921">
                  <c:v>0.58650000000000002</c:v>
                </c:pt>
                <c:pt idx="922">
                  <c:v>0.30499999999999999</c:v>
                </c:pt>
                <c:pt idx="923">
                  <c:v>0.497</c:v>
                </c:pt>
                <c:pt idx="924">
                  <c:v>0.496</c:v>
                </c:pt>
                <c:pt idx="925">
                  <c:v>0.46250000000000002</c:v>
                </c:pt>
                <c:pt idx="926">
                  <c:v>0.318</c:v>
                </c:pt>
                <c:pt idx="927">
                  <c:v>0.53500000000000003</c:v>
                </c:pt>
                <c:pt idx="928">
                  <c:v>0.29199999999999998</c:v>
                </c:pt>
                <c:pt idx="929">
                  <c:v>0.13650000000000001</c:v>
                </c:pt>
                <c:pt idx="930">
                  <c:v>4.4999999999999997E-3</c:v>
                </c:pt>
                <c:pt idx="931">
                  <c:v>8.7499999999999994E-2</c:v>
                </c:pt>
                <c:pt idx="932">
                  <c:v>0.29449999999999998</c:v>
                </c:pt>
                <c:pt idx="933">
                  <c:v>0.40050000000000002</c:v>
                </c:pt>
                <c:pt idx="934">
                  <c:v>0.29449999999999998</c:v>
                </c:pt>
                <c:pt idx="935">
                  <c:v>0.313</c:v>
                </c:pt>
                <c:pt idx="936">
                  <c:v>0.38750000000000001</c:v>
                </c:pt>
                <c:pt idx="937">
                  <c:v>0.58250000000000002</c:v>
                </c:pt>
                <c:pt idx="938">
                  <c:v>6.4999999999999997E-3</c:v>
                </c:pt>
                <c:pt idx="939">
                  <c:v>0.26300000000000001</c:v>
                </c:pt>
                <c:pt idx="940">
                  <c:v>0.2505</c:v>
                </c:pt>
                <c:pt idx="941">
                  <c:v>0.10050000000000001</c:v>
                </c:pt>
                <c:pt idx="942">
                  <c:v>0.3775</c:v>
                </c:pt>
                <c:pt idx="943">
                  <c:v>0.32850000000000001</c:v>
                </c:pt>
                <c:pt idx="944">
                  <c:v>0.53249999999999997</c:v>
                </c:pt>
                <c:pt idx="945">
                  <c:v>0.46700000000000003</c:v>
                </c:pt>
                <c:pt idx="946">
                  <c:v>0.49249999999999999</c:v>
                </c:pt>
                <c:pt idx="947">
                  <c:v>0.22850000000000001</c:v>
                </c:pt>
                <c:pt idx="948">
                  <c:v>0.11849999999999999</c:v>
                </c:pt>
                <c:pt idx="949">
                  <c:v>0.21149999999999999</c:v>
                </c:pt>
                <c:pt idx="950">
                  <c:v>0.42049999999999998</c:v>
                </c:pt>
                <c:pt idx="951">
                  <c:v>0.30449999999999999</c:v>
                </c:pt>
                <c:pt idx="952">
                  <c:v>0.33200000000000002</c:v>
                </c:pt>
                <c:pt idx="953">
                  <c:v>0.17050000000000001</c:v>
                </c:pt>
                <c:pt idx="954">
                  <c:v>0.435</c:v>
                </c:pt>
                <c:pt idx="955">
                  <c:v>0.41</c:v>
                </c:pt>
                <c:pt idx="956">
                  <c:v>0.188</c:v>
                </c:pt>
                <c:pt idx="957">
                  <c:v>0.30249999999999999</c:v>
                </c:pt>
                <c:pt idx="958">
                  <c:v>0.45350000000000001</c:v>
                </c:pt>
                <c:pt idx="959">
                  <c:v>0.1205</c:v>
                </c:pt>
                <c:pt idx="960">
                  <c:v>0.35399999999999998</c:v>
                </c:pt>
                <c:pt idx="961">
                  <c:v>0.52549999999999997</c:v>
                </c:pt>
                <c:pt idx="962">
                  <c:v>0.32200000000000001</c:v>
                </c:pt>
                <c:pt idx="963">
                  <c:v>0.2465</c:v>
                </c:pt>
                <c:pt idx="964">
                  <c:v>0.2555</c:v>
                </c:pt>
                <c:pt idx="965">
                  <c:v>0.34599999999999997</c:v>
                </c:pt>
                <c:pt idx="966">
                  <c:v>0.123</c:v>
                </c:pt>
                <c:pt idx="967">
                  <c:v>0.24049999999999999</c:v>
                </c:pt>
                <c:pt idx="968">
                  <c:v>0.39300000000000002</c:v>
                </c:pt>
                <c:pt idx="969">
                  <c:v>0.29449999999999998</c:v>
                </c:pt>
                <c:pt idx="970">
                  <c:v>0.245</c:v>
                </c:pt>
                <c:pt idx="971">
                  <c:v>0.29399999999999998</c:v>
                </c:pt>
                <c:pt idx="972">
                  <c:v>0.53200000000000003</c:v>
                </c:pt>
                <c:pt idx="973">
                  <c:v>0.26800000000000002</c:v>
                </c:pt>
                <c:pt idx="974">
                  <c:v>0.54700000000000004</c:v>
                </c:pt>
                <c:pt idx="975">
                  <c:v>0.185</c:v>
                </c:pt>
                <c:pt idx="976">
                  <c:v>0.14299999999999999</c:v>
                </c:pt>
                <c:pt idx="977">
                  <c:v>0.29549999999999998</c:v>
                </c:pt>
                <c:pt idx="978">
                  <c:v>0.29449999999999998</c:v>
                </c:pt>
                <c:pt idx="979">
                  <c:v>0.54949999999999999</c:v>
                </c:pt>
                <c:pt idx="980">
                  <c:v>0.32200000000000001</c:v>
                </c:pt>
                <c:pt idx="981">
                  <c:v>0.23849999999999999</c:v>
                </c:pt>
                <c:pt idx="982">
                  <c:v>0.4365</c:v>
                </c:pt>
                <c:pt idx="983">
                  <c:v>0.1135</c:v>
                </c:pt>
                <c:pt idx="984">
                  <c:v>0.1895</c:v>
                </c:pt>
                <c:pt idx="985">
                  <c:v>0.36499999999999999</c:v>
                </c:pt>
                <c:pt idx="986">
                  <c:v>0.42349999999999999</c:v>
                </c:pt>
                <c:pt idx="987">
                  <c:v>0.34649999999999997</c:v>
                </c:pt>
                <c:pt idx="988">
                  <c:v>0.42749999999999999</c:v>
                </c:pt>
                <c:pt idx="989">
                  <c:v>0.14249999999999999</c:v>
                </c:pt>
                <c:pt idx="990">
                  <c:v>0.16800000000000001</c:v>
                </c:pt>
                <c:pt idx="991">
                  <c:v>0.46500000000000002</c:v>
                </c:pt>
                <c:pt idx="992">
                  <c:v>0.43149999999999999</c:v>
                </c:pt>
                <c:pt idx="993">
                  <c:v>0.19800000000000001</c:v>
                </c:pt>
                <c:pt idx="994">
                  <c:v>0.182</c:v>
                </c:pt>
                <c:pt idx="995">
                  <c:v>9.7500000000000003E-2</c:v>
                </c:pt>
                <c:pt idx="996">
                  <c:v>0.36099999999999999</c:v>
                </c:pt>
                <c:pt idx="997">
                  <c:v>0.24349999999999999</c:v>
                </c:pt>
                <c:pt idx="998">
                  <c:v>0.58099999999999996</c:v>
                </c:pt>
                <c:pt idx="999">
                  <c:v>5.1499999999999997E-2</c:v>
                </c:pt>
              </c:numCache>
            </c:numRef>
          </c:cat>
          <c:val>
            <c:numRef>
              <c:f>'Personal Data'!$I$2:$I$1002</c:f>
              <c:numCache>
                <c:formatCode>General</c:formatCode>
                <c:ptCount val="1001"/>
                <c:pt idx="0">
                  <c:v>9.5000000000000001E-2</c:v>
                </c:pt>
                <c:pt idx="1">
                  <c:v>0.26</c:v>
                </c:pt>
                <c:pt idx="2">
                  <c:v>0.35499999999999998</c:v>
                </c:pt>
                <c:pt idx="3">
                  <c:v>4.4999999999999998E-2</c:v>
                </c:pt>
                <c:pt idx="4">
                  <c:v>0.23849999999999999</c:v>
                </c:pt>
                <c:pt idx="5">
                  <c:v>0.26500000000000001</c:v>
                </c:pt>
                <c:pt idx="6">
                  <c:v>0.23</c:v>
                </c:pt>
                <c:pt idx="7">
                  <c:v>0.33500000000000002</c:v>
                </c:pt>
                <c:pt idx="8">
                  <c:v>0.155</c:v>
                </c:pt>
                <c:pt idx="9">
                  <c:v>7.0000000000000007E-2</c:v>
                </c:pt>
                <c:pt idx="10">
                  <c:v>0.375</c:v>
                </c:pt>
                <c:pt idx="11">
                  <c:v>0.22700000000000001</c:v>
                </c:pt>
                <c:pt idx="12">
                  <c:v>0.246</c:v>
                </c:pt>
                <c:pt idx="13">
                  <c:v>0.23350000000000001</c:v>
                </c:pt>
                <c:pt idx="14">
                  <c:v>9.1499999999999998E-2</c:v>
                </c:pt>
                <c:pt idx="15">
                  <c:v>0.20300000000000001</c:v>
                </c:pt>
                <c:pt idx="16">
                  <c:v>0.1845</c:v>
                </c:pt>
                <c:pt idx="17">
                  <c:v>0.19800000000000001</c:v>
                </c:pt>
                <c:pt idx="18">
                  <c:v>0.191</c:v>
                </c:pt>
                <c:pt idx="19">
                  <c:v>0.31</c:v>
                </c:pt>
                <c:pt idx="20">
                  <c:v>0.09</c:v>
                </c:pt>
                <c:pt idx="21">
                  <c:v>0.3085</c:v>
                </c:pt>
                <c:pt idx="22">
                  <c:v>0.215</c:v>
                </c:pt>
                <c:pt idx="23">
                  <c:v>0.159</c:v>
                </c:pt>
                <c:pt idx="24">
                  <c:v>0.18</c:v>
                </c:pt>
                <c:pt idx="25">
                  <c:v>0.39</c:v>
                </c:pt>
                <c:pt idx="26">
                  <c:v>0.14000000000000001</c:v>
                </c:pt>
                <c:pt idx="27">
                  <c:v>0.14499999999999999</c:v>
                </c:pt>
                <c:pt idx="28">
                  <c:v>0.1195</c:v>
                </c:pt>
                <c:pt idx="29">
                  <c:v>0.27</c:v>
                </c:pt>
                <c:pt idx="30">
                  <c:v>0.17949999999999999</c:v>
                </c:pt>
                <c:pt idx="31">
                  <c:v>0.42399999999999999</c:v>
                </c:pt>
                <c:pt idx="32">
                  <c:v>0.28999999999999998</c:v>
                </c:pt>
                <c:pt idx="33">
                  <c:v>0.14599999999999999</c:v>
                </c:pt>
                <c:pt idx="34">
                  <c:v>8.8499999999999995E-2</c:v>
                </c:pt>
                <c:pt idx="35">
                  <c:v>0.32050000000000001</c:v>
                </c:pt>
                <c:pt idx="36">
                  <c:v>0.125</c:v>
                </c:pt>
                <c:pt idx="37">
                  <c:v>0.1275</c:v>
                </c:pt>
                <c:pt idx="38">
                  <c:v>0.08</c:v>
                </c:pt>
                <c:pt idx="39">
                  <c:v>0.27800000000000002</c:v>
                </c:pt>
                <c:pt idx="40">
                  <c:v>0.182</c:v>
                </c:pt>
                <c:pt idx="41">
                  <c:v>0.215</c:v>
                </c:pt>
                <c:pt idx="42">
                  <c:v>0.25</c:v>
                </c:pt>
                <c:pt idx="43">
                  <c:v>0.36449999999999999</c:v>
                </c:pt>
                <c:pt idx="44">
                  <c:v>0.52500000000000002</c:v>
                </c:pt>
                <c:pt idx="45">
                  <c:v>0.115</c:v>
                </c:pt>
                <c:pt idx="46">
                  <c:v>0.26500000000000001</c:v>
                </c:pt>
                <c:pt idx="47">
                  <c:v>0.1115</c:v>
                </c:pt>
                <c:pt idx="48">
                  <c:v>6.5000000000000002E-2</c:v>
                </c:pt>
                <c:pt idx="49">
                  <c:v>0.34</c:v>
                </c:pt>
                <c:pt idx="50">
                  <c:v>9.5000000000000001E-2</c:v>
                </c:pt>
                <c:pt idx="51">
                  <c:v>0.23</c:v>
                </c:pt>
                <c:pt idx="52">
                  <c:v>0.1</c:v>
                </c:pt>
                <c:pt idx="53">
                  <c:v>0.28449999999999998</c:v>
                </c:pt>
                <c:pt idx="54">
                  <c:v>0.22500000000000001</c:v>
                </c:pt>
                <c:pt idx="55">
                  <c:v>0.105</c:v>
                </c:pt>
                <c:pt idx="56">
                  <c:v>0.2485</c:v>
                </c:pt>
                <c:pt idx="57">
                  <c:v>0.16</c:v>
                </c:pt>
                <c:pt idx="58">
                  <c:v>0.17699999999999999</c:v>
                </c:pt>
                <c:pt idx="59">
                  <c:v>0.251</c:v>
                </c:pt>
                <c:pt idx="60">
                  <c:v>0.14499999999999999</c:v>
                </c:pt>
                <c:pt idx="61">
                  <c:v>6.7000000000000004E-2</c:v>
                </c:pt>
                <c:pt idx="62">
                  <c:v>0.26850000000000002</c:v>
                </c:pt>
                <c:pt idx="63">
                  <c:v>0.12</c:v>
                </c:pt>
                <c:pt idx="64">
                  <c:v>4.3999999999999997E-2</c:v>
                </c:pt>
                <c:pt idx="65">
                  <c:v>0.216</c:v>
                </c:pt>
                <c:pt idx="66">
                  <c:v>0.28000000000000003</c:v>
                </c:pt>
                <c:pt idx="67">
                  <c:v>0.29849999999999999</c:v>
                </c:pt>
                <c:pt idx="68">
                  <c:v>0.3</c:v>
                </c:pt>
                <c:pt idx="69">
                  <c:v>0.33500000000000002</c:v>
                </c:pt>
                <c:pt idx="70">
                  <c:v>0.20499999999999999</c:v>
                </c:pt>
                <c:pt idx="71">
                  <c:v>0.25</c:v>
                </c:pt>
                <c:pt idx="72">
                  <c:v>0.16300000000000001</c:v>
                </c:pt>
                <c:pt idx="73">
                  <c:v>0.24</c:v>
                </c:pt>
                <c:pt idx="74">
                  <c:v>0.13950000000000001</c:v>
                </c:pt>
                <c:pt idx="75">
                  <c:v>0.24</c:v>
                </c:pt>
                <c:pt idx="76">
                  <c:v>8.5000000000000006E-2</c:v>
                </c:pt>
                <c:pt idx="77">
                  <c:v>0.185</c:v>
                </c:pt>
                <c:pt idx="78">
                  <c:v>0.19550000000000001</c:v>
                </c:pt>
                <c:pt idx="79">
                  <c:v>0.14499999999999999</c:v>
                </c:pt>
                <c:pt idx="80">
                  <c:v>0.2475</c:v>
                </c:pt>
                <c:pt idx="81">
                  <c:v>8.1000000000000003E-2</c:v>
                </c:pt>
                <c:pt idx="82">
                  <c:v>0.27500000000000002</c:v>
                </c:pt>
                <c:pt idx="83">
                  <c:v>0.185</c:v>
                </c:pt>
                <c:pt idx="84">
                  <c:v>7.4999999999999997E-2</c:v>
                </c:pt>
                <c:pt idx="85">
                  <c:v>0.06</c:v>
                </c:pt>
                <c:pt idx="86">
                  <c:v>0.26</c:v>
                </c:pt>
                <c:pt idx="87">
                  <c:v>9.6500000000000002E-2</c:v>
                </c:pt>
                <c:pt idx="88">
                  <c:v>0.1</c:v>
                </c:pt>
                <c:pt idx="89">
                  <c:v>0.185</c:v>
                </c:pt>
                <c:pt idx="90">
                  <c:v>0.28499999999999998</c:v>
                </c:pt>
                <c:pt idx="91">
                  <c:v>5.5E-2</c:v>
                </c:pt>
                <c:pt idx="92">
                  <c:v>4.8500000000000001E-2</c:v>
                </c:pt>
                <c:pt idx="93">
                  <c:v>0.36</c:v>
                </c:pt>
                <c:pt idx="94">
                  <c:v>9.5000000000000001E-2</c:v>
                </c:pt>
                <c:pt idx="95">
                  <c:v>0.3</c:v>
                </c:pt>
                <c:pt idx="96">
                  <c:v>0.18</c:v>
                </c:pt>
                <c:pt idx="97">
                  <c:v>0.22500000000000001</c:v>
                </c:pt>
                <c:pt idx="98">
                  <c:v>0.11650000000000001</c:v>
                </c:pt>
                <c:pt idx="99">
                  <c:v>0.30049999999999999</c:v>
                </c:pt>
                <c:pt idx="100">
                  <c:v>0.27500000000000002</c:v>
                </c:pt>
                <c:pt idx="101">
                  <c:v>0.36499999999999999</c:v>
                </c:pt>
                <c:pt idx="102">
                  <c:v>9.5500000000000002E-2</c:v>
                </c:pt>
                <c:pt idx="103">
                  <c:v>0.245</c:v>
                </c:pt>
                <c:pt idx="104">
                  <c:v>0.28749999999999998</c:v>
                </c:pt>
                <c:pt idx="105">
                  <c:v>9.1999999999999998E-2</c:v>
                </c:pt>
                <c:pt idx="106">
                  <c:v>0.153</c:v>
                </c:pt>
                <c:pt idx="107">
                  <c:v>0.1555</c:v>
                </c:pt>
                <c:pt idx="108">
                  <c:v>0.27500000000000002</c:v>
                </c:pt>
                <c:pt idx="109">
                  <c:v>8.5000000000000006E-2</c:v>
                </c:pt>
                <c:pt idx="110">
                  <c:v>0.23899999999999999</c:v>
                </c:pt>
                <c:pt idx="111">
                  <c:v>0.115</c:v>
                </c:pt>
                <c:pt idx="112">
                  <c:v>0.19750000000000001</c:v>
                </c:pt>
                <c:pt idx="113">
                  <c:v>0.11</c:v>
                </c:pt>
                <c:pt idx="114">
                  <c:v>0.25650000000000001</c:v>
                </c:pt>
                <c:pt idx="115">
                  <c:v>0.16</c:v>
                </c:pt>
                <c:pt idx="116">
                  <c:v>0.23499999999999999</c:v>
                </c:pt>
                <c:pt idx="117">
                  <c:v>0.03</c:v>
                </c:pt>
                <c:pt idx="118">
                  <c:v>0.255</c:v>
                </c:pt>
                <c:pt idx="119">
                  <c:v>0.11799999999999999</c:v>
                </c:pt>
                <c:pt idx="120">
                  <c:v>0.105</c:v>
                </c:pt>
                <c:pt idx="121">
                  <c:v>0.19550000000000001</c:v>
                </c:pt>
                <c:pt idx="122">
                  <c:v>0.28799999999999998</c:v>
                </c:pt>
                <c:pt idx="123">
                  <c:v>0.315</c:v>
                </c:pt>
                <c:pt idx="124">
                  <c:v>0.17</c:v>
                </c:pt>
                <c:pt idx="125">
                  <c:v>0.215</c:v>
                </c:pt>
                <c:pt idx="126">
                  <c:v>0.16500000000000001</c:v>
                </c:pt>
                <c:pt idx="127">
                  <c:v>7.6499999999999999E-2</c:v>
                </c:pt>
                <c:pt idx="128">
                  <c:v>0.34499999999999997</c:v>
                </c:pt>
                <c:pt idx="129">
                  <c:v>0.23899999999999999</c:v>
                </c:pt>
                <c:pt idx="130">
                  <c:v>0.11</c:v>
                </c:pt>
                <c:pt idx="131">
                  <c:v>4.2500000000000003E-2</c:v>
                </c:pt>
                <c:pt idx="132">
                  <c:v>5.5E-2</c:v>
                </c:pt>
                <c:pt idx="133">
                  <c:v>7.3999999999999996E-2</c:v>
                </c:pt>
                <c:pt idx="134">
                  <c:v>0.11749999999999999</c:v>
                </c:pt>
                <c:pt idx="135">
                  <c:v>0.15</c:v>
                </c:pt>
                <c:pt idx="136">
                  <c:v>0.27250000000000002</c:v>
                </c:pt>
                <c:pt idx="137">
                  <c:v>0.17499999999999999</c:v>
                </c:pt>
                <c:pt idx="138">
                  <c:v>5.5E-2</c:v>
                </c:pt>
                <c:pt idx="139">
                  <c:v>0.214</c:v>
                </c:pt>
                <c:pt idx="140">
                  <c:v>0.26500000000000001</c:v>
                </c:pt>
                <c:pt idx="141">
                  <c:v>0.24</c:v>
                </c:pt>
                <c:pt idx="142">
                  <c:v>0.245</c:v>
                </c:pt>
                <c:pt idx="143">
                  <c:v>0.115</c:v>
                </c:pt>
                <c:pt idx="144">
                  <c:v>0.08</c:v>
                </c:pt>
                <c:pt idx="145">
                  <c:v>9.8000000000000004E-2</c:v>
                </c:pt>
                <c:pt idx="146">
                  <c:v>0.23</c:v>
                </c:pt>
                <c:pt idx="147">
                  <c:v>0.26850000000000002</c:v>
                </c:pt>
                <c:pt idx="148">
                  <c:v>0.33</c:v>
                </c:pt>
                <c:pt idx="149">
                  <c:v>0.25900000000000001</c:v>
                </c:pt>
                <c:pt idx="150">
                  <c:v>3.3500000000000002E-2</c:v>
                </c:pt>
                <c:pt idx="151">
                  <c:v>0.31</c:v>
                </c:pt>
                <c:pt idx="152">
                  <c:v>6.0999999999999999E-2</c:v>
                </c:pt>
                <c:pt idx="153">
                  <c:v>9.6500000000000002E-2</c:v>
                </c:pt>
                <c:pt idx="154">
                  <c:v>0.28499999999999998</c:v>
                </c:pt>
                <c:pt idx="155">
                  <c:v>0.13750000000000001</c:v>
                </c:pt>
                <c:pt idx="156">
                  <c:v>0.21</c:v>
                </c:pt>
                <c:pt idx="157">
                  <c:v>0.34499999999999997</c:v>
                </c:pt>
                <c:pt idx="158">
                  <c:v>0.255</c:v>
                </c:pt>
                <c:pt idx="159">
                  <c:v>0.17749999999999999</c:v>
                </c:pt>
                <c:pt idx="160">
                  <c:v>0.23499999999999999</c:v>
                </c:pt>
                <c:pt idx="161">
                  <c:v>0.255</c:v>
                </c:pt>
                <c:pt idx="162">
                  <c:v>0.39450000000000002</c:v>
                </c:pt>
                <c:pt idx="163">
                  <c:v>0.17499999999999999</c:v>
                </c:pt>
                <c:pt idx="164">
                  <c:v>0.2215</c:v>
                </c:pt>
                <c:pt idx="165">
                  <c:v>0.20699999999999999</c:v>
                </c:pt>
                <c:pt idx="166">
                  <c:v>0.315</c:v>
                </c:pt>
                <c:pt idx="167">
                  <c:v>0.34399999999999997</c:v>
                </c:pt>
                <c:pt idx="168">
                  <c:v>0.19500000000000001</c:v>
                </c:pt>
                <c:pt idx="169">
                  <c:v>9.35E-2</c:v>
                </c:pt>
                <c:pt idx="170">
                  <c:v>0.254</c:v>
                </c:pt>
                <c:pt idx="171">
                  <c:v>8.7999999999999995E-2</c:v>
                </c:pt>
                <c:pt idx="172">
                  <c:v>0.28499999999999998</c:v>
                </c:pt>
                <c:pt idx="173">
                  <c:v>0.19</c:v>
                </c:pt>
                <c:pt idx="174">
                  <c:v>0.15049999999999999</c:v>
                </c:pt>
                <c:pt idx="175">
                  <c:v>5.7000000000000002E-2</c:v>
                </c:pt>
                <c:pt idx="176">
                  <c:v>0.33500000000000002</c:v>
                </c:pt>
                <c:pt idx="177">
                  <c:v>0.25900000000000001</c:v>
                </c:pt>
                <c:pt idx="178">
                  <c:v>0.12</c:v>
                </c:pt>
                <c:pt idx="179">
                  <c:v>0.34499999999999997</c:v>
                </c:pt>
                <c:pt idx="180">
                  <c:v>0.13</c:v>
                </c:pt>
                <c:pt idx="181">
                  <c:v>0.24</c:v>
                </c:pt>
                <c:pt idx="182">
                  <c:v>0.1515</c:v>
                </c:pt>
                <c:pt idx="183">
                  <c:v>9.5000000000000001E-2</c:v>
                </c:pt>
                <c:pt idx="184">
                  <c:v>6.9500000000000006E-2</c:v>
                </c:pt>
                <c:pt idx="185">
                  <c:v>0.3085</c:v>
                </c:pt>
                <c:pt idx="186">
                  <c:v>0.3</c:v>
                </c:pt>
                <c:pt idx="187">
                  <c:v>0.245</c:v>
                </c:pt>
                <c:pt idx="188">
                  <c:v>0.17649999999999999</c:v>
                </c:pt>
                <c:pt idx="189">
                  <c:v>3.1E-2</c:v>
                </c:pt>
                <c:pt idx="190">
                  <c:v>0.155</c:v>
                </c:pt>
                <c:pt idx="191">
                  <c:v>0.16500000000000001</c:v>
                </c:pt>
                <c:pt idx="192">
                  <c:v>7.0000000000000007E-2</c:v>
                </c:pt>
                <c:pt idx="193">
                  <c:v>0.13</c:v>
                </c:pt>
                <c:pt idx="194">
                  <c:v>0.19900000000000001</c:v>
                </c:pt>
                <c:pt idx="195">
                  <c:v>0.27100000000000002</c:v>
                </c:pt>
                <c:pt idx="196">
                  <c:v>0.33500000000000002</c:v>
                </c:pt>
                <c:pt idx="197">
                  <c:v>7.3499999999999996E-2</c:v>
                </c:pt>
                <c:pt idx="198">
                  <c:v>8.0500000000000002E-2</c:v>
                </c:pt>
                <c:pt idx="199">
                  <c:v>4.3999999999999997E-2</c:v>
                </c:pt>
                <c:pt idx="200">
                  <c:v>0.25</c:v>
                </c:pt>
                <c:pt idx="201">
                  <c:v>5.3999999999999999E-2</c:v>
                </c:pt>
                <c:pt idx="202">
                  <c:v>0.2</c:v>
                </c:pt>
                <c:pt idx="203">
                  <c:v>0.16500000000000001</c:v>
                </c:pt>
                <c:pt idx="204">
                  <c:v>0.03</c:v>
                </c:pt>
                <c:pt idx="205">
                  <c:v>0.1825</c:v>
                </c:pt>
                <c:pt idx="206">
                  <c:v>0.19</c:v>
                </c:pt>
                <c:pt idx="207">
                  <c:v>0.114</c:v>
                </c:pt>
                <c:pt idx="208">
                  <c:v>3.4500000000000003E-2</c:v>
                </c:pt>
                <c:pt idx="209">
                  <c:v>0.2165</c:v>
                </c:pt>
                <c:pt idx="210">
                  <c:v>0.16900000000000001</c:v>
                </c:pt>
                <c:pt idx="211">
                  <c:v>0.20399999999999999</c:v>
                </c:pt>
                <c:pt idx="212">
                  <c:v>0.18</c:v>
                </c:pt>
                <c:pt idx="213">
                  <c:v>6.9000000000000006E-2</c:v>
                </c:pt>
                <c:pt idx="214">
                  <c:v>0.31</c:v>
                </c:pt>
                <c:pt idx="215">
                  <c:v>0.21</c:v>
                </c:pt>
                <c:pt idx="216">
                  <c:v>0.435</c:v>
                </c:pt>
                <c:pt idx="217">
                  <c:v>1.2999999999999999E-2</c:v>
                </c:pt>
                <c:pt idx="218">
                  <c:v>8.0000000000000002E-3</c:v>
                </c:pt>
                <c:pt idx="219">
                  <c:v>0.27</c:v>
                </c:pt>
                <c:pt idx="220">
                  <c:v>0.32950000000000002</c:v>
                </c:pt>
                <c:pt idx="221">
                  <c:v>0.28999999999999998</c:v>
                </c:pt>
                <c:pt idx="222">
                  <c:v>0.23499999999999999</c:v>
                </c:pt>
                <c:pt idx="223">
                  <c:v>0.184</c:v>
                </c:pt>
                <c:pt idx="224">
                  <c:v>0.1835</c:v>
                </c:pt>
                <c:pt idx="225">
                  <c:v>3.5499999999999997E-2</c:v>
                </c:pt>
                <c:pt idx="226">
                  <c:v>2.3E-2</c:v>
                </c:pt>
                <c:pt idx="227">
                  <c:v>4.4499999999999998E-2</c:v>
                </c:pt>
                <c:pt idx="228">
                  <c:v>0.23499999999999999</c:v>
                </c:pt>
                <c:pt idx="229">
                  <c:v>0.17</c:v>
                </c:pt>
                <c:pt idx="230">
                  <c:v>3.2000000000000001E-2</c:v>
                </c:pt>
                <c:pt idx="231">
                  <c:v>0.33</c:v>
                </c:pt>
                <c:pt idx="232">
                  <c:v>0.38600000000000001</c:v>
                </c:pt>
                <c:pt idx="233">
                  <c:v>0.32</c:v>
                </c:pt>
                <c:pt idx="234">
                  <c:v>8.5000000000000006E-2</c:v>
                </c:pt>
                <c:pt idx="235">
                  <c:v>0.34</c:v>
                </c:pt>
                <c:pt idx="236">
                  <c:v>0.2</c:v>
                </c:pt>
                <c:pt idx="237">
                  <c:v>0.28000000000000003</c:v>
                </c:pt>
                <c:pt idx="238">
                  <c:v>0.20499999999999999</c:v>
                </c:pt>
                <c:pt idx="239">
                  <c:v>0.10349999999999999</c:v>
                </c:pt>
                <c:pt idx="240">
                  <c:v>0.23</c:v>
                </c:pt>
                <c:pt idx="241">
                  <c:v>0.22</c:v>
                </c:pt>
                <c:pt idx="242">
                  <c:v>0.35349999999999998</c:v>
                </c:pt>
                <c:pt idx="243">
                  <c:v>0.25</c:v>
                </c:pt>
                <c:pt idx="244">
                  <c:v>8.7999999999999995E-2</c:v>
                </c:pt>
                <c:pt idx="245">
                  <c:v>0.2</c:v>
                </c:pt>
                <c:pt idx="246">
                  <c:v>6.4000000000000001E-2</c:v>
                </c:pt>
                <c:pt idx="247">
                  <c:v>0.12</c:v>
                </c:pt>
                <c:pt idx="248">
                  <c:v>0.17499999999999999</c:v>
                </c:pt>
                <c:pt idx="249">
                  <c:v>0.20200000000000001</c:v>
                </c:pt>
                <c:pt idx="250">
                  <c:v>0.16500000000000001</c:v>
                </c:pt>
                <c:pt idx="251">
                  <c:v>0.115</c:v>
                </c:pt>
                <c:pt idx="252">
                  <c:v>0.30449999999999999</c:v>
                </c:pt>
                <c:pt idx="253">
                  <c:v>0.13850000000000001</c:v>
                </c:pt>
                <c:pt idx="254">
                  <c:v>0.11</c:v>
                </c:pt>
                <c:pt idx="255">
                  <c:v>0.22500000000000001</c:v>
                </c:pt>
                <c:pt idx="256">
                  <c:v>0.27</c:v>
                </c:pt>
                <c:pt idx="257">
                  <c:v>0.155</c:v>
                </c:pt>
                <c:pt idx="258">
                  <c:v>8.5000000000000006E-2</c:v>
                </c:pt>
                <c:pt idx="259">
                  <c:v>0.2185</c:v>
                </c:pt>
                <c:pt idx="260">
                  <c:v>0.20499999999999999</c:v>
                </c:pt>
                <c:pt idx="261">
                  <c:v>0.245</c:v>
                </c:pt>
                <c:pt idx="262">
                  <c:v>0.16500000000000001</c:v>
                </c:pt>
                <c:pt idx="263">
                  <c:v>0.34649999999999997</c:v>
                </c:pt>
                <c:pt idx="264">
                  <c:v>0.106</c:v>
                </c:pt>
                <c:pt idx="265">
                  <c:v>0.19500000000000001</c:v>
                </c:pt>
                <c:pt idx="266">
                  <c:v>0.11600000000000001</c:v>
                </c:pt>
                <c:pt idx="267">
                  <c:v>0.13750000000000001</c:v>
                </c:pt>
                <c:pt idx="268">
                  <c:v>0.25600000000000001</c:v>
                </c:pt>
                <c:pt idx="269">
                  <c:v>7.6499999999999999E-2</c:v>
                </c:pt>
                <c:pt idx="270">
                  <c:v>0.22500000000000001</c:v>
                </c:pt>
                <c:pt idx="271">
                  <c:v>0.18</c:v>
                </c:pt>
                <c:pt idx="272">
                  <c:v>3.5000000000000003E-2</c:v>
                </c:pt>
                <c:pt idx="273">
                  <c:v>0.1</c:v>
                </c:pt>
                <c:pt idx="274">
                  <c:v>0.13500000000000001</c:v>
                </c:pt>
                <c:pt idx="275">
                  <c:v>0.18</c:v>
                </c:pt>
                <c:pt idx="276">
                  <c:v>0.33500000000000002</c:v>
                </c:pt>
                <c:pt idx="277">
                  <c:v>0.217</c:v>
                </c:pt>
                <c:pt idx="278">
                  <c:v>9.5000000000000001E-2</c:v>
                </c:pt>
                <c:pt idx="279">
                  <c:v>4.4999999999999998E-2</c:v>
                </c:pt>
                <c:pt idx="280">
                  <c:v>0.13850000000000001</c:v>
                </c:pt>
                <c:pt idx="281">
                  <c:v>0.15</c:v>
                </c:pt>
                <c:pt idx="282">
                  <c:v>0.115</c:v>
                </c:pt>
                <c:pt idx="283">
                  <c:v>0.02</c:v>
                </c:pt>
                <c:pt idx="284">
                  <c:v>0.1105</c:v>
                </c:pt>
                <c:pt idx="285">
                  <c:v>2.7E-2</c:v>
                </c:pt>
                <c:pt idx="286">
                  <c:v>0.13900000000000001</c:v>
                </c:pt>
                <c:pt idx="287">
                  <c:v>0.1565</c:v>
                </c:pt>
                <c:pt idx="288">
                  <c:v>0.19600000000000001</c:v>
                </c:pt>
                <c:pt idx="289">
                  <c:v>8.7999999999999995E-2</c:v>
                </c:pt>
                <c:pt idx="290">
                  <c:v>0.22450000000000001</c:v>
                </c:pt>
                <c:pt idx="291">
                  <c:v>0.33500000000000002</c:v>
                </c:pt>
                <c:pt idx="292">
                  <c:v>0.05</c:v>
                </c:pt>
                <c:pt idx="293">
                  <c:v>0.109</c:v>
                </c:pt>
                <c:pt idx="294">
                  <c:v>0.20899999999999999</c:v>
                </c:pt>
                <c:pt idx="295">
                  <c:v>0.1</c:v>
                </c:pt>
                <c:pt idx="296">
                  <c:v>0.16700000000000001</c:v>
                </c:pt>
                <c:pt idx="297">
                  <c:v>0.17</c:v>
                </c:pt>
                <c:pt idx="298">
                  <c:v>0.215</c:v>
                </c:pt>
                <c:pt idx="299">
                  <c:v>0.185</c:v>
                </c:pt>
                <c:pt idx="300">
                  <c:v>0.221</c:v>
                </c:pt>
                <c:pt idx="301">
                  <c:v>0.1835</c:v>
                </c:pt>
                <c:pt idx="302">
                  <c:v>2.5499999999999998E-2</c:v>
                </c:pt>
                <c:pt idx="303">
                  <c:v>0.315</c:v>
                </c:pt>
                <c:pt idx="304">
                  <c:v>7.0000000000000007E-2</c:v>
                </c:pt>
                <c:pt idx="305">
                  <c:v>6.1499999999999999E-2</c:v>
                </c:pt>
                <c:pt idx="306">
                  <c:v>0.23649999999999999</c:v>
                </c:pt>
                <c:pt idx="307">
                  <c:v>0.22</c:v>
                </c:pt>
                <c:pt idx="308">
                  <c:v>0.20200000000000001</c:v>
                </c:pt>
                <c:pt idx="309">
                  <c:v>5.5E-2</c:v>
                </c:pt>
                <c:pt idx="310">
                  <c:v>0.26500000000000001</c:v>
                </c:pt>
                <c:pt idx="311">
                  <c:v>5.5E-2</c:v>
                </c:pt>
                <c:pt idx="312">
                  <c:v>0.14099999999999999</c:v>
                </c:pt>
                <c:pt idx="313">
                  <c:v>0.29499999999999998</c:v>
                </c:pt>
                <c:pt idx="314">
                  <c:v>0.30499999999999999</c:v>
                </c:pt>
                <c:pt idx="315">
                  <c:v>0.16800000000000001</c:v>
                </c:pt>
                <c:pt idx="316">
                  <c:v>0.40500000000000003</c:v>
                </c:pt>
                <c:pt idx="317">
                  <c:v>5.0000000000000001E-3</c:v>
                </c:pt>
                <c:pt idx="318">
                  <c:v>0.155</c:v>
                </c:pt>
                <c:pt idx="319">
                  <c:v>0.2215</c:v>
                </c:pt>
                <c:pt idx="320">
                  <c:v>7.0000000000000007E-2</c:v>
                </c:pt>
                <c:pt idx="321">
                  <c:v>5.3999999999999999E-2</c:v>
                </c:pt>
                <c:pt idx="322">
                  <c:v>0.08</c:v>
                </c:pt>
                <c:pt idx="323">
                  <c:v>0.20549999999999999</c:v>
                </c:pt>
                <c:pt idx="324">
                  <c:v>0.23499999999999999</c:v>
                </c:pt>
                <c:pt idx="325">
                  <c:v>0.36</c:v>
                </c:pt>
                <c:pt idx="326">
                  <c:v>7.0000000000000007E-2</c:v>
                </c:pt>
                <c:pt idx="327">
                  <c:v>0.33</c:v>
                </c:pt>
                <c:pt idx="328">
                  <c:v>0.26900000000000002</c:v>
                </c:pt>
                <c:pt idx="329">
                  <c:v>0.215</c:v>
                </c:pt>
                <c:pt idx="330">
                  <c:v>0.24</c:v>
                </c:pt>
                <c:pt idx="331">
                  <c:v>0.14000000000000001</c:v>
                </c:pt>
                <c:pt idx="332">
                  <c:v>0.27500000000000002</c:v>
                </c:pt>
                <c:pt idx="333">
                  <c:v>0.4</c:v>
                </c:pt>
                <c:pt idx="334">
                  <c:v>0.2</c:v>
                </c:pt>
                <c:pt idx="335">
                  <c:v>0.31</c:v>
                </c:pt>
                <c:pt idx="336">
                  <c:v>0.30599999999999999</c:v>
                </c:pt>
                <c:pt idx="337">
                  <c:v>0.185</c:v>
                </c:pt>
                <c:pt idx="338">
                  <c:v>0.25</c:v>
                </c:pt>
                <c:pt idx="339">
                  <c:v>0.27600000000000002</c:v>
                </c:pt>
                <c:pt idx="340">
                  <c:v>0.1065</c:v>
                </c:pt>
                <c:pt idx="341">
                  <c:v>0.19</c:v>
                </c:pt>
                <c:pt idx="342">
                  <c:v>7.0000000000000007E-2</c:v>
                </c:pt>
                <c:pt idx="343">
                  <c:v>0.125</c:v>
                </c:pt>
                <c:pt idx="344">
                  <c:v>0.251</c:v>
                </c:pt>
                <c:pt idx="345">
                  <c:v>0.3</c:v>
                </c:pt>
                <c:pt idx="346">
                  <c:v>0.14499999999999999</c:v>
                </c:pt>
                <c:pt idx="347">
                  <c:v>4.4999999999999998E-2</c:v>
                </c:pt>
                <c:pt idx="348">
                  <c:v>0.14499999999999999</c:v>
                </c:pt>
                <c:pt idx="349">
                  <c:v>0.253</c:v>
                </c:pt>
                <c:pt idx="350">
                  <c:v>0.26500000000000001</c:v>
                </c:pt>
                <c:pt idx="351">
                  <c:v>7.2999999999999995E-2</c:v>
                </c:pt>
                <c:pt idx="352">
                  <c:v>0.12</c:v>
                </c:pt>
                <c:pt idx="353">
                  <c:v>0.23</c:v>
                </c:pt>
                <c:pt idx="354">
                  <c:v>0.19850000000000001</c:v>
                </c:pt>
                <c:pt idx="355">
                  <c:v>8.6499999999999994E-2</c:v>
                </c:pt>
                <c:pt idx="356">
                  <c:v>0.23</c:v>
                </c:pt>
                <c:pt idx="357">
                  <c:v>0.4</c:v>
                </c:pt>
                <c:pt idx="358">
                  <c:v>0.09</c:v>
                </c:pt>
                <c:pt idx="359">
                  <c:v>0.1135</c:v>
                </c:pt>
                <c:pt idx="360">
                  <c:v>0.11899999999999999</c:v>
                </c:pt>
                <c:pt idx="361">
                  <c:v>0.13400000000000001</c:v>
                </c:pt>
                <c:pt idx="362">
                  <c:v>0.27750000000000002</c:v>
                </c:pt>
                <c:pt idx="363">
                  <c:v>0.26900000000000002</c:v>
                </c:pt>
                <c:pt idx="364">
                  <c:v>0.16900000000000001</c:v>
                </c:pt>
                <c:pt idx="365">
                  <c:v>0.26350000000000001</c:v>
                </c:pt>
                <c:pt idx="366">
                  <c:v>9.4500000000000001E-2</c:v>
                </c:pt>
                <c:pt idx="367">
                  <c:v>2.5000000000000001E-2</c:v>
                </c:pt>
                <c:pt idx="368">
                  <c:v>0.11</c:v>
                </c:pt>
                <c:pt idx="369">
                  <c:v>0.154</c:v>
                </c:pt>
                <c:pt idx="370">
                  <c:v>0.125</c:v>
                </c:pt>
                <c:pt idx="371">
                  <c:v>0.245</c:v>
                </c:pt>
                <c:pt idx="372">
                  <c:v>0.22</c:v>
                </c:pt>
                <c:pt idx="373">
                  <c:v>0.23499999999999999</c:v>
                </c:pt>
                <c:pt idx="374">
                  <c:v>0.39</c:v>
                </c:pt>
                <c:pt idx="375">
                  <c:v>0.1525</c:v>
                </c:pt>
                <c:pt idx="376">
                  <c:v>0.13</c:v>
                </c:pt>
                <c:pt idx="377">
                  <c:v>1.6E-2</c:v>
                </c:pt>
                <c:pt idx="378">
                  <c:v>0.218</c:v>
                </c:pt>
                <c:pt idx="379">
                  <c:v>9.35E-2</c:v>
                </c:pt>
                <c:pt idx="380">
                  <c:v>0.03</c:v>
                </c:pt>
                <c:pt idx="381">
                  <c:v>7.0000000000000001E-3</c:v>
                </c:pt>
                <c:pt idx="382">
                  <c:v>0.253</c:v>
                </c:pt>
                <c:pt idx="383">
                  <c:v>3.3500000000000002E-2</c:v>
                </c:pt>
                <c:pt idx="384">
                  <c:v>0.125</c:v>
                </c:pt>
                <c:pt idx="385">
                  <c:v>0.115</c:v>
                </c:pt>
                <c:pt idx="386">
                  <c:v>9.4E-2</c:v>
                </c:pt>
                <c:pt idx="387">
                  <c:v>0.23649999999999999</c:v>
                </c:pt>
                <c:pt idx="388">
                  <c:v>0.25</c:v>
                </c:pt>
                <c:pt idx="389">
                  <c:v>0.1225</c:v>
                </c:pt>
                <c:pt idx="390">
                  <c:v>5.7500000000000002E-2</c:v>
                </c:pt>
                <c:pt idx="391">
                  <c:v>0.26950000000000002</c:v>
                </c:pt>
                <c:pt idx="392">
                  <c:v>0.13500000000000001</c:v>
                </c:pt>
                <c:pt idx="393">
                  <c:v>0.185</c:v>
                </c:pt>
                <c:pt idx="394">
                  <c:v>0.20499999999999999</c:v>
                </c:pt>
                <c:pt idx="395">
                  <c:v>0.20499999999999999</c:v>
                </c:pt>
                <c:pt idx="396">
                  <c:v>0.11</c:v>
                </c:pt>
                <c:pt idx="397">
                  <c:v>0.20499999999999999</c:v>
                </c:pt>
                <c:pt idx="398">
                  <c:v>0.28899999999999998</c:v>
                </c:pt>
                <c:pt idx="399">
                  <c:v>0.17499999999999999</c:v>
                </c:pt>
                <c:pt idx="400">
                  <c:v>0.315</c:v>
                </c:pt>
                <c:pt idx="401">
                  <c:v>0.18</c:v>
                </c:pt>
                <c:pt idx="402">
                  <c:v>0.31</c:v>
                </c:pt>
                <c:pt idx="403">
                  <c:v>7.0000000000000007E-2</c:v>
                </c:pt>
                <c:pt idx="404">
                  <c:v>0.23899999999999999</c:v>
                </c:pt>
                <c:pt idx="405">
                  <c:v>0.11749999999999999</c:v>
                </c:pt>
                <c:pt idx="406">
                  <c:v>0.309</c:v>
                </c:pt>
                <c:pt idx="407">
                  <c:v>0.29399999999999998</c:v>
                </c:pt>
                <c:pt idx="408">
                  <c:v>8.5000000000000006E-2</c:v>
                </c:pt>
                <c:pt idx="409">
                  <c:v>0.2185</c:v>
                </c:pt>
                <c:pt idx="410">
                  <c:v>0.15049999999999999</c:v>
                </c:pt>
                <c:pt idx="411">
                  <c:v>0.14000000000000001</c:v>
                </c:pt>
                <c:pt idx="412">
                  <c:v>0.16500000000000001</c:v>
                </c:pt>
                <c:pt idx="413">
                  <c:v>0.21</c:v>
                </c:pt>
                <c:pt idx="414">
                  <c:v>0.35</c:v>
                </c:pt>
                <c:pt idx="415">
                  <c:v>0.105</c:v>
                </c:pt>
                <c:pt idx="416">
                  <c:v>8.1500000000000003E-2</c:v>
                </c:pt>
                <c:pt idx="417">
                  <c:v>0.26500000000000001</c:v>
                </c:pt>
                <c:pt idx="418">
                  <c:v>0.152</c:v>
                </c:pt>
                <c:pt idx="419">
                  <c:v>0.12</c:v>
                </c:pt>
                <c:pt idx="420">
                  <c:v>4.65E-2</c:v>
                </c:pt>
                <c:pt idx="421">
                  <c:v>0.28499999999999998</c:v>
                </c:pt>
                <c:pt idx="422">
                  <c:v>0.30399999999999999</c:v>
                </c:pt>
                <c:pt idx="423">
                  <c:v>0.28100000000000003</c:v>
                </c:pt>
                <c:pt idx="424">
                  <c:v>0.06</c:v>
                </c:pt>
                <c:pt idx="425">
                  <c:v>0.12</c:v>
                </c:pt>
                <c:pt idx="426">
                  <c:v>0.32500000000000001</c:v>
                </c:pt>
                <c:pt idx="427">
                  <c:v>7.0000000000000007E-2</c:v>
                </c:pt>
                <c:pt idx="428">
                  <c:v>0.105</c:v>
                </c:pt>
                <c:pt idx="429">
                  <c:v>0.22</c:v>
                </c:pt>
                <c:pt idx="430">
                  <c:v>0.11</c:v>
                </c:pt>
                <c:pt idx="431">
                  <c:v>7.8E-2</c:v>
                </c:pt>
                <c:pt idx="432">
                  <c:v>0.06</c:v>
                </c:pt>
                <c:pt idx="433">
                  <c:v>0.3</c:v>
                </c:pt>
                <c:pt idx="434">
                  <c:v>1.4999999999999999E-2</c:v>
                </c:pt>
                <c:pt idx="435">
                  <c:v>0.21</c:v>
                </c:pt>
                <c:pt idx="436">
                  <c:v>0.23</c:v>
                </c:pt>
                <c:pt idx="437">
                  <c:v>0.27900000000000003</c:v>
                </c:pt>
                <c:pt idx="438">
                  <c:v>0.35349999999999998</c:v>
                </c:pt>
                <c:pt idx="439">
                  <c:v>1.2999999999999999E-2</c:v>
                </c:pt>
                <c:pt idx="440">
                  <c:v>0.35</c:v>
                </c:pt>
                <c:pt idx="441">
                  <c:v>0.1045</c:v>
                </c:pt>
                <c:pt idx="442">
                  <c:v>0.13500000000000001</c:v>
                </c:pt>
                <c:pt idx="443">
                  <c:v>9.4500000000000001E-2</c:v>
                </c:pt>
                <c:pt idx="444">
                  <c:v>0.03</c:v>
                </c:pt>
                <c:pt idx="445">
                  <c:v>0.28499999999999998</c:v>
                </c:pt>
                <c:pt idx="446">
                  <c:v>0.34699999999999998</c:v>
                </c:pt>
                <c:pt idx="447">
                  <c:v>0.20499999999999999</c:v>
                </c:pt>
                <c:pt idx="448">
                  <c:v>0.26300000000000001</c:v>
                </c:pt>
                <c:pt idx="449">
                  <c:v>0.156</c:v>
                </c:pt>
                <c:pt idx="450">
                  <c:v>7.6499999999999999E-2</c:v>
                </c:pt>
                <c:pt idx="451">
                  <c:v>0.21</c:v>
                </c:pt>
                <c:pt idx="452">
                  <c:v>0.249</c:v>
                </c:pt>
                <c:pt idx="453">
                  <c:v>0.17</c:v>
                </c:pt>
                <c:pt idx="454">
                  <c:v>0.14000000000000001</c:v>
                </c:pt>
                <c:pt idx="455">
                  <c:v>0.222</c:v>
                </c:pt>
                <c:pt idx="456">
                  <c:v>9.2499999999999999E-2</c:v>
                </c:pt>
                <c:pt idx="457">
                  <c:v>9.4999999999999998E-3</c:v>
                </c:pt>
                <c:pt idx="458">
                  <c:v>0.13</c:v>
                </c:pt>
                <c:pt idx="459">
                  <c:v>0.13100000000000001</c:v>
                </c:pt>
                <c:pt idx="460">
                  <c:v>0.19550000000000001</c:v>
                </c:pt>
                <c:pt idx="461">
                  <c:v>0.20349999999999999</c:v>
                </c:pt>
                <c:pt idx="462">
                  <c:v>0.18</c:v>
                </c:pt>
                <c:pt idx="463">
                  <c:v>0.20499999999999999</c:v>
                </c:pt>
                <c:pt idx="464">
                  <c:v>0.24399999999999999</c:v>
                </c:pt>
                <c:pt idx="465">
                  <c:v>0.25850000000000001</c:v>
                </c:pt>
                <c:pt idx="466">
                  <c:v>0.28499999999999998</c:v>
                </c:pt>
                <c:pt idx="467">
                  <c:v>8.7499999999999994E-2</c:v>
                </c:pt>
                <c:pt idx="468">
                  <c:v>0.11749999999999999</c:v>
                </c:pt>
                <c:pt idx="469">
                  <c:v>0.30499999999999999</c:v>
                </c:pt>
                <c:pt idx="470">
                  <c:v>6.0000000000000001E-3</c:v>
                </c:pt>
                <c:pt idx="471">
                  <c:v>0.13350000000000001</c:v>
                </c:pt>
                <c:pt idx="472">
                  <c:v>0.16850000000000001</c:v>
                </c:pt>
                <c:pt idx="473">
                  <c:v>9.2999999999999999E-2</c:v>
                </c:pt>
                <c:pt idx="474">
                  <c:v>0.215</c:v>
                </c:pt>
                <c:pt idx="475">
                  <c:v>0.28000000000000003</c:v>
                </c:pt>
                <c:pt idx="476">
                  <c:v>0.218</c:v>
                </c:pt>
                <c:pt idx="477">
                  <c:v>0.28499999999999998</c:v>
                </c:pt>
                <c:pt idx="478">
                  <c:v>0.32</c:v>
                </c:pt>
                <c:pt idx="479">
                  <c:v>7.0000000000000007E-2</c:v>
                </c:pt>
                <c:pt idx="480">
                  <c:v>0.2505</c:v>
                </c:pt>
                <c:pt idx="481">
                  <c:v>0.28449999999999998</c:v>
                </c:pt>
                <c:pt idx="482">
                  <c:v>0.35</c:v>
                </c:pt>
                <c:pt idx="483">
                  <c:v>0.21249999999999999</c:v>
                </c:pt>
                <c:pt idx="484">
                  <c:v>3.5000000000000003E-2</c:v>
                </c:pt>
                <c:pt idx="485">
                  <c:v>0.22500000000000001</c:v>
                </c:pt>
                <c:pt idx="486">
                  <c:v>0.27450000000000002</c:v>
                </c:pt>
                <c:pt idx="487">
                  <c:v>0.12</c:v>
                </c:pt>
                <c:pt idx="488">
                  <c:v>0.223</c:v>
                </c:pt>
                <c:pt idx="489">
                  <c:v>0.215</c:v>
                </c:pt>
                <c:pt idx="490">
                  <c:v>0.26550000000000001</c:v>
                </c:pt>
                <c:pt idx="491">
                  <c:v>0.28299999999999997</c:v>
                </c:pt>
                <c:pt idx="492">
                  <c:v>0.14499999999999999</c:v>
                </c:pt>
                <c:pt idx="493">
                  <c:v>0.158</c:v>
                </c:pt>
                <c:pt idx="494">
                  <c:v>0.315</c:v>
                </c:pt>
                <c:pt idx="495">
                  <c:v>6.3E-2</c:v>
                </c:pt>
                <c:pt idx="496">
                  <c:v>0.28999999999999998</c:v>
                </c:pt>
                <c:pt idx="497">
                  <c:v>0.19</c:v>
                </c:pt>
                <c:pt idx="498">
                  <c:v>0.13600000000000001</c:v>
                </c:pt>
                <c:pt idx="499">
                  <c:v>2.7E-2</c:v>
                </c:pt>
                <c:pt idx="500">
                  <c:v>0.26800000000000002</c:v>
                </c:pt>
                <c:pt idx="501">
                  <c:v>0.1305</c:v>
                </c:pt>
                <c:pt idx="502">
                  <c:v>0.24</c:v>
                </c:pt>
                <c:pt idx="503">
                  <c:v>0.15049999999999999</c:v>
                </c:pt>
                <c:pt idx="504">
                  <c:v>0.14000000000000001</c:v>
                </c:pt>
                <c:pt idx="505">
                  <c:v>0.3165</c:v>
                </c:pt>
                <c:pt idx="506">
                  <c:v>0.32</c:v>
                </c:pt>
                <c:pt idx="507">
                  <c:v>0.19500000000000001</c:v>
                </c:pt>
                <c:pt idx="508">
                  <c:v>0.25</c:v>
                </c:pt>
                <c:pt idx="509">
                  <c:v>0.17699999999999999</c:v>
                </c:pt>
                <c:pt idx="510">
                  <c:v>1.9E-2</c:v>
                </c:pt>
                <c:pt idx="511">
                  <c:v>0.315</c:v>
                </c:pt>
                <c:pt idx="512">
                  <c:v>0.12</c:v>
                </c:pt>
                <c:pt idx="513">
                  <c:v>0.3</c:v>
                </c:pt>
                <c:pt idx="514">
                  <c:v>0.27</c:v>
                </c:pt>
                <c:pt idx="515">
                  <c:v>0.16</c:v>
                </c:pt>
                <c:pt idx="516">
                  <c:v>0.33</c:v>
                </c:pt>
                <c:pt idx="517">
                  <c:v>0.22500000000000001</c:v>
                </c:pt>
                <c:pt idx="518">
                  <c:v>0.125</c:v>
                </c:pt>
                <c:pt idx="519">
                  <c:v>0.13500000000000001</c:v>
                </c:pt>
                <c:pt idx="520">
                  <c:v>0.35</c:v>
                </c:pt>
                <c:pt idx="521">
                  <c:v>0.32500000000000001</c:v>
                </c:pt>
                <c:pt idx="522">
                  <c:v>2.2499999999999999E-2</c:v>
                </c:pt>
                <c:pt idx="523">
                  <c:v>0.09</c:v>
                </c:pt>
                <c:pt idx="524">
                  <c:v>0.35</c:v>
                </c:pt>
                <c:pt idx="525">
                  <c:v>0.22</c:v>
                </c:pt>
                <c:pt idx="526">
                  <c:v>0.19</c:v>
                </c:pt>
                <c:pt idx="527">
                  <c:v>0.28499999999999998</c:v>
                </c:pt>
                <c:pt idx="528">
                  <c:v>0.22950000000000001</c:v>
                </c:pt>
                <c:pt idx="529">
                  <c:v>0.16500000000000001</c:v>
                </c:pt>
                <c:pt idx="530">
                  <c:v>0.24</c:v>
                </c:pt>
                <c:pt idx="531">
                  <c:v>7.9000000000000001E-2</c:v>
                </c:pt>
                <c:pt idx="532">
                  <c:v>1.4999999999999999E-2</c:v>
                </c:pt>
                <c:pt idx="533">
                  <c:v>0.13250000000000001</c:v>
                </c:pt>
                <c:pt idx="534">
                  <c:v>0.27500000000000002</c:v>
                </c:pt>
                <c:pt idx="535">
                  <c:v>0.17399999999999999</c:v>
                </c:pt>
                <c:pt idx="536">
                  <c:v>0.34799999999999998</c:v>
                </c:pt>
                <c:pt idx="537">
                  <c:v>0.15</c:v>
                </c:pt>
                <c:pt idx="538">
                  <c:v>0.32500000000000001</c:v>
                </c:pt>
                <c:pt idx="539">
                  <c:v>0.15</c:v>
                </c:pt>
                <c:pt idx="540">
                  <c:v>0.20499999999999999</c:v>
                </c:pt>
                <c:pt idx="541">
                  <c:v>0.255</c:v>
                </c:pt>
                <c:pt idx="542">
                  <c:v>0.125</c:v>
                </c:pt>
                <c:pt idx="543">
                  <c:v>0.22</c:v>
                </c:pt>
                <c:pt idx="544">
                  <c:v>0.20200000000000001</c:v>
                </c:pt>
                <c:pt idx="545">
                  <c:v>8.2000000000000003E-2</c:v>
                </c:pt>
                <c:pt idx="546">
                  <c:v>0.09</c:v>
                </c:pt>
                <c:pt idx="547">
                  <c:v>0.20349999999999999</c:v>
                </c:pt>
                <c:pt idx="548">
                  <c:v>0.22850000000000001</c:v>
                </c:pt>
                <c:pt idx="549">
                  <c:v>0.03</c:v>
                </c:pt>
                <c:pt idx="550">
                  <c:v>0.255</c:v>
                </c:pt>
                <c:pt idx="551">
                  <c:v>0.28499999999999998</c:v>
                </c:pt>
                <c:pt idx="552">
                  <c:v>0.25</c:v>
                </c:pt>
                <c:pt idx="553">
                  <c:v>0.35949999999999999</c:v>
                </c:pt>
                <c:pt idx="554">
                  <c:v>0.14050000000000001</c:v>
                </c:pt>
                <c:pt idx="555">
                  <c:v>0.28249999999999997</c:v>
                </c:pt>
                <c:pt idx="556">
                  <c:v>0.01</c:v>
                </c:pt>
                <c:pt idx="557">
                  <c:v>0.16250000000000001</c:v>
                </c:pt>
                <c:pt idx="558">
                  <c:v>7.6999999999999999E-2</c:v>
                </c:pt>
                <c:pt idx="559">
                  <c:v>0.36</c:v>
                </c:pt>
                <c:pt idx="560">
                  <c:v>0.215</c:v>
                </c:pt>
                <c:pt idx="561">
                  <c:v>0.35299999999999998</c:v>
                </c:pt>
                <c:pt idx="562">
                  <c:v>9.5500000000000002E-2</c:v>
                </c:pt>
                <c:pt idx="563">
                  <c:v>0.22500000000000001</c:v>
                </c:pt>
                <c:pt idx="564">
                  <c:v>4.5999999999999999E-2</c:v>
                </c:pt>
                <c:pt idx="565">
                  <c:v>9.5000000000000001E-2</c:v>
                </c:pt>
                <c:pt idx="566">
                  <c:v>0.14499999999999999</c:v>
                </c:pt>
                <c:pt idx="567">
                  <c:v>9.8000000000000004E-2</c:v>
                </c:pt>
                <c:pt idx="568">
                  <c:v>5.5E-2</c:v>
                </c:pt>
                <c:pt idx="569">
                  <c:v>0.10100000000000001</c:v>
                </c:pt>
                <c:pt idx="570">
                  <c:v>0.31</c:v>
                </c:pt>
                <c:pt idx="571">
                  <c:v>0.17799999999999999</c:v>
                </c:pt>
                <c:pt idx="572">
                  <c:v>0.23250000000000001</c:v>
                </c:pt>
                <c:pt idx="573">
                  <c:v>0.17499999999999999</c:v>
                </c:pt>
                <c:pt idx="574">
                  <c:v>0.18</c:v>
                </c:pt>
                <c:pt idx="575">
                  <c:v>0.34899999999999998</c:v>
                </c:pt>
                <c:pt idx="576">
                  <c:v>0.21299999999999999</c:v>
                </c:pt>
                <c:pt idx="577">
                  <c:v>0.1</c:v>
                </c:pt>
                <c:pt idx="578">
                  <c:v>0.21199999999999999</c:v>
                </c:pt>
                <c:pt idx="579">
                  <c:v>0.22500000000000001</c:v>
                </c:pt>
                <c:pt idx="580">
                  <c:v>0.17</c:v>
                </c:pt>
                <c:pt idx="581">
                  <c:v>0.19</c:v>
                </c:pt>
                <c:pt idx="582">
                  <c:v>0.25</c:v>
                </c:pt>
                <c:pt idx="583">
                  <c:v>7.0000000000000007E-2</c:v>
                </c:pt>
                <c:pt idx="584">
                  <c:v>0.33500000000000002</c:v>
                </c:pt>
                <c:pt idx="585">
                  <c:v>0.03</c:v>
                </c:pt>
                <c:pt idx="586">
                  <c:v>0.245</c:v>
                </c:pt>
                <c:pt idx="587">
                  <c:v>0.25</c:v>
                </c:pt>
                <c:pt idx="588">
                  <c:v>0.10349999999999999</c:v>
                </c:pt>
                <c:pt idx="589">
                  <c:v>7.9500000000000001E-2</c:v>
                </c:pt>
                <c:pt idx="590">
                  <c:v>6.5000000000000002E-2</c:v>
                </c:pt>
                <c:pt idx="591">
                  <c:v>0.17699999999999999</c:v>
                </c:pt>
                <c:pt idx="592">
                  <c:v>0.35499999999999998</c:v>
                </c:pt>
                <c:pt idx="593">
                  <c:v>0.27400000000000002</c:v>
                </c:pt>
                <c:pt idx="594">
                  <c:v>4.4999999999999998E-2</c:v>
                </c:pt>
                <c:pt idx="595">
                  <c:v>0.12</c:v>
                </c:pt>
                <c:pt idx="596">
                  <c:v>0.158</c:v>
                </c:pt>
                <c:pt idx="597">
                  <c:v>0.105</c:v>
                </c:pt>
                <c:pt idx="598">
                  <c:v>0.105</c:v>
                </c:pt>
                <c:pt idx="599">
                  <c:v>0.1</c:v>
                </c:pt>
                <c:pt idx="600">
                  <c:v>6.0999999999999999E-2</c:v>
                </c:pt>
                <c:pt idx="601">
                  <c:v>0.11749999999999999</c:v>
                </c:pt>
                <c:pt idx="602">
                  <c:v>9.7000000000000003E-2</c:v>
                </c:pt>
                <c:pt idx="603">
                  <c:v>5.5E-2</c:v>
                </c:pt>
                <c:pt idx="604">
                  <c:v>8.3500000000000005E-2</c:v>
                </c:pt>
                <c:pt idx="605">
                  <c:v>0.33</c:v>
                </c:pt>
                <c:pt idx="606">
                  <c:v>0.125</c:v>
                </c:pt>
                <c:pt idx="607">
                  <c:v>0.16500000000000001</c:v>
                </c:pt>
                <c:pt idx="608">
                  <c:v>8.5000000000000006E-2</c:v>
                </c:pt>
                <c:pt idx="609">
                  <c:v>8.2500000000000004E-2</c:v>
                </c:pt>
                <c:pt idx="610">
                  <c:v>0.27500000000000002</c:v>
                </c:pt>
                <c:pt idx="611">
                  <c:v>0.27</c:v>
                </c:pt>
                <c:pt idx="612">
                  <c:v>0.28499999999999998</c:v>
                </c:pt>
                <c:pt idx="613">
                  <c:v>0.34799999999999998</c:v>
                </c:pt>
                <c:pt idx="614">
                  <c:v>0.1125</c:v>
                </c:pt>
                <c:pt idx="615">
                  <c:v>0.20949999999999999</c:v>
                </c:pt>
                <c:pt idx="616">
                  <c:v>0.27500000000000002</c:v>
                </c:pt>
                <c:pt idx="617">
                  <c:v>3.9E-2</c:v>
                </c:pt>
                <c:pt idx="618">
                  <c:v>3.0000000000000001E-3</c:v>
                </c:pt>
                <c:pt idx="619">
                  <c:v>0.3</c:v>
                </c:pt>
                <c:pt idx="620">
                  <c:v>3.85E-2</c:v>
                </c:pt>
                <c:pt idx="621">
                  <c:v>6.3E-2</c:v>
                </c:pt>
                <c:pt idx="622">
                  <c:v>0.2505</c:v>
                </c:pt>
                <c:pt idx="623">
                  <c:v>0.3105</c:v>
                </c:pt>
                <c:pt idx="624">
                  <c:v>0.3</c:v>
                </c:pt>
                <c:pt idx="625">
                  <c:v>0.23849999999999999</c:v>
                </c:pt>
                <c:pt idx="626">
                  <c:v>0.28699999999999998</c:v>
                </c:pt>
                <c:pt idx="627">
                  <c:v>0.15</c:v>
                </c:pt>
                <c:pt idx="628">
                  <c:v>7.4999999999999997E-2</c:v>
                </c:pt>
                <c:pt idx="629">
                  <c:v>7.0000000000000007E-2</c:v>
                </c:pt>
                <c:pt idx="630">
                  <c:v>0.13500000000000001</c:v>
                </c:pt>
                <c:pt idx="631">
                  <c:v>0.29499999999999998</c:v>
                </c:pt>
                <c:pt idx="632">
                  <c:v>0.24</c:v>
                </c:pt>
                <c:pt idx="633">
                  <c:v>0.21</c:v>
                </c:pt>
                <c:pt idx="634">
                  <c:v>0.24</c:v>
                </c:pt>
                <c:pt idx="635">
                  <c:v>0.21099999999999999</c:v>
                </c:pt>
                <c:pt idx="636">
                  <c:v>0.23899999999999999</c:v>
                </c:pt>
                <c:pt idx="637">
                  <c:v>0.20799999999999999</c:v>
                </c:pt>
                <c:pt idx="638">
                  <c:v>0.21099999999999999</c:v>
                </c:pt>
                <c:pt idx="639">
                  <c:v>0.27500000000000002</c:v>
                </c:pt>
                <c:pt idx="640">
                  <c:v>0.255</c:v>
                </c:pt>
                <c:pt idx="641">
                  <c:v>0.215</c:v>
                </c:pt>
                <c:pt idx="642">
                  <c:v>5.0000000000000001E-3</c:v>
                </c:pt>
                <c:pt idx="643">
                  <c:v>3.1E-2</c:v>
                </c:pt>
                <c:pt idx="644">
                  <c:v>0.2215</c:v>
                </c:pt>
                <c:pt idx="645">
                  <c:v>0.1245</c:v>
                </c:pt>
                <c:pt idx="646">
                  <c:v>0.315</c:v>
                </c:pt>
                <c:pt idx="647">
                  <c:v>0.23</c:v>
                </c:pt>
                <c:pt idx="648">
                  <c:v>0.09</c:v>
                </c:pt>
                <c:pt idx="649">
                  <c:v>0.25</c:v>
                </c:pt>
                <c:pt idx="650">
                  <c:v>6.0499999999999998E-2</c:v>
                </c:pt>
                <c:pt idx="651">
                  <c:v>0.18</c:v>
                </c:pt>
                <c:pt idx="652">
                  <c:v>5.5E-2</c:v>
                </c:pt>
                <c:pt idx="653">
                  <c:v>0.19500000000000001</c:v>
                </c:pt>
                <c:pt idx="654">
                  <c:v>0.1</c:v>
                </c:pt>
                <c:pt idx="655">
                  <c:v>0.26400000000000001</c:v>
                </c:pt>
                <c:pt idx="656">
                  <c:v>0.14499999999999999</c:v>
                </c:pt>
                <c:pt idx="657">
                  <c:v>0.34499999999999997</c:v>
                </c:pt>
                <c:pt idx="658">
                  <c:v>0.17499999999999999</c:v>
                </c:pt>
                <c:pt idx="659">
                  <c:v>0.17299999999999999</c:v>
                </c:pt>
                <c:pt idx="660">
                  <c:v>0.10199999999999999</c:v>
                </c:pt>
                <c:pt idx="661">
                  <c:v>0.24</c:v>
                </c:pt>
                <c:pt idx="662">
                  <c:v>0.33</c:v>
                </c:pt>
                <c:pt idx="663">
                  <c:v>0.12</c:v>
                </c:pt>
                <c:pt idx="664">
                  <c:v>0.09</c:v>
                </c:pt>
                <c:pt idx="665">
                  <c:v>0.123</c:v>
                </c:pt>
                <c:pt idx="666">
                  <c:v>0.25</c:v>
                </c:pt>
                <c:pt idx="667">
                  <c:v>0.32500000000000001</c:v>
                </c:pt>
                <c:pt idx="668">
                  <c:v>4.5999999999999999E-2</c:v>
                </c:pt>
                <c:pt idx="669">
                  <c:v>0.36</c:v>
                </c:pt>
                <c:pt idx="670">
                  <c:v>7.4999999999999997E-2</c:v>
                </c:pt>
                <c:pt idx="671">
                  <c:v>0.04</c:v>
                </c:pt>
                <c:pt idx="672">
                  <c:v>0.06</c:v>
                </c:pt>
                <c:pt idx="673">
                  <c:v>0.29499999999999998</c:v>
                </c:pt>
                <c:pt idx="674">
                  <c:v>0.18099999999999999</c:v>
                </c:pt>
                <c:pt idx="675">
                  <c:v>0.28849999999999998</c:v>
                </c:pt>
                <c:pt idx="676">
                  <c:v>0.28499999999999998</c:v>
                </c:pt>
                <c:pt idx="677">
                  <c:v>8.0500000000000002E-2</c:v>
                </c:pt>
                <c:pt idx="678">
                  <c:v>0.20649999999999999</c:v>
                </c:pt>
                <c:pt idx="679">
                  <c:v>8.2000000000000003E-2</c:v>
                </c:pt>
                <c:pt idx="680">
                  <c:v>0.21</c:v>
                </c:pt>
                <c:pt idx="681">
                  <c:v>3.7999999999999999E-2</c:v>
                </c:pt>
                <c:pt idx="682">
                  <c:v>0.29499999999999998</c:v>
                </c:pt>
                <c:pt idx="683">
                  <c:v>0.30399999999999999</c:v>
                </c:pt>
                <c:pt idx="684">
                  <c:v>0.4</c:v>
                </c:pt>
                <c:pt idx="685">
                  <c:v>8.9999999999999993E-3</c:v>
                </c:pt>
                <c:pt idx="686">
                  <c:v>0.14949999999999999</c:v>
                </c:pt>
                <c:pt idx="687">
                  <c:v>0.26150000000000001</c:v>
                </c:pt>
                <c:pt idx="688">
                  <c:v>0.32200000000000001</c:v>
                </c:pt>
                <c:pt idx="689">
                  <c:v>0.1145</c:v>
                </c:pt>
                <c:pt idx="690">
                  <c:v>0.33500000000000002</c:v>
                </c:pt>
                <c:pt idx="691">
                  <c:v>0.16</c:v>
                </c:pt>
                <c:pt idx="692">
                  <c:v>0.13500000000000001</c:v>
                </c:pt>
                <c:pt idx="693">
                  <c:v>0.12</c:v>
                </c:pt>
                <c:pt idx="694">
                  <c:v>0.27950000000000003</c:v>
                </c:pt>
                <c:pt idx="695">
                  <c:v>0.17</c:v>
                </c:pt>
                <c:pt idx="696">
                  <c:v>0.18</c:v>
                </c:pt>
                <c:pt idx="697">
                  <c:v>0.155</c:v>
                </c:pt>
                <c:pt idx="698">
                  <c:v>2.4500000000000001E-2</c:v>
                </c:pt>
                <c:pt idx="699">
                  <c:v>0.19400000000000001</c:v>
                </c:pt>
                <c:pt idx="700">
                  <c:v>0.21</c:v>
                </c:pt>
                <c:pt idx="701">
                  <c:v>0.32</c:v>
                </c:pt>
                <c:pt idx="702">
                  <c:v>0.17</c:v>
                </c:pt>
                <c:pt idx="703">
                  <c:v>0.19500000000000001</c:v>
                </c:pt>
                <c:pt idx="704">
                  <c:v>0.20399999999999999</c:v>
                </c:pt>
                <c:pt idx="705">
                  <c:v>0.28749999999999998</c:v>
                </c:pt>
                <c:pt idx="706">
                  <c:v>0.34699999999999998</c:v>
                </c:pt>
                <c:pt idx="707">
                  <c:v>0.26500000000000001</c:v>
                </c:pt>
                <c:pt idx="708">
                  <c:v>0.14499999999999999</c:v>
                </c:pt>
                <c:pt idx="709">
                  <c:v>0.09</c:v>
                </c:pt>
                <c:pt idx="710">
                  <c:v>0.32500000000000001</c:v>
                </c:pt>
                <c:pt idx="711">
                  <c:v>0.17849999999999999</c:v>
                </c:pt>
                <c:pt idx="712">
                  <c:v>0.02</c:v>
                </c:pt>
                <c:pt idx="713">
                  <c:v>0.245</c:v>
                </c:pt>
                <c:pt idx="714">
                  <c:v>0.14649999999999999</c:v>
                </c:pt>
                <c:pt idx="715">
                  <c:v>0.28000000000000003</c:v>
                </c:pt>
                <c:pt idx="716">
                  <c:v>0.16500000000000001</c:v>
                </c:pt>
                <c:pt idx="717">
                  <c:v>0.23</c:v>
                </c:pt>
                <c:pt idx="718">
                  <c:v>0.33</c:v>
                </c:pt>
                <c:pt idx="719">
                  <c:v>0.1515</c:v>
                </c:pt>
                <c:pt idx="720">
                  <c:v>0.17199999999999999</c:v>
                </c:pt>
                <c:pt idx="721">
                  <c:v>0.19500000000000001</c:v>
                </c:pt>
                <c:pt idx="722">
                  <c:v>0.375</c:v>
                </c:pt>
                <c:pt idx="723">
                  <c:v>0.11849999999999999</c:v>
                </c:pt>
                <c:pt idx="724">
                  <c:v>0.27500000000000002</c:v>
                </c:pt>
                <c:pt idx="725">
                  <c:v>0.315</c:v>
                </c:pt>
                <c:pt idx="726">
                  <c:v>0.39</c:v>
                </c:pt>
                <c:pt idx="727">
                  <c:v>0.27500000000000002</c:v>
                </c:pt>
                <c:pt idx="728">
                  <c:v>0.255</c:v>
                </c:pt>
                <c:pt idx="729">
                  <c:v>0.255</c:v>
                </c:pt>
                <c:pt idx="730">
                  <c:v>7.0000000000000007E-2</c:v>
                </c:pt>
                <c:pt idx="731">
                  <c:v>0.315</c:v>
                </c:pt>
                <c:pt idx="732">
                  <c:v>0.375</c:v>
                </c:pt>
                <c:pt idx="733">
                  <c:v>0.35049999999999998</c:v>
                </c:pt>
                <c:pt idx="734">
                  <c:v>0.17849999999999999</c:v>
                </c:pt>
                <c:pt idx="735">
                  <c:v>0.05</c:v>
                </c:pt>
                <c:pt idx="736">
                  <c:v>7.4999999999999997E-2</c:v>
                </c:pt>
                <c:pt idx="737">
                  <c:v>0.12</c:v>
                </c:pt>
                <c:pt idx="738">
                  <c:v>0.26500000000000001</c:v>
                </c:pt>
                <c:pt idx="739">
                  <c:v>0.2185</c:v>
                </c:pt>
                <c:pt idx="740">
                  <c:v>7.4499999999999997E-2</c:v>
                </c:pt>
                <c:pt idx="741">
                  <c:v>0.28000000000000003</c:v>
                </c:pt>
                <c:pt idx="742">
                  <c:v>7.1499999999999994E-2</c:v>
                </c:pt>
                <c:pt idx="743">
                  <c:v>6.5500000000000003E-2</c:v>
                </c:pt>
                <c:pt idx="744">
                  <c:v>0.13500000000000001</c:v>
                </c:pt>
                <c:pt idx="745">
                  <c:v>6.2E-2</c:v>
                </c:pt>
                <c:pt idx="746">
                  <c:v>0.32</c:v>
                </c:pt>
                <c:pt idx="747">
                  <c:v>0.185</c:v>
                </c:pt>
                <c:pt idx="748">
                  <c:v>0.22500000000000001</c:v>
                </c:pt>
                <c:pt idx="749">
                  <c:v>0.30599999999999999</c:v>
                </c:pt>
                <c:pt idx="750">
                  <c:v>0.05</c:v>
                </c:pt>
                <c:pt idx="751">
                  <c:v>0.1</c:v>
                </c:pt>
                <c:pt idx="752">
                  <c:v>0.129</c:v>
                </c:pt>
                <c:pt idx="753">
                  <c:v>0.26500000000000001</c:v>
                </c:pt>
                <c:pt idx="754">
                  <c:v>0.245</c:v>
                </c:pt>
                <c:pt idx="755">
                  <c:v>0.19</c:v>
                </c:pt>
                <c:pt idx="756">
                  <c:v>0.26500000000000001</c:v>
                </c:pt>
                <c:pt idx="757">
                  <c:v>0.19500000000000001</c:v>
                </c:pt>
                <c:pt idx="758">
                  <c:v>0.25750000000000001</c:v>
                </c:pt>
                <c:pt idx="759">
                  <c:v>0.03</c:v>
                </c:pt>
                <c:pt idx="760">
                  <c:v>4.4999999999999998E-2</c:v>
                </c:pt>
                <c:pt idx="761">
                  <c:v>0.11550000000000001</c:v>
                </c:pt>
                <c:pt idx="762">
                  <c:v>0.26300000000000001</c:v>
                </c:pt>
                <c:pt idx="763">
                  <c:v>3.5000000000000003E-2</c:v>
                </c:pt>
                <c:pt idx="764">
                  <c:v>0.21</c:v>
                </c:pt>
                <c:pt idx="765">
                  <c:v>0.09</c:v>
                </c:pt>
                <c:pt idx="766">
                  <c:v>0.01</c:v>
                </c:pt>
                <c:pt idx="767">
                  <c:v>0.185</c:v>
                </c:pt>
                <c:pt idx="768">
                  <c:v>0.31850000000000001</c:v>
                </c:pt>
                <c:pt idx="769">
                  <c:v>0.106</c:v>
                </c:pt>
                <c:pt idx="770">
                  <c:v>0.19500000000000001</c:v>
                </c:pt>
                <c:pt idx="771">
                  <c:v>0.10299999999999999</c:v>
                </c:pt>
                <c:pt idx="772">
                  <c:v>0.30349999999999999</c:v>
                </c:pt>
                <c:pt idx="773">
                  <c:v>0.27600000000000002</c:v>
                </c:pt>
                <c:pt idx="774">
                  <c:v>0.22650000000000001</c:v>
                </c:pt>
                <c:pt idx="775">
                  <c:v>0.37</c:v>
                </c:pt>
                <c:pt idx="776">
                  <c:v>0.13600000000000001</c:v>
                </c:pt>
                <c:pt idx="777">
                  <c:v>0.184</c:v>
                </c:pt>
                <c:pt idx="778">
                  <c:v>0.125</c:v>
                </c:pt>
                <c:pt idx="779">
                  <c:v>0.2545</c:v>
                </c:pt>
                <c:pt idx="780">
                  <c:v>0.17499999999999999</c:v>
                </c:pt>
                <c:pt idx="781">
                  <c:v>0.26500000000000001</c:v>
                </c:pt>
                <c:pt idx="782">
                  <c:v>5.0500000000000003E-2</c:v>
                </c:pt>
                <c:pt idx="783">
                  <c:v>0.16550000000000001</c:v>
                </c:pt>
                <c:pt idx="784">
                  <c:v>0.23749999999999999</c:v>
                </c:pt>
                <c:pt idx="785">
                  <c:v>0.10299999999999999</c:v>
                </c:pt>
                <c:pt idx="786">
                  <c:v>0.24</c:v>
                </c:pt>
                <c:pt idx="787">
                  <c:v>0.17499999999999999</c:v>
                </c:pt>
                <c:pt idx="788">
                  <c:v>0.28299999999999997</c:v>
                </c:pt>
                <c:pt idx="789">
                  <c:v>0.24049999999999999</c:v>
                </c:pt>
                <c:pt idx="790">
                  <c:v>0.23499999999999999</c:v>
                </c:pt>
                <c:pt idx="791">
                  <c:v>0.17</c:v>
                </c:pt>
                <c:pt idx="792">
                  <c:v>0.16500000000000001</c:v>
                </c:pt>
                <c:pt idx="793">
                  <c:v>0.06</c:v>
                </c:pt>
                <c:pt idx="794">
                  <c:v>8.8499999999999995E-2</c:v>
                </c:pt>
                <c:pt idx="795">
                  <c:v>8.9999999999999993E-3</c:v>
                </c:pt>
                <c:pt idx="796">
                  <c:v>0.23799999999999999</c:v>
                </c:pt>
                <c:pt idx="797">
                  <c:v>0.23</c:v>
                </c:pt>
                <c:pt idx="798">
                  <c:v>0.22</c:v>
                </c:pt>
                <c:pt idx="799">
                  <c:v>5.5E-2</c:v>
                </c:pt>
                <c:pt idx="800">
                  <c:v>0.105</c:v>
                </c:pt>
                <c:pt idx="801">
                  <c:v>0.2535</c:v>
                </c:pt>
                <c:pt idx="802">
                  <c:v>0.155</c:v>
                </c:pt>
                <c:pt idx="803">
                  <c:v>0.185</c:v>
                </c:pt>
                <c:pt idx="804">
                  <c:v>0.13450000000000001</c:v>
                </c:pt>
                <c:pt idx="805">
                  <c:v>0.12</c:v>
                </c:pt>
                <c:pt idx="806">
                  <c:v>0.25</c:v>
                </c:pt>
                <c:pt idx="807">
                  <c:v>0.28849999999999998</c:v>
                </c:pt>
                <c:pt idx="808">
                  <c:v>0.03</c:v>
                </c:pt>
                <c:pt idx="809">
                  <c:v>0.21</c:v>
                </c:pt>
                <c:pt idx="810">
                  <c:v>0.16</c:v>
                </c:pt>
                <c:pt idx="811">
                  <c:v>0.3105</c:v>
                </c:pt>
                <c:pt idx="812">
                  <c:v>0.14199999999999999</c:v>
                </c:pt>
                <c:pt idx="813">
                  <c:v>0.35499999999999998</c:v>
                </c:pt>
                <c:pt idx="814">
                  <c:v>4.2999999999999997E-2</c:v>
                </c:pt>
                <c:pt idx="815">
                  <c:v>4.4999999999999998E-2</c:v>
                </c:pt>
                <c:pt idx="816">
                  <c:v>2.8000000000000001E-2</c:v>
                </c:pt>
                <c:pt idx="817">
                  <c:v>3.4000000000000002E-2</c:v>
                </c:pt>
                <c:pt idx="818">
                  <c:v>5.5E-2</c:v>
                </c:pt>
                <c:pt idx="819">
                  <c:v>0.26800000000000002</c:v>
                </c:pt>
                <c:pt idx="820">
                  <c:v>0.10249999999999999</c:v>
                </c:pt>
                <c:pt idx="821">
                  <c:v>1.4999999999999999E-2</c:v>
                </c:pt>
                <c:pt idx="822">
                  <c:v>5.5E-2</c:v>
                </c:pt>
                <c:pt idx="823">
                  <c:v>0.33</c:v>
                </c:pt>
                <c:pt idx="824">
                  <c:v>0.1</c:v>
                </c:pt>
                <c:pt idx="825">
                  <c:v>0.33</c:v>
                </c:pt>
                <c:pt idx="826">
                  <c:v>7.3499999999999996E-2</c:v>
                </c:pt>
                <c:pt idx="827">
                  <c:v>0.28000000000000003</c:v>
                </c:pt>
                <c:pt idx="828">
                  <c:v>0.28999999999999998</c:v>
                </c:pt>
                <c:pt idx="829">
                  <c:v>4.2000000000000003E-2</c:v>
                </c:pt>
                <c:pt idx="830">
                  <c:v>0.33750000000000002</c:v>
                </c:pt>
                <c:pt idx="831">
                  <c:v>7.0000000000000007E-2</c:v>
                </c:pt>
                <c:pt idx="832">
                  <c:v>8.5000000000000006E-2</c:v>
                </c:pt>
                <c:pt idx="833">
                  <c:v>0.37</c:v>
                </c:pt>
                <c:pt idx="834">
                  <c:v>0.19500000000000001</c:v>
                </c:pt>
                <c:pt idx="835">
                  <c:v>0.27650000000000002</c:v>
                </c:pt>
                <c:pt idx="836">
                  <c:v>0.27</c:v>
                </c:pt>
                <c:pt idx="837">
                  <c:v>0.3095</c:v>
                </c:pt>
                <c:pt idx="838">
                  <c:v>0.372</c:v>
                </c:pt>
                <c:pt idx="839">
                  <c:v>0.255</c:v>
                </c:pt>
                <c:pt idx="840">
                  <c:v>0.309</c:v>
                </c:pt>
                <c:pt idx="841">
                  <c:v>0.04</c:v>
                </c:pt>
                <c:pt idx="842">
                  <c:v>0.1135</c:v>
                </c:pt>
                <c:pt idx="843">
                  <c:v>0.39</c:v>
                </c:pt>
                <c:pt idx="844">
                  <c:v>0.34499999999999997</c:v>
                </c:pt>
                <c:pt idx="845">
                  <c:v>0.245</c:v>
                </c:pt>
                <c:pt idx="846">
                  <c:v>5.5E-2</c:v>
                </c:pt>
                <c:pt idx="847">
                  <c:v>0.17499999999999999</c:v>
                </c:pt>
                <c:pt idx="848">
                  <c:v>0.22500000000000001</c:v>
                </c:pt>
                <c:pt idx="849">
                  <c:v>3.5000000000000003E-2</c:v>
                </c:pt>
                <c:pt idx="850">
                  <c:v>0.11700000000000001</c:v>
                </c:pt>
                <c:pt idx="851">
                  <c:v>0.27500000000000002</c:v>
                </c:pt>
                <c:pt idx="852">
                  <c:v>0.27800000000000002</c:v>
                </c:pt>
                <c:pt idx="853">
                  <c:v>0.02</c:v>
                </c:pt>
                <c:pt idx="854">
                  <c:v>0.115</c:v>
                </c:pt>
                <c:pt idx="855">
                  <c:v>0.105</c:v>
                </c:pt>
                <c:pt idx="856">
                  <c:v>0.185</c:v>
                </c:pt>
                <c:pt idx="857">
                  <c:v>0.113</c:v>
                </c:pt>
                <c:pt idx="858">
                  <c:v>3.0499999999999999E-2</c:v>
                </c:pt>
                <c:pt idx="859">
                  <c:v>0.28499999999999998</c:v>
                </c:pt>
                <c:pt idx="860">
                  <c:v>0.2</c:v>
                </c:pt>
                <c:pt idx="861">
                  <c:v>0.28499999999999998</c:v>
                </c:pt>
                <c:pt idx="862">
                  <c:v>0.32500000000000001</c:v>
                </c:pt>
                <c:pt idx="863">
                  <c:v>0.3135</c:v>
                </c:pt>
                <c:pt idx="864">
                  <c:v>0.19500000000000001</c:v>
                </c:pt>
                <c:pt idx="865">
                  <c:v>0.2</c:v>
                </c:pt>
                <c:pt idx="866">
                  <c:v>0.08</c:v>
                </c:pt>
                <c:pt idx="867">
                  <c:v>0.317</c:v>
                </c:pt>
                <c:pt idx="868">
                  <c:v>0.20499999999999999</c:v>
                </c:pt>
                <c:pt idx="869">
                  <c:v>0.22</c:v>
                </c:pt>
                <c:pt idx="870">
                  <c:v>0.17649999999999999</c:v>
                </c:pt>
                <c:pt idx="871">
                  <c:v>0.27200000000000002</c:v>
                </c:pt>
                <c:pt idx="872">
                  <c:v>1.0999999999999999E-2</c:v>
                </c:pt>
                <c:pt idx="873">
                  <c:v>0.29499999999999998</c:v>
                </c:pt>
                <c:pt idx="874">
                  <c:v>7.0000000000000007E-2</c:v>
                </c:pt>
                <c:pt idx="875">
                  <c:v>9.6000000000000002E-2</c:v>
                </c:pt>
                <c:pt idx="876">
                  <c:v>0.36499999999999999</c:v>
                </c:pt>
                <c:pt idx="877">
                  <c:v>0.27100000000000002</c:v>
                </c:pt>
                <c:pt idx="878">
                  <c:v>7.0000000000000007E-2</c:v>
                </c:pt>
                <c:pt idx="879">
                  <c:v>0.1825</c:v>
                </c:pt>
                <c:pt idx="880">
                  <c:v>0.109</c:v>
                </c:pt>
                <c:pt idx="881">
                  <c:v>0.27500000000000002</c:v>
                </c:pt>
                <c:pt idx="882">
                  <c:v>0.34499999999999997</c:v>
                </c:pt>
                <c:pt idx="883">
                  <c:v>0.127</c:v>
                </c:pt>
                <c:pt idx="884">
                  <c:v>0.06</c:v>
                </c:pt>
                <c:pt idx="885">
                  <c:v>0.31</c:v>
                </c:pt>
                <c:pt idx="886">
                  <c:v>0.14599999999999999</c:v>
                </c:pt>
                <c:pt idx="887">
                  <c:v>0.19</c:v>
                </c:pt>
                <c:pt idx="888">
                  <c:v>3.5000000000000003E-2</c:v>
                </c:pt>
                <c:pt idx="889">
                  <c:v>0.185</c:v>
                </c:pt>
                <c:pt idx="890">
                  <c:v>0.28000000000000003</c:v>
                </c:pt>
                <c:pt idx="891">
                  <c:v>0.22</c:v>
                </c:pt>
                <c:pt idx="892">
                  <c:v>0.37</c:v>
                </c:pt>
                <c:pt idx="893">
                  <c:v>0.27500000000000002</c:v>
                </c:pt>
                <c:pt idx="894">
                  <c:v>0.08</c:v>
                </c:pt>
                <c:pt idx="895">
                  <c:v>0.3</c:v>
                </c:pt>
                <c:pt idx="896">
                  <c:v>9.7500000000000003E-2</c:v>
                </c:pt>
                <c:pt idx="897">
                  <c:v>0.33</c:v>
                </c:pt>
                <c:pt idx="898">
                  <c:v>0.23699999999999999</c:v>
                </c:pt>
                <c:pt idx="899">
                  <c:v>0.26900000000000002</c:v>
                </c:pt>
                <c:pt idx="900">
                  <c:v>0.25650000000000001</c:v>
                </c:pt>
                <c:pt idx="901">
                  <c:v>6.5000000000000002E-2</c:v>
                </c:pt>
                <c:pt idx="902">
                  <c:v>7.9500000000000001E-2</c:v>
                </c:pt>
                <c:pt idx="903">
                  <c:v>0.22500000000000001</c:v>
                </c:pt>
                <c:pt idx="904">
                  <c:v>0.16350000000000001</c:v>
                </c:pt>
                <c:pt idx="905">
                  <c:v>0.23</c:v>
                </c:pt>
                <c:pt idx="906">
                  <c:v>0.03</c:v>
                </c:pt>
                <c:pt idx="907">
                  <c:v>0.20899999999999999</c:v>
                </c:pt>
                <c:pt idx="908">
                  <c:v>0.13900000000000001</c:v>
                </c:pt>
                <c:pt idx="909">
                  <c:v>0.28999999999999998</c:v>
                </c:pt>
                <c:pt idx="910">
                  <c:v>0.26</c:v>
                </c:pt>
                <c:pt idx="911">
                  <c:v>0.1535</c:v>
                </c:pt>
                <c:pt idx="912">
                  <c:v>3.3000000000000002E-2</c:v>
                </c:pt>
                <c:pt idx="913">
                  <c:v>0.186</c:v>
                </c:pt>
                <c:pt idx="914">
                  <c:v>0.20549999999999999</c:v>
                </c:pt>
                <c:pt idx="915">
                  <c:v>0.3</c:v>
                </c:pt>
                <c:pt idx="916">
                  <c:v>0.36</c:v>
                </c:pt>
                <c:pt idx="917">
                  <c:v>4.3999999999999997E-2</c:v>
                </c:pt>
                <c:pt idx="918">
                  <c:v>2.8000000000000001E-2</c:v>
                </c:pt>
                <c:pt idx="919">
                  <c:v>0.26450000000000001</c:v>
                </c:pt>
                <c:pt idx="920">
                  <c:v>0.33500000000000002</c:v>
                </c:pt>
                <c:pt idx="921">
                  <c:v>0.29149999999999998</c:v>
                </c:pt>
                <c:pt idx="922">
                  <c:v>0.24399999999999999</c:v>
                </c:pt>
                <c:pt idx="923">
                  <c:v>0.315</c:v>
                </c:pt>
                <c:pt idx="924">
                  <c:v>0.26</c:v>
                </c:pt>
                <c:pt idx="925">
                  <c:v>0.27500000000000002</c:v>
                </c:pt>
                <c:pt idx="926">
                  <c:v>0.22650000000000001</c:v>
                </c:pt>
                <c:pt idx="927">
                  <c:v>0.28699999999999998</c:v>
                </c:pt>
                <c:pt idx="928">
                  <c:v>0.35</c:v>
                </c:pt>
                <c:pt idx="929">
                  <c:v>8.5000000000000006E-2</c:v>
                </c:pt>
                <c:pt idx="930">
                  <c:v>4.0000000000000001E-3</c:v>
                </c:pt>
                <c:pt idx="931">
                  <c:v>5.6000000000000001E-2</c:v>
                </c:pt>
                <c:pt idx="932">
                  <c:v>0.20499999999999999</c:v>
                </c:pt>
                <c:pt idx="933">
                  <c:v>0.26</c:v>
                </c:pt>
                <c:pt idx="934">
                  <c:v>0.19500000000000001</c:v>
                </c:pt>
                <c:pt idx="935">
                  <c:v>0.2</c:v>
                </c:pt>
                <c:pt idx="936">
                  <c:v>0.38500000000000001</c:v>
                </c:pt>
                <c:pt idx="937">
                  <c:v>0.27400000000000002</c:v>
                </c:pt>
                <c:pt idx="938">
                  <c:v>5.0000000000000001E-3</c:v>
                </c:pt>
                <c:pt idx="939">
                  <c:v>0.26</c:v>
                </c:pt>
                <c:pt idx="940">
                  <c:v>0.16250000000000001</c:v>
                </c:pt>
                <c:pt idx="941">
                  <c:v>5.2999999999999999E-2</c:v>
                </c:pt>
                <c:pt idx="942">
                  <c:v>0.38500000000000001</c:v>
                </c:pt>
                <c:pt idx="943">
                  <c:v>0.22550000000000001</c:v>
                </c:pt>
                <c:pt idx="944">
                  <c:v>0.32400000000000001</c:v>
                </c:pt>
                <c:pt idx="945">
                  <c:v>0.35</c:v>
                </c:pt>
                <c:pt idx="946">
                  <c:v>0.28999999999999998</c:v>
                </c:pt>
                <c:pt idx="947">
                  <c:v>0.114</c:v>
                </c:pt>
                <c:pt idx="948">
                  <c:v>0.1195</c:v>
                </c:pt>
                <c:pt idx="949">
                  <c:v>0.17549999999999999</c:v>
                </c:pt>
                <c:pt idx="950">
                  <c:v>0.2225</c:v>
                </c:pt>
                <c:pt idx="951">
                  <c:v>5.9499999999999997E-2</c:v>
                </c:pt>
                <c:pt idx="952">
                  <c:v>0.2455</c:v>
                </c:pt>
                <c:pt idx="953">
                  <c:v>8.1000000000000003E-2</c:v>
                </c:pt>
                <c:pt idx="954">
                  <c:v>0.23799999999999999</c:v>
                </c:pt>
                <c:pt idx="955">
                  <c:v>0.22500000000000001</c:v>
                </c:pt>
                <c:pt idx="956">
                  <c:v>0.14699999999999999</c:v>
                </c:pt>
                <c:pt idx="957">
                  <c:v>0.22500000000000001</c:v>
                </c:pt>
                <c:pt idx="958">
                  <c:v>0.27500000000000002</c:v>
                </c:pt>
                <c:pt idx="959">
                  <c:v>0.1105</c:v>
                </c:pt>
                <c:pt idx="960">
                  <c:v>0.23649999999999999</c:v>
                </c:pt>
                <c:pt idx="961">
                  <c:v>0.308</c:v>
                </c:pt>
                <c:pt idx="962">
                  <c:v>0.25</c:v>
                </c:pt>
                <c:pt idx="963">
                  <c:v>0.2</c:v>
                </c:pt>
                <c:pt idx="964">
                  <c:v>0.14599999999999999</c:v>
                </c:pt>
                <c:pt idx="965">
                  <c:v>0.189</c:v>
                </c:pt>
                <c:pt idx="966">
                  <c:v>9.9500000000000005E-2</c:v>
                </c:pt>
                <c:pt idx="967">
                  <c:v>0.20499999999999999</c:v>
                </c:pt>
                <c:pt idx="968">
                  <c:v>0.28949999999999998</c:v>
                </c:pt>
                <c:pt idx="969">
                  <c:v>0.215</c:v>
                </c:pt>
                <c:pt idx="970">
                  <c:v>0.21</c:v>
                </c:pt>
                <c:pt idx="971">
                  <c:v>0.1605</c:v>
                </c:pt>
                <c:pt idx="972">
                  <c:v>0.35399999999999998</c:v>
                </c:pt>
                <c:pt idx="973">
                  <c:v>0.19750000000000001</c:v>
                </c:pt>
                <c:pt idx="974">
                  <c:v>0.23499999999999999</c:v>
                </c:pt>
                <c:pt idx="975">
                  <c:v>0.11</c:v>
                </c:pt>
                <c:pt idx="976">
                  <c:v>8.5000000000000006E-2</c:v>
                </c:pt>
                <c:pt idx="977">
                  <c:v>0.185</c:v>
                </c:pt>
                <c:pt idx="978">
                  <c:v>0.19500000000000001</c:v>
                </c:pt>
                <c:pt idx="979">
                  <c:v>0.33050000000000002</c:v>
                </c:pt>
                <c:pt idx="980">
                  <c:v>0.19</c:v>
                </c:pt>
                <c:pt idx="981">
                  <c:v>0.19</c:v>
                </c:pt>
                <c:pt idx="982">
                  <c:v>0.3805</c:v>
                </c:pt>
                <c:pt idx="983">
                  <c:v>0.13</c:v>
                </c:pt>
                <c:pt idx="984">
                  <c:v>0.13500000000000001</c:v>
                </c:pt>
                <c:pt idx="985">
                  <c:v>0.22850000000000001</c:v>
                </c:pt>
                <c:pt idx="986">
                  <c:v>0.30499999999999999</c:v>
                </c:pt>
                <c:pt idx="987">
                  <c:v>0.27500000000000002</c:v>
                </c:pt>
                <c:pt idx="988">
                  <c:v>0.27</c:v>
                </c:pt>
                <c:pt idx="989">
                  <c:v>7.3499999999999996E-2</c:v>
                </c:pt>
                <c:pt idx="990">
                  <c:v>8.2000000000000003E-2</c:v>
                </c:pt>
                <c:pt idx="991">
                  <c:v>0.27650000000000002</c:v>
                </c:pt>
                <c:pt idx="992">
                  <c:v>0.223</c:v>
                </c:pt>
                <c:pt idx="993">
                  <c:v>0.16500000000000001</c:v>
                </c:pt>
                <c:pt idx="994">
                  <c:v>0.16</c:v>
                </c:pt>
                <c:pt idx="995">
                  <c:v>8.5000000000000006E-2</c:v>
                </c:pt>
                <c:pt idx="996">
                  <c:v>0.161</c:v>
                </c:pt>
                <c:pt idx="997">
                  <c:v>0.14649999999999999</c:v>
                </c:pt>
                <c:pt idx="998">
                  <c:v>0.3095</c:v>
                </c:pt>
                <c:pt idx="99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D-42DD-9157-639F096B9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471559"/>
        <c:axId val="472477703"/>
      </c:areaChart>
      <c:catAx>
        <c:axId val="472471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77703"/>
        <c:crosses val="autoZero"/>
        <c:auto val="1"/>
        <c:lblAlgn val="ctr"/>
        <c:lblOffset val="100"/>
        <c:noMultiLvlLbl val="0"/>
      </c:catAx>
      <c:valAx>
        <c:axId val="47247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71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28CF309A-D28B-4786-B5BE-A3F98E871CD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750">
          <cx:pt idx="0">F</cx:pt>
          <cx:pt idx="1">F</cx:pt>
          <cx:pt idx="2">F</cx:pt>
          <cx:pt idx="3">F</cx:pt>
          <cx:pt idx="4">F</cx:pt>
          <cx:pt idx="5">F</cx:pt>
          <cx:pt idx="6">F</cx:pt>
          <cx:pt idx="7">F</cx:pt>
          <cx:pt idx="8">F</cx:pt>
          <cx:pt idx="9">F</cx:pt>
          <cx:pt idx="10">F</cx:pt>
          <cx:pt idx="11">F</cx:pt>
          <cx:pt idx="12">F</cx:pt>
          <cx:pt idx="13">F</cx:pt>
          <cx:pt idx="14">F</cx:pt>
          <cx:pt idx="15">F</cx:pt>
          <cx:pt idx="16">F</cx:pt>
          <cx:pt idx="17">F</cx:pt>
          <cx:pt idx="18">F</cx:pt>
          <cx:pt idx="19">F</cx:pt>
          <cx:pt idx="20">F</cx:pt>
          <cx:pt idx="21">F</cx:pt>
          <cx:pt idx="22">F</cx:pt>
          <cx:pt idx="23">F</cx:pt>
          <cx:pt idx="24">F</cx:pt>
          <cx:pt idx="25">F</cx:pt>
          <cx:pt idx="26">F</cx:pt>
          <cx:pt idx="27">F</cx:pt>
          <cx:pt idx="28">F</cx:pt>
          <cx:pt idx="29">F</cx:pt>
          <cx:pt idx="30">F</cx:pt>
          <cx:pt idx="31">F</cx:pt>
          <cx:pt idx="32">F</cx:pt>
          <cx:pt idx="33">F</cx:pt>
          <cx:pt idx="34">F</cx:pt>
          <cx:pt idx="35">F</cx:pt>
          <cx:pt idx="36">F</cx:pt>
          <cx:pt idx="37">F</cx:pt>
          <cx:pt idx="38">F</cx:pt>
          <cx:pt idx="39">F</cx:pt>
          <cx:pt idx="40">F</cx:pt>
          <cx:pt idx="41">F</cx:pt>
          <cx:pt idx="42">F</cx:pt>
          <cx:pt idx="43">F</cx:pt>
          <cx:pt idx="44">F</cx:pt>
          <cx:pt idx="45">F</cx:pt>
          <cx:pt idx="46">F</cx:pt>
          <cx:pt idx="47">F</cx:pt>
          <cx:pt idx="48">F</cx:pt>
          <cx:pt idx="49">F</cx:pt>
          <cx:pt idx="50">F</cx:pt>
          <cx:pt idx="51">F</cx:pt>
          <cx:pt idx="52">F</cx:pt>
          <cx:pt idx="53">F</cx:pt>
          <cx:pt idx="54">F</cx:pt>
          <cx:pt idx="55">F</cx:pt>
          <cx:pt idx="56">F</cx:pt>
          <cx:pt idx="57">F</cx:pt>
          <cx:pt idx="58">F</cx:pt>
          <cx:pt idx="59">F</cx:pt>
          <cx:pt idx="60">F</cx:pt>
          <cx:pt idx="61">F</cx:pt>
          <cx:pt idx="62">F</cx:pt>
          <cx:pt idx="63">F</cx:pt>
          <cx:pt idx="64">F</cx:pt>
          <cx:pt idx="65">F</cx:pt>
          <cx:pt idx="66">F</cx:pt>
          <cx:pt idx="67">F</cx:pt>
          <cx:pt idx="68">F</cx:pt>
          <cx:pt idx="69">F</cx:pt>
          <cx:pt idx="70">F</cx:pt>
          <cx:pt idx="71">F</cx:pt>
          <cx:pt idx="72">F</cx:pt>
          <cx:pt idx="73">F</cx:pt>
          <cx:pt idx="74">F</cx:pt>
          <cx:pt idx="75">F</cx:pt>
          <cx:pt idx="76">F</cx:pt>
          <cx:pt idx="77">F</cx:pt>
          <cx:pt idx="78">F</cx:pt>
          <cx:pt idx="79">F</cx:pt>
          <cx:pt idx="80">F</cx:pt>
          <cx:pt idx="81">F</cx:pt>
          <cx:pt idx="82">F</cx:pt>
          <cx:pt idx="83">F</cx:pt>
          <cx:pt idx="84">F</cx:pt>
          <cx:pt idx="85">F</cx:pt>
          <cx:pt idx="86">F</cx:pt>
          <cx:pt idx="87">F</cx:pt>
          <cx:pt idx="88">F</cx:pt>
          <cx:pt idx="89">F</cx:pt>
          <cx:pt idx="90">F</cx:pt>
          <cx:pt idx="91">F</cx:pt>
          <cx:pt idx="92">F</cx:pt>
          <cx:pt idx="93">F</cx:pt>
          <cx:pt idx="94">F</cx:pt>
          <cx:pt idx="95">F</cx:pt>
          <cx:pt idx="96">F</cx:pt>
          <cx:pt idx="97">F</cx:pt>
          <cx:pt idx="98">F</cx:pt>
          <cx:pt idx="99">F</cx:pt>
          <cx:pt idx="100">F</cx:pt>
          <cx:pt idx="101">F</cx:pt>
          <cx:pt idx="102">F</cx:pt>
          <cx:pt idx="103">F</cx:pt>
          <cx:pt idx="104">F</cx:pt>
          <cx:pt idx="105">F</cx:pt>
          <cx:pt idx="106">F</cx:pt>
          <cx:pt idx="107">F</cx:pt>
          <cx:pt idx="108">F</cx:pt>
          <cx:pt idx="109">F</cx:pt>
          <cx:pt idx="110">F</cx:pt>
          <cx:pt idx="111">F</cx:pt>
          <cx:pt idx="112">F</cx:pt>
          <cx:pt idx="113">F</cx:pt>
          <cx:pt idx="114">F</cx:pt>
          <cx:pt idx="115">F</cx:pt>
          <cx:pt idx="116">F</cx:pt>
          <cx:pt idx="117">F</cx:pt>
          <cx:pt idx="118">F</cx:pt>
          <cx:pt idx="119">F</cx:pt>
          <cx:pt idx="120">F</cx:pt>
          <cx:pt idx="121">F</cx:pt>
          <cx:pt idx="122">F</cx:pt>
          <cx:pt idx="123">F</cx:pt>
          <cx:pt idx="124">F</cx:pt>
          <cx:pt idx="125">F</cx:pt>
          <cx:pt idx="126">F</cx:pt>
          <cx:pt idx="127">F</cx:pt>
          <cx:pt idx="128">F</cx:pt>
          <cx:pt idx="129">F</cx:pt>
          <cx:pt idx="130">F</cx:pt>
          <cx:pt idx="131">F</cx:pt>
          <cx:pt idx="132">F</cx:pt>
          <cx:pt idx="133">F</cx:pt>
          <cx:pt idx="134">F</cx:pt>
          <cx:pt idx="135">F</cx:pt>
          <cx:pt idx="136">F</cx:pt>
          <cx:pt idx="137">F</cx:pt>
          <cx:pt idx="138">F</cx:pt>
          <cx:pt idx="139">F</cx:pt>
          <cx:pt idx="140">F</cx:pt>
          <cx:pt idx="141">F</cx:pt>
          <cx:pt idx="142">F</cx:pt>
          <cx:pt idx="143">F</cx:pt>
          <cx:pt idx="144">F</cx:pt>
          <cx:pt idx="145">F</cx:pt>
          <cx:pt idx="146">F</cx:pt>
          <cx:pt idx="147">F</cx:pt>
          <cx:pt idx="148">F</cx:pt>
          <cx:pt idx="149">F</cx:pt>
          <cx:pt idx="150">F</cx:pt>
          <cx:pt idx="151">F</cx:pt>
          <cx:pt idx="152">F</cx:pt>
          <cx:pt idx="153">F</cx:pt>
          <cx:pt idx="154">F</cx:pt>
          <cx:pt idx="155">F</cx:pt>
          <cx:pt idx="156">F</cx:pt>
          <cx:pt idx="157">F</cx:pt>
          <cx:pt idx="158">F</cx:pt>
          <cx:pt idx="159">F</cx:pt>
          <cx:pt idx="160">F</cx:pt>
          <cx:pt idx="161">F</cx:pt>
          <cx:pt idx="162">F</cx:pt>
          <cx:pt idx="163">F</cx:pt>
          <cx:pt idx="164">F</cx:pt>
          <cx:pt idx="165">F</cx:pt>
          <cx:pt idx="166">F</cx:pt>
          <cx:pt idx="167">F</cx:pt>
          <cx:pt idx="168">F</cx:pt>
          <cx:pt idx="169">F</cx:pt>
          <cx:pt idx="170">F</cx:pt>
          <cx:pt idx="171">F</cx:pt>
          <cx:pt idx="172">F</cx:pt>
          <cx:pt idx="173">F</cx:pt>
          <cx:pt idx="174">F</cx:pt>
          <cx:pt idx="175">F</cx:pt>
          <cx:pt idx="176">F</cx:pt>
          <cx:pt idx="177">F</cx:pt>
          <cx:pt idx="178">F</cx:pt>
          <cx:pt idx="179">F</cx:pt>
          <cx:pt idx="180">F</cx:pt>
          <cx:pt idx="181">F</cx:pt>
          <cx:pt idx="182">F</cx:pt>
          <cx:pt idx="183">F</cx:pt>
          <cx:pt idx="184">F</cx:pt>
          <cx:pt idx="185">F</cx:pt>
          <cx:pt idx="186">F</cx:pt>
          <cx:pt idx="187">F</cx:pt>
          <cx:pt idx="188">F</cx:pt>
          <cx:pt idx="189">F</cx:pt>
          <cx:pt idx="190">F</cx:pt>
          <cx:pt idx="191">F</cx:pt>
          <cx:pt idx="192">F</cx:pt>
          <cx:pt idx="193">F</cx:pt>
          <cx:pt idx="194">F</cx:pt>
          <cx:pt idx="195">F</cx:pt>
          <cx:pt idx="196">F</cx:pt>
          <cx:pt idx="197">F</cx:pt>
          <cx:pt idx="198">F</cx:pt>
          <cx:pt idx="199">F</cx:pt>
          <cx:pt idx="200">F</cx:pt>
          <cx:pt idx="201">F</cx:pt>
          <cx:pt idx="202">F</cx:pt>
          <cx:pt idx="203">F</cx:pt>
          <cx:pt idx="204">F</cx:pt>
          <cx:pt idx="205">F</cx:pt>
          <cx:pt idx="206">F</cx:pt>
          <cx:pt idx="207">F</cx:pt>
          <cx:pt idx="208">F</cx:pt>
          <cx:pt idx="209">F</cx:pt>
          <cx:pt idx="210">F</cx:pt>
          <cx:pt idx="211">F</cx:pt>
          <cx:pt idx="212">F</cx:pt>
          <cx:pt idx="213">F</cx:pt>
          <cx:pt idx="214">F</cx:pt>
          <cx:pt idx="215">Gender</cx:pt>
          <cx:pt idx="216">I</cx:pt>
          <cx:pt idx="217">I</cx:pt>
          <cx:pt idx="218">I</cx:pt>
          <cx:pt idx="219">I</cx:pt>
          <cx:pt idx="220">I</cx:pt>
          <cx:pt idx="221">I</cx:pt>
          <cx:pt idx="222">I</cx:pt>
          <cx:pt idx="223">I</cx:pt>
          <cx:pt idx="224">I</cx:pt>
          <cx:pt idx="225">I</cx:pt>
          <cx:pt idx="226">I</cx:pt>
          <cx:pt idx="227">I</cx:pt>
          <cx:pt idx="228">I</cx:pt>
          <cx:pt idx="229">I</cx:pt>
          <cx:pt idx="230">I</cx:pt>
          <cx:pt idx="231">I</cx:pt>
          <cx:pt idx="232">I</cx:pt>
          <cx:pt idx="233">I</cx:pt>
          <cx:pt idx="234">I</cx:pt>
          <cx:pt idx="235">I</cx:pt>
          <cx:pt idx="236">I</cx:pt>
          <cx:pt idx="237">I</cx:pt>
          <cx:pt idx="238">I</cx:pt>
          <cx:pt idx="239">I</cx:pt>
          <cx:pt idx="240">I</cx:pt>
          <cx:pt idx="241">I</cx:pt>
          <cx:pt idx="242">I</cx:pt>
          <cx:pt idx="243">I</cx:pt>
          <cx:pt idx="244">I</cx:pt>
          <cx:pt idx="245">I</cx:pt>
          <cx:pt idx="246">I</cx:pt>
          <cx:pt idx="247">I</cx:pt>
          <cx:pt idx="248">I</cx:pt>
          <cx:pt idx="249">I</cx:pt>
          <cx:pt idx="250">I</cx:pt>
          <cx:pt idx="251">I</cx:pt>
          <cx:pt idx="252">I</cx:pt>
          <cx:pt idx="253">I</cx:pt>
          <cx:pt idx="254">I</cx:pt>
          <cx:pt idx="255">I</cx:pt>
          <cx:pt idx="256">I</cx:pt>
          <cx:pt idx="257">I</cx:pt>
          <cx:pt idx="258">I</cx:pt>
          <cx:pt idx="259">I</cx:pt>
          <cx:pt idx="260">I</cx:pt>
          <cx:pt idx="261">I</cx:pt>
          <cx:pt idx="262">I</cx:pt>
          <cx:pt idx="263">I</cx:pt>
          <cx:pt idx="264">I</cx:pt>
          <cx:pt idx="265">I</cx:pt>
          <cx:pt idx="266">I</cx:pt>
          <cx:pt idx="267">I</cx:pt>
          <cx:pt idx="268">I</cx:pt>
          <cx:pt idx="269">I</cx:pt>
          <cx:pt idx="270">I</cx:pt>
          <cx:pt idx="271">I</cx:pt>
          <cx:pt idx="272">I</cx:pt>
          <cx:pt idx="273">I</cx:pt>
          <cx:pt idx="274">I</cx:pt>
          <cx:pt idx="275">I</cx:pt>
          <cx:pt idx="276">I</cx:pt>
          <cx:pt idx="277">I</cx:pt>
          <cx:pt idx="278">I</cx:pt>
          <cx:pt idx="279">I</cx:pt>
          <cx:pt idx="280">I</cx:pt>
          <cx:pt idx="281">I</cx:pt>
          <cx:pt idx="282">I</cx:pt>
          <cx:pt idx="283">I</cx:pt>
          <cx:pt idx="284">I</cx:pt>
          <cx:pt idx="285">I</cx:pt>
          <cx:pt idx="286">I</cx:pt>
          <cx:pt idx="287">I</cx:pt>
          <cx:pt idx="288">I</cx:pt>
          <cx:pt idx="289">I</cx:pt>
          <cx:pt idx="290">I</cx:pt>
          <cx:pt idx="291">I</cx:pt>
          <cx:pt idx="292">I</cx:pt>
          <cx:pt idx="293">I</cx:pt>
          <cx:pt idx="294">I</cx:pt>
          <cx:pt idx="295">I</cx:pt>
          <cx:pt idx="296">I</cx:pt>
          <cx:pt idx="297">I</cx:pt>
          <cx:pt idx="298">I</cx:pt>
          <cx:pt idx="299">I</cx:pt>
          <cx:pt idx="300">I</cx:pt>
          <cx:pt idx="301">I</cx:pt>
          <cx:pt idx="302">I</cx:pt>
          <cx:pt idx="303">I</cx:pt>
          <cx:pt idx="304">I</cx:pt>
          <cx:pt idx="305">I</cx:pt>
          <cx:pt idx="306">I</cx:pt>
          <cx:pt idx="307">I</cx:pt>
          <cx:pt idx="308">I</cx:pt>
          <cx:pt idx="309">I</cx:pt>
          <cx:pt idx="310">I</cx:pt>
          <cx:pt idx="311">I</cx:pt>
          <cx:pt idx="312">I</cx:pt>
          <cx:pt idx="313">I</cx:pt>
          <cx:pt idx="314">I</cx:pt>
          <cx:pt idx="315">I</cx:pt>
          <cx:pt idx="316">I</cx:pt>
          <cx:pt idx="317">I</cx:pt>
          <cx:pt idx="318">I</cx:pt>
          <cx:pt idx="319">I</cx:pt>
          <cx:pt idx="320">I</cx:pt>
          <cx:pt idx="321">I</cx:pt>
          <cx:pt idx="322">I</cx:pt>
          <cx:pt idx="323">I</cx:pt>
          <cx:pt idx="324">I</cx:pt>
          <cx:pt idx="325">I</cx:pt>
          <cx:pt idx="326">I</cx:pt>
          <cx:pt idx="327">I</cx:pt>
          <cx:pt idx="328">I</cx:pt>
          <cx:pt idx="329">I</cx:pt>
          <cx:pt idx="330">I</cx:pt>
          <cx:pt idx="331">I</cx:pt>
          <cx:pt idx="332">I</cx:pt>
          <cx:pt idx="333">I</cx:pt>
          <cx:pt idx="334">I</cx:pt>
          <cx:pt idx="335">I</cx:pt>
          <cx:pt idx="336">I</cx:pt>
          <cx:pt idx="337">I</cx:pt>
          <cx:pt idx="338">I</cx:pt>
          <cx:pt idx="339">I</cx:pt>
          <cx:pt idx="340">I</cx:pt>
          <cx:pt idx="341">I</cx:pt>
          <cx:pt idx="342">I</cx:pt>
          <cx:pt idx="343">I</cx:pt>
          <cx:pt idx="344">I</cx:pt>
          <cx:pt idx="345">I</cx:pt>
          <cx:pt idx="346">I</cx:pt>
          <cx:pt idx="347">I</cx:pt>
          <cx:pt idx="348">I</cx:pt>
          <cx:pt idx="349">I</cx:pt>
          <cx:pt idx="350">I</cx:pt>
          <cx:pt idx="351">I</cx:pt>
          <cx:pt idx="352">I</cx:pt>
          <cx:pt idx="353">I</cx:pt>
          <cx:pt idx="354">I</cx:pt>
          <cx:pt idx="355">I</cx:pt>
          <cx:pt idx="356">I</cx:pt>
          <cx:pt idx="357">I</cx:pt>
          <cx:pt idx="358">I</cx:pt>
          <cx:pt idx="359">I</cx:pt>
          <cx:pt idx="360">I</cx:pt>
          <cx:pt idx="361">I</cx:pt>
          <cx:pt idx="362">I</cx:pt>
          <cx:pt idx="363">I</cx:pt>
          <cx:pt idx="364">I</cx:pt>
          <cx:pt idx="365">I</cx:pt>
          <cx:pt idx="366">I</cx:pt>
          <cx:pt idx="367">I</cx:pt>
          <cx:pt idx="368">I</cx:pt>
          <cx:pt idx="369">I</cx:pt>
          <cx:pt idx="370">I</cx:pt>
          <cx:pt idx="371">I</cx:pt>
          <cx:pt idx="372">I</cx:pt>
          <cx:pt idx="373">I</cx:pt>
          <cx:pt idx="374">I</cx:pt>
          <cx:pt idx="375">I</cx:pt>
          <cx:pt idx="376">I</cx:pt>
          <cx:pt idx="377">I</cx:pt>
          <cx:pt idx="378">I</cx:pt>
          <cx:pt idx="379">I</cx:pt>
          <cx:pt idx="380">I</cx:pt>
          <cx:pt idx="381">I</cx:pt>
          <cx:pt idx="382">I</cx:pt>
          <cx:pt idx="383">I</cx:pt>
          <cx:pt idx="384">I</cx:pt>
          <cx:pt idx="385">I</cx:pt>
          <cx:pt idx="386">I</cx:pt>
          <cx:pt idx="387">I</cx:pt>
          <cx:pt idx="388">I</cx:pt>
          <cx:pt idx="389">I</cx:pt>
          <cx:pt idx="390">I</cx:pt>
          <cx:pt idx="391">I</cx:pt>
          <cx:pt idx="392">I</cx:pt>
          <cx:pt idx="393">I</cx:pt>
          <cx:pt idx="394">I</cx:pt>
          <cx:pt idx="395">I</cx:pt>
          <cx:pt idx="396">I</cx:pt>
          <cx:pt idx="397">I</cx:pt>
          <cx:pt idx="398">I</cx:pt>
          <cx:pt idx="399">I</cx:pt>
          <cx:pt idx="400">I</cx:pt>
          <cx:pt idx="401">I</cx:pt>
          <cx:pt idx="402">I</cx:pt>
          <cx:pt idx="403">I</cx:pt>
          <cx:pt idx="404">I</cx:pt>
          <cx:pt idx="405">I</cx:pt>
          <cx:pt idx="406">I</cx:pt>
          <cx:pt idx="407">I</cx:pt>
          <cx:pt idx="408">I</cx:pt>
          <cx:pt idx="409">I</cx:pt>
          <cx:pt idx="410">I</cx:pt>
          <cx:pt idx="411">I</cx:pt>
          <cx:pt idx="412">I</cx:pt>
          <cx:pt idx="413">I</cx:pt>
          <cx:pt idx="414">I</cx:pt>
          <cx:pt idx="415">I</cx:pt>
          <cx:pt idx="416">I</cx:pt>
          <cx:pt idx="417">I</cx:pt>
          <cx:pt idx="418">I</cx:pt>
          <cx:pt idx="419">I</cx:pt>
          <cx:pt idx="420">I</cx:pt>
          <cx:pt idx="421">I</cx:pt>
          <cx:pt idx="422">I</cx:pt>
          <cx:pt idx="423">I</cx:pt>
          <cx:pt idx="424">I</cx:pt>
          <cx:pt idx="425">I</cx:pt>
          <cx:pt idx="426">I</cx:pt>
          <cx:pt idx="427">I</cx:pt>
          <cx:pt idx="428">I</cx:pt>
          <cx:pt idx="429">I</cx:pt>
          <cx:pt idx="430">I</cx:pt>
          <cx:pt idx="431">I</cx:pt>
          <cx:pt idx="432">I</cx:pt>
          <cx:pt idx="433">I</cx:pt>
          <cx:pt idx="434">I</cx:pt>
          <cx:pt idx="435">I</cx:pt>
          <cx:pt idx="436">I</cx:pt>
          <cx:pt idx="437">I</cx:pt>
          <cx:pt idx="438">I</cx:pt>
          <cx:pt idx="439">I</cx:pt>
          <cx:pt idx="440">I</cx:pt>
          <cx:pt idx="441">I</cx:pt>
          <cx:pt idx="442">I</cx:pt>
          <cx:pt idx="443">I</cx:pt>
          <cx:pt idx="444">I</cx:pt>
          <cx:pt idx="445">I</cx:pt>
          <cx:pt idx="446">I</cx:pt>
          <cx:pt idx="447">I</cx:pt>
          <cx:pt idx="448">I</cx:pt>
          <cx:pt idx="449">I</cx:pt>
          <cx:pt idx="450">I</cx:pt>
          <cx:pt idx="451">I</cx:pt>
          <cx:pt idx="452">I</cx:pt>
          <cx:pt idx="453">I</cx:pt>
          <cx:pt idx="454">I</cx:pt>
          <cx:pt idx="455">I</cx:pt>
          <cx:pt idx="456">I</cx:pt>
          <cx:pt idx="457">I</cx:pt>
          <cx:pt idx="458">I</cx:pt>
          <cx:pt idx="459">I</cx:pt>
          <cx:pt idx="460">I</cx:pt>
          <cx:pt idx="461">I</cx:pt>
          <cx:pt idx="462">I</cx:pt>
          <cx:pt idx="463">I</cx:pt>
          <cx:pt idx="464">I</cx:pt>
          <cx:pt idx="465">I</cx:pt>
          <cx:pt idx="466">I</cx:pt>
          <cx:pt idx="467">I</cx:pt>
          <cx:pt idx="468">I</cx:pt>
          <cx:pt idx="469">I</cx:pt>
          <cx:pt idx="470">I</cx:pt>
          <cx:pt idx="471">I</cx:pt>
          <cx:pt idx="472">I</cx:pt>
          <cx:pt idx="473">I</cx:pt>
          <cx:pt idx="474">I</cx:pt>
          <cx:pt idx="475">I</cx:pt>
          <cx:pt idx="476">I</cx:pt>
          <cx:pt idx="477">I</cx:pt>
          <cx:pt idx="478">I</cx:pt>
          <cx:pt idx="479">I</cx:pt>
          <cx:pt idx="480">I</cx:pt>
          <cx:pt idx="481">I</cx:pt>
          <cx:pt idx="482">I</cx:pt>
          <cx:pt idx="483">I</cx:pt>
          <cx:pt idx="484">I</cx:pt>
          <cx:pt idx="485">I</cx:pt>
          <cx:pt idx="486">I</cx:pt>
          <cx:pt idx="487">I</cx:pt>
          <cx:pt idx="488">I</cx:pt>
          <cx:pt idx="489">I</cx:pt>
          <cx:pt idx="490">I</cx:pt>
          <cx:pt idx="491">I</cx:pt>
          <cx:pt idx="492">I</cx:pt>
          <cx:pt idx="493">I</cx:pt>
          <cx:pt idx="494">I</cx:pt>
          <cx:pt idx="495">I</cx:pt>
          <cx:pt idx="496">I</cx:pt>
          <cx:pt idx="497">I</cx:pt>
          <cx:pt idx="498">I</cx:pt>
          <cx:pt idx="499">I</cx:pt>
          <cx:pt idx="500">I</cx:pt>
          <cx:pt idx="501">I</cx:pt>
          <cx:pt idx="502">I</cx:pt>
          <cx:pt idx="503">I</cx:pt>
          <cx:pt idx="504">I</cx:pt>
          <cx:pt idx="505">M</cx:pt>
          <cx:pt idx="506">M</cx:pt>
          <cx:pt idx="507">M</cx:pt>
          <cx:pt idx="508">M</cx:pt>
          <cx:pt idx="509">M</cx:pt>
          <cx:pt idx="510">M</cx:pt>
          <cx:pt idx="511">M</cx:pt>
          <cx:pt idx="512">M</cx:pt>
          <cx:pt idx="513">M</cx:pt>
          <cx:pt idx="514">M</cx:pt>
          <cx:pt idx="515">M</cx:pt>
          <cx:pt idx="516">M</cx:pt>
          <cx:pt idx="517">M</cx:pt>
          <cx:pt idx="518">M</cx:pt>
          <cx:pt idx="519">M</cx:pt>
          <cx:pt idx="520">M</cx:pt>
          <cx:pt idx="521">M</cx:pt>
          <cx:pt idx="522">M</cx:pt>
          <cx:pt idx="523">M</cx:pt>
          <cx:pt idx="524">M</cx:pt>
          <cx:pt idx="525">M</cx:pt>
          <cx:pt idx="526">M</cx:pt>
          <cx:pt idx="527">M</cx:pt>
          <cx:pt idx="528">M</cx:pt>
          <cx:pt idx="529">M</cx:pt>
          <cx:pt idx="530">M</cx:pt>
          <cx:pt idx="531">M</cx:pt>
          <cx:pt idx="532">M</cx:pt>
          <cx:pt idx="533">M</cx:pt>
          <cx:pt idx="534">M</cx:pt>
          <cx:pt idx="535">M</cx:pt>
          <cx:pt idx="536">M</cx:pt>
          <cx:pt idx="537">M</cx:pt>
          <cx:pt idx="538">M</cx:pt>
          <cx:pt idx="539">M</cx:pt>
          <cx:pt idx="540">M</cx:pt>
          <cx:pt idx="541">M</cx:pt>
          <cx:pt idx="542">M</cx:pt>
          <cx:pt idx="543">M</cx:pt>
          <cx:pt idx="544">M</cx:pt>
          <cx:pt idx="545">M</cx:pt>
          <cx:pt idx="546">M</cx:pt>
          <cx:pt idx="547">M</cx:pt>
          <cx:pt idx="548">M</cx:pt>
          <cx:pt idx="549">M</cx:pt>
          <cx:pt idx="550">M</cx:pt>
          <cx:pt idx="551">M</cx:pt>
          <cx:pt idx="552">M</cx:pt>
          <cx:pt idx="553">M</cx:pt>
          <cx:pt idx="554">M</cx:pt>
          <cx:pt idx="555">M</cx:pt>
          <cx:pt idx="556">M</cx:pt>
          <cx:pt idx="557">M</cx:pt>
          <cx:pt idx="558">M</cx:pt>
          <cx:pt idx="559">M</cx:pt>
          <cx:pt idx="560">M</cx:pt>
          <cx:pt idx="561">M</cx:pt>
          <cx:pt idx="562">M</cx:pt>
          <cx:pt idx="563">M</cx:pt>
          <cx:pt idx="564">M</cx:pt>
          <cx:pt idx="565">M</cx:pt>
          <cx:pt idx="566">M</cx:pt>
          <cx:pt idx="567">M</cx:pt>
          <cx:pt idx="568">M</cx:pt>
          <cx:pt idx="569">M</cx:pt>
          <cx:pt idx="570">M</cx:pt>
          <cx:pt idx="571">M</cx:pt>
          <cx:pt idx="572">M</cx:pt>
          <cx:pt idx="573">M</cx:pt>
          <cx:pt idx="574">M</cx:pt>
          <cx:pt idx="575">M</cx:pt>
          <cx:pt idx="576">M</cx:pt>
          <cx:pt idx="577">M</cx:pt>
          <cx:pt idx="578">M</cx:pt>
          <cx:pt idx="579">M</cx:pt>
          <cx:pt idx="580">M</cx:pt>
          <cx:pt idx="581">M</cx:pt>
          <cx:pt idx="582">M</cx:pt>
          <cx:pt idx="583">M</cx:pt>
          <cx:pt idx="584">M</cx:pt>
          <cx:pt idx="585">M</cx:pt>
          <cx:pt idx="586">M</cx:pt>
          <cx:pt idx="587">M</cx:pt>
          <cx:pt idx="588">M</cx:pt>
          <cx:pt idx="589">M</cx:pt>
          <cx:pt idx="590">M</cx:pt>
          <cx:pt idx="591">M</cx:pt>
          <cx:pt idx="592">M</cx:pt>
          <cx:pt idx="593">M</cx:pt>
          <cx:pt idx="594">M</cx:pt>
          <cx:pt idx="595">M</cx:pt>
          <cx:pt idx="596">M</cx:pt>
          <cx:pt idx="597">M</cx:pt>
          <cx:pt idx="598">M</cx:pt>
          <cx:pt idx="599">M</cx:pt>
          <cx:pt idx="600">M</cx:pt>
          <cx:pt idx="601">M</cx:pt>
          <cx:pt idx="602">M</cx:pt>
          <cx:pt idx="603">M</cx:pt>
          <cx:pt idx="604">M</cx:pt>
          <cx:pt idx="605">M</cx:pt>
          <cx:pt idx="606">M</cx:pt>
          <cx:pt idx="607">M</cx:pt>
          <cx:pt idx="608">M</cx:pt>
          <cx:pt idx="609">M</cx:pt>
          <cx:pt idx="610">M</cx:pt>
          <cx:pt idx="611">M</cx:pt>
          <cx:pt idx="612">M</cx:pt>
          <cx:pt idx="613">M</cx:pt>
          <cx:pt idx="614">M</cx:pt>
          <cx:pt idx="615">M</cx:pt>
          <cx:pt idx="616">M</cx:pt>
          <cx:pt idx="617">M</cx:pt>
          <cx:pt idx="618">M</cx:pt>
          <cx:pt idx="619">M</cx:pt>
          <cx:pt idx="620">M</cx:pt>
          <cx:pt idx="621">M</cx:pt>
          <cx:pt idx="622">M</cx:pt>
          <cx:pt idx="623">M</cx:pt>
          <cx:pt idx="624">M</cx:pt>
          <cx:pt idx="625">M</cx:pt>
          <cx:pt idx="626">M</cx:pt>
          <cx:pt idx="627">M</cx:pt>
          <cx:pt idx="628">M</cx:pt>
          <cx:pt idx="629">M</cx:pt>
          <cx:pt idx="630">M</cx:pt>
          <cx:pt idx="631">M</cx:pt>
          <cx:pt idx="632">M</cx:pt>
          <cx:pt idx="633">M</cx:pt>
          <cx:pt idx="634">M</cx:pt>
          <cx:pt idx="635">M</cx:pt>
          <cx:pt idx="636">M</cx:pt>
          <cx:pt idx="637">M</cx:pt>
          <cx:pt idx="638">M</cx:pt>
          <cx:pt idx="639">M</cx:pt>
          <cx:pt idx="640">M</cx:pt>
          <cx:pt idx="641">M</cx:pt>
          <cx:pt idx="642">M</cx:pt>
          <cx:pt idx="643">M</cx:pt>
          <cx:pt idx="644">M</cx:pt>
          <cx:pt idx="645">M</cx:pt>
          <cx:pt idx="646">M</cx:pt>
          <cx:pt idx="647">M</cx:pt>
          <cx:pt idx="648">M</cx:pt>
          <cx:pt idx="649">M</cx:pt>
          <cx:pt idx="650">M</cx:pt>
          <cx:pt idx="651">M</cx:pt>
          <cx:pt idx="652">M</cx:pt>
          <cx:pt idx="653">M</cx:pt>
          <cx:pt idx="654">M</cx:pt>
          <cx:pt idx="655">M</cx:pt>
          <cx:pt idx="656">M</cx:pt>
          <cx:pt idx="657">M</cx:pt>
          <cx:pt idx="658">M</cx:pt>
          <cx:pt idx="659">M</cx:pt>
          <cx:pt idx="660">M</cx:pt>
          <cx:pt idx="661">M</cx:pt>
          <cx:pt idx="662">M</cx:pt>
          <cx:pt idx="663">M</cx:pt>
          <cx:pt idx="664">M</cx:pt>
          <cx:pt idx="665">M</cx:pt>
          <cx:pt idx="666">M</cx:pt>
          <cx:pt idx="667">M</cx:pt>
          <cx:pt idx="668">M</cx:pt>
          <cx:pt idx="669">M</cx:pt>
          <cx:pt idx="670">M</cx:pt>
          <cx:pt idx="671">M</cx:pt>
          <cx:pt idx="672">M</cx:pt>
          <cx:pt idx="673">M</cx:pt>
          <cx:pt idx="674">M</cx:pt>
          <cx:pt idx="675">M</cx:pt>
          <cx:pt idx="676">M</cx:pt>
          <cx:pt idx="677">M</cx:pt>
          <cx:pt idx="678">M</cx:pt>
          <cx:pt idx="679">M</cx:pt>
          <cx:pt idx="680">M</cx:pt>
          <cx:pt idx="681">M</cx:pt>
          <cx:pt idx="682">M</cx:pt>
          <cx:pt idx="683">M</cx:pt>
          <cx:pt idx="684">M</cx:pt>
          <cx:pt idx="685">M</cx:pt>
          <cx:pt idx="686">M</cx:pt>
          <cx:pt idx="687">M</cx:pt>
          <cx:pt idx="688">M</cx:pt>
          <cx:pt idx="689">M</cx:pt>
          <cx:pt idx="690">M</cx:pt>
          <cx:pt idx="691">M</cx:pt>
          <cx:pt idx="692">M</cx:pt>
          <cx:pt idx="693">M</cx:pt>
          <cx:pt idx="694">M</cx:pt>
          <cx:pt idx="695">M</cx:pt>
          <cx:pt idx="696">M</cx:pt>
          <cx:pt idx="697">M</cx:pt>
          <cx:pt idx="698">M</cx:pt>
          <cx:pt idx="699">M</cx:pt>
          <cx:pt idx="700">M</cx:pt>
          <cx:pt idx="701">M</cx:pt>
          <cx:pt idx="702">M</cx:pt>
          <cx:pt idx="703">M</cx:pt>
          <cx:pt idx="704">M</cx:pt>
          <cx:pt idx="705">M</cx:pt>
          <cx:pt idx="706">M</cx:pt>
          <cx:pt idx="707">M</cx:pt>
          <cx:pt idx="708">M</cx:pt>
          <cx:pt idx="709">M</cx:pt>
          <cx:pt idx="710">M</cx:pt>
          <cx:pt idx="711">M</cx:pt>
          <cx:pt idx="712">M</cx:pt>
          <cx:pt idx="713">M</cx:pt>
          <cx:pt idx="714">M</cx:pt>
          <cx:pt idx="715">M</cx:pt>
          <cx:pt idx="716">M</cx:pt>
          <cx:pt idx="717">M</cx:pt>
          <cx:pt idx="718">M</cx:pt>
          <cx:pt idx="719">M</cx:pt>
          <cx:pt idx="720">M</cx:pt>
          <cx:pt idx="721">M</cx:pt>
          <cx:pt idx="722">M</cx:pt>
          <cx:pt idx="723">M</cx:pt>
          <cx:pt idx="724">M</cx:pt>
          <cx:pt idx="725">M</cx:pt>
          <cx:pt idx="726">M</cx:pt>
          <cx:pt idx="727">M</cx:pt>
          <cx:pt idx="728">M</cx:pt>
          <cx:pt idx="729">M</cx:pt>
          <cx:pt idx="730">M</cx:pt>
          <cx:pt idx="731">M</cx:pt>
          <cx:pt idx="732">M</cx:pt>
          <cx:pt idx="733">M</cx:pt>
          <cx:pt idx="734">M</cx:pt>
          <cx:pt idx="735">M</cx:pt>
          <cx:pt idx="736">M</cx:pt>
          <cx:pt idx="737">M</cx:pt>
          <cx:pt idx="738">M</cx:pt>
          <cx:pt idx="739">M</cx:pt>
          <cx:pt idx="740">M</cx:pt>
          <cx:pt idx="741">M</cx:pt>
          <cx:pt idx="742">M</cx:pt>
          <cx:pt idx="743">M</cx:pt>
          <cx:pt idx="744">M</cx:pt>
          <cx:pt idx="745">M</cx:pt>
          <cx:pt idx="746">M</cx:pt>
          <cx:pt idx="747">M</cx:pt>
          <cx:pt idx="748">M</cx:pt>
          <cx:pt idx="749">M</cx:pt>
        </cx:lvl>
      </cx:strDim>
      <cx:numDim type="val">
        <cx:lvl ptCount="750">
          <cx:pt idx="0">0.315</cx:pt>
          <cx:pt idx="1">0.22500000000000001</cx:pt>
          <cx:pt idx="2">0.45000000000000001</cx:pt>
          <cx:pt idx="3">0.42999999999999999</cx:pt>
          <cx:pt idx="4">0.27000000000000002</cx:pt>
          <cx:pt idx="5">0.44</cx:pt>
          <cx:pt idx="6">0.435</cx:pt>
          <cx:pt idx="7">0.42499999999999999</cx:pt>
          <cx:pt idx="8">0.31</cx:pt>
          <cx:pt idx="9">0.42499999999999999</cx:pt>
          <cx:pt idx="10">0.39000000000000001</cx:pt>
          <cx:pt idx="11">0.40000000000000002</cx:pt>
          <cx:pt idx="12">0.375</cx:pt>
          <cx:pt idx="13">0.435</cx:pt>
          <cx:pt idx="14">0.30499999999999999</cx:pt>
          <cx:pt idx="15">0.41999999999999998</cx:pt>
          <cx:pt idx="16">0.40999999999999998</cx:pt>
          <cx:pt idx="17">0.40000000000000002</cx:pt>
          <cx:pt idx="18">0.45500000000000002</cx:pt>
          <cx:pt idx="19">0.36499999999999999</cx:pt>
          <cx:pt idx="20">0.38</cx:pt>
          <cx:pt idx="21">0.33500000000000002</cx:pt>
          <cx:pt idx="22">0.41999999999999998</cx:pt>
          <cx:pt idx="23">0.435</cx:pt>
          <cx:pt idx="24">0.36499999999999999</cx:pt>
          <cx:pt idx="25">0.215</cx:pt>
          <cx:pt idx="26">0.34499999999999997</cx:pt>
          <cx:pt idx="27">0.34999999999999998</cx:pt>
          <cx:pt idx="28">0.23499999999999999</cx:pt>
          <cx:pt idx="29">0.40999999999999998</cx:pt>
          <cx:pt idx="30">0.39000000000000001</cx:pt>
          <cx:pt idx="31">0.435</cx:pt>
          <cx:pt idx="32">0.32000000000000001</cx:pt>
          <cx:pt idx="33">0.34999999999999998</cx:pt>
          <cx:pt idx="34">0.27500000000000002</cx:pt>
          <cx:pt idx="35">0.41999999999999998</cx:pt>
          <cx:pt idx="36">0.32500000000000001</cx:pt>
          <cx:pt idx="37">0.40000000000000002</cx:pt>
          <cx:pt idx="38">0.29499999999999998</cx:pt>
          <cx:pt idx="39">0.40999999999999998</cx:pt>
          <cx:pt idx="40">0.32500000000000001</cx:pt>
          <cx:pt idx="41">0.34999999999999998</cx:pt>
          <cx:pt idx="42">0.41999999999999998</cx:pt>
          <cx:pt idx="43">0.37</cx:pt>
          <cx:pt idx="44">0.28000000000000003</cx:pt>
          <cx:pt idx="45">0.31</cx:pt>
          <cx:pt idx="46">0.22500000000000001</cx:pt>
          <cx:pt idx="47">0.45000000000000001</cx:pt>
          <cx:pt idx="48">0.46000000000000002</cx:pt>
          <cx:pt idx="49">0.41499999999999998</cx:pt>
          <cx:pt idx="50">0.435</cx:pt>
          <cx:pt idx="51">0.37</cx:pt>
          <cx:pt idx="52">0.35499999999999998</cx:pt>
          <cx:pt idx="53">0.435</cx:pt>
          <cx:pt idx="54">0.28999999999999998</cx:pt>
          <cx:pt idx="55">0.41499999999999998</cx:pt>
          <cx:pt idx="56">0.41499999999999998</cx:pt>
          <cx:pt idx="57">0.35499999999999998</cx:pt>
          <cx:pt idx="58">0.28499999999999998</cx:pt>
          <cx:pt idx="59">0.46000000000000002</cx:pt>
          <cx:pt idx="60">0.40500000000000003</cx:pt>
          <cx:pt idx="61">0.28000000000000003</cx:pt>
          <cx:pt idx="62">0.26500000000000001</cx:pt>
          <cx:pt idx="63">0.34000000000000002</cx:pt>
          <cx:pt idx="64">0.30499999999999999</cx:pt>
          <cx:pt idx="65">0.40000000000000002</cx:pt>
          <cx:pt idx="66">0.39500000000000002</cx:pt>
          <cx:pt idx="67">0.25</cx:pt>
          <cx:pt idx="68">0.26500000000000001</cx:pt>
          <cx:pt idx="69">0.30499999999999999</cx:pt>
          <cx:pt idx="70">0.375</cx:pt>
          <cx:pt idx="71">0.42499999999999999</cx:pt>
          <cx:pt idx="72">0.36499999999999999</cx:pt>
          <cx:pt idx="73">0.41999999999999998</cx:pt>
          <cx:pt idx="74">0.29999999999999999</cx:pt>
          <cx:pt idx="75">0.255</cx:pt>
          <cx:pt idx="76">0.38500000000000001</cx:pt>
          <cx:pt idx="77">0.39000000000000001</cx:pt>
          <cx:pt idx="78">0.42999999999999999</cx:pt>
          <cx:pt idx="79">0.31</cx:pt>
          <cx:pt idx="80">0.35999999999999999</cx:pt>
          <cx:pt idx="81">0.34499999999999997</cx:pt>
          <cx:pt idx="82">0.38500000000000001</cx:pt>
          <cx:pt idx="83">0.38500000000000001</cx:pt>
          <cx:pt idx="84">0.215</cx:pt>
          <cx:pt idx="85">0.42499999999999999</cx:pt>
          <cx:pt idx="86">0.34999999999999998</cx:pt>
          <cx:pt idx="87">0.30499999999999999</cx:pt>
          <cx:pt idx="88">0.38</cx:pt>
          <cx:pt idx="89">0.36499999999999999</cx:pt>
          <cx:pt idx="90">0.45000000000000001</cx:pt>
          <cx:pt idx="91">0.38</cx:pt>
          <cx:pt idx="92">0.315</cx:pt>
          <cx:pt idx="93">0.46000000000000002</cx:pt>
          <cx:pt idx="94">0.45000000000000001</cx:pt>
          <cx:pt idx="95">0.29999999999999999</cx:pt>
          <cx:pt idx="96">0.23499999999999999</cx:pt>
          <cx:pt idx="97">0.25</cx:pt>
          <cx:pt idx="98">0.28000000000000003</cx:pt>
          <cx:pt idx="99">0.34999999999999998</cx:pt>
          <cx:pt idx="100">0.36499999999999999</cx:pt>
          <cx:pt idx="101">0.38</cx:pt>
          <cx:pt idx="102">0.25</cx:pt>
          <cx:pt idx="103">0.47499999999999998</cx:pt>
          <cx:pt idx="104">0.42499999999999999</cx:pt>
          <cx:pt idx="105">0.31</cx:pt>
          <cx:pt idx="106">0.27500000000000002</cx:pt>
          <cx:pt idx="107">0.33500000000000002</cx:pt>
          <cx:pt idx="108">0.42999999999999999</cx:pt>
          <cx:pt idx="109">0.48499999999999999</cx:pt>
          <cx:pt idx="110">0.20499999999999999</cx:pt>
          <cx:pt idx="111">0.28999999999999998</cx:pt>
          <cx:pt idx="112">0.32500000000000001</cx:pt>
          <cx:pt idx="113">0.34999999999999998</cx:pt>
          <cx:pt idx="114">0.40000000000000002</cx:pt>
          <cx:pt idx="115">0.40000000000000002</cx:pt>
          <cx:pt idx="116">0.38500000000000001</cx:pt>
          <cx:pt idx="117">0.39500000000000002</cx:pt>
          <cx:pt idx="118">0.38</cx:pt>
          <cx:pt idx="119">0.44500000000000001</cx:pt>
          <cx:pt idx="120">0.39500000000000002</cx:pt>
          <cx:pt idx="121">0.29999999999999999</cx:pt>
          <cx:pt idx="122">0.45000000000000001</cx:pt>
          <cx:pt idx="123">0.29999999999999999</cx:pt>
          <cx:pt idx="124">0.42499999999999999</cx:pt>
          <cx:pt idx="125">0.35999999999999999</cx:pt>
          <cx:pt idx="126">0.35499999999999998</cx:pt>
          <cx:pt idx="127">0.255</cx:pt>
          <cx:pt idx="128">0.435</cx:pt>
          <cx:pt idx="129">0.435</cx:pt>
          <cx:pt idx="130">0.375</cx:pt>
          <cx:pt idx="131">0.34000000000000002</cx:pt>
          <cx:pt idx="132">0.38500000000000001</cx:pt>
          <cx:pt idx="133">0.30499999999999999</cx:pt>
          <cx:pt idx="134">0.26500000000000001</cx:pt>
          <cx:pt idx="135">0.45500000000000002</cx:pt>
          <cx:pt idx="136">0.41499999999999998</cx:pt>
          <cx:pt idx="137">0.41499999999999998</cx:pt>
          <cx:pt idx="138">0.215</cx:pt>
          <cx:pt idx="139">0.38</cx:pt>
          <cx:pt idx="140">0.37</cx:pt>
          <cx:pt idx="141">0.28999999999999998</cx:pt>
          <cx:pt idx="142">0.35999999999999999</cx:pt>
          <cx:pt idx="143">0.27500000000000002</cx:pt>
          <cx:pt idx="144">0.25</cx:pt>
          <cx:pt idx="145">0.22500000000000001</cx:pt>
          <cx:pt idx="146">0.46999999999999997</cx:pt>
          <cx:pt idx="147">0.25</cx:pt>
          <cx:pt idx="148">0.41499999999999998</cx:pt>
          <cx:pt idx="149">0.375</cx:pt>
          <cx:pt idx="150">0.19500000000000001</cx:pt>
          <cx:pt idx="151">0.40000000000000002</cx:pt>
          <cx:pt idx="152">0.46500000000000002</cx:pt>
          <cx:pt idx="153">0.34999999999999998</cx:pt>
          <cx:pt idx="154">0.23000000000000001</cx:pt>
          <cx:pt idx="155">0.40000000000000002</cx:pt>
          <cx:pt idx="156">0.38</cx:pt>
          <cx:pt idx="157">0.28999999999999998</cx:pt>
          <cx:pt idx="158">0.40500000000000003</cx:pt>
          <cx:pt idx="159">0.17000000000000001</cx:pt>
          <cx:pt idx="160">0.125</cx:pt>
          <cx:pt idx="161">0.42499999999999999</cx:pt>
          <cx:pt idx="162">0.31</cx:pt>
          <cx:pt idx="163">0.40999999999999998</cx:pt>
          <cx:pt idx="164">0.19500000000000001</cx:pt>
          <cx:pt idx="165">0.185</cx:pt>
          <cx:pt idx="166">0.26500000000000001</cx:pt>
          <cx:pt idx="167">0.41999999999999998</cx:pt>
          <cx:pt idx="168">0.35999999999999999</cx:pt>
          <cx:pt idx="169">0.22500000000000001</cx:pt>
          <cx:pt idx="170">0.47499999999999998</cx:pt>
          <cx:pt idx="171">0.27500000000000002</cx:pt>
          <cx:pt idx="172">0.46000000000000002</cx:pt>
          <cx:pt idx="173">0.39000000000000001</cx:pt>
          <cx:pt idx="174">0.47499999999999998</cx:pt>
          <cx:pt idx="175">0.35999999999999999</cx:pt>
          <cx:pt idx="176">0.31</cx:pt>
          <cx:pt idx="177">0.38</cx:pt>
          <cx:pt idx="178">0.27000000000000002</cx:pt>
          <cx:pt idx="179">0.29999999999999999</cx:pt>
          <cx:pt idx="180">0.34999999999999998</cx:pt>
          <cx:pt idx="181">0.44</cx:pt>
          <cx:pt idx="182">0.35499999999999998</cx:pt>
          <cx:pt idx="183">0.34000000000000002</cx:pt>
          <cx:pt idx="184">0.35999999999999999</cx:pt>
          <cx:pt idx="185">0.32500000000000001</cx:pt>
          <cx:pt idx="186">0.39000000000000001</cx:pt>
          <cx:pt idx="187">0.44500000000000001</cx:pt>
          <cx:pt idx="188">0.375</cx:pt>
          <cx:pt idx="189">0.28999999999999998</cx:pt>
          <cx:pt idx="190">0.40000000000000002</cx:pt>
          <cx:pt idx="191">0.41999999999999998</cx:pt>
          <cx:pt idx="192">0.35999999999999999</cx:pt>
          <cx:pt idx="193">0.32500000000000001</cx:pt>
          <cx:pt idx="194">0.375</cx:pt>
          <cx:pt idx="195">0.34499999999999997</cx:pt>
          <cx:pt idx="196">0.37</cx:pt>
          <cx:pt idx="197">0.45000000000000001</cx:pt>
          <cx:pt idx="198">0.28999999999999998</cx:pt>
          <cx:pt idx="199">0.35999999999999999</cx:pt>
          <cx:pt idx="200">0.38</cx:pt>
          <cx:pt idx="201">0.20999999999999999</cx:pt>
          <cx:pt idx="202">0.31</cx:pt>
          <cx:pt idx="203">0.37</cx:pt>
          <cx:pt idx="204">0.40000000000000002</cx:pt>
          <cx:pt idx="205">0.42499999999999999</cx:pt>
          <cx:pt idx="206">0.29999999999999999</cx:pt>
          <cx:pt idx="207">0.23000000000000001</cx:pt>
          <cx:pt idx="208">0.40000000000000002</cx:pt>
          <cx:pt idx="209">0.375</cx:pt>
          <cx:pt idx="210">0.34999999999999998</cx:pt>
          <cx:pt idx="211">0.17999999999999999</cx:pt>
          <cx:pt idx="212">0.33500000000000002</cx:pt>
          <cx:pt idx="213">0.19</cx:pt>
          <cx:pt idx="214">0.36499999999999999</cx:pt>
          <cx:pt idx="215">0.34999999999999998</cx:pt>
          <cx:pt idx="216">0.42999999999999999</cx:pt>
          <cx:pt idx="217">0.315</cx:pt>
          <cx:pt idx="218">0.255</cx:pt>
          <cx:pt idx="219">0.32500000000000001</cx:pt>
          <cx:pt idx="220">0.30499999999999999</cx:pt>
          <cx:pt idx="221">0.39500000000000002</cx:pt>
          <cx:pt idx="222">0.39500000000000002</cx:pt>
          <cx:pt idx="223">0.42499999999999999</cx:pt>
          <cx:pt idx="224">0.40500000000000003</cx:pt>
          <cx:pt idx="225">0.42999999999999999</cx:pt>
          <cx:pt idx="226">0.39000000000000001</cx:pt>
          <cx:pt idx="227">0.19500000000000001</cx:pt>
          <cx:pt idx="228">0.46000000000000002</cx:pt>
          <cx:pt idx="229">0.28000000000000003</cx:pt>
          <cx:pt idx="230">0.28000000000000003</cx:pt>
          <cx:pt idx="231">0.41999999999999998</cx:pt>
          <cx:pt idx="232">0.42499999999999999</cx:pt>
          <cx:pt idx="233">0.26000000000000001</cx:pt>
          <cx:pt idx="234">0.40999999999999998</cx:pt>
          <cx:pt idx="235">0.26500000000000001</cx:pt>
          <cx:pt idx="236">0.37</cx:pt>
          <cx:pt idx="237">0.44</cx:pt>
          <cx:pt idx="238">0.35499999999999998</cx:pt>
          <cx:pt idx="239">0.12</cx:pt>
          <cx:pt idx="240">0.34999999999999998</cx:pt>
          <cx:pt idx="241">0.41499999999999998</cx:pt>
          <cx:pt idx="242">0.26000000000000001</cx:pt>
          <cx:pt idx="243">0.26500000000000001</cx:pt>
          <cx:pt idx="244">0.29499999999999998</cx:pt>
          <cx:pt idx="245">0.40000000000000002</cx:pt>
          <cx:pt idx="246">0.46000000000000002</cx:pt>
          <cx:pt idx="247">0.45000000000000001</cx:pt>
          <cx:pt idx="248">0.255</cx:pt>
          <cx:pt idx="249">0.41499999999999998</cx:pt>
          <cx:pt idx="250">0.39500000000000002</cx:pt>
          <cx:pt idx="251">0.40999999999999998</cx:pt>
          <cx:pt idx="252">0.35499999999999998</cx:pt>
          <cx:pt idx="253">0.46999999999999997</cx:pt>
          <cx:pt idx="254">0.38500000000000001</cx:pt>
          <cx:pt idx="255">0.44</cx:pt>
          <cx:pt idx="256">0.32500000000000001</cx:pt>
          <cx:pt idx="257">0.39500000000000002</cx:pt>
          <cx:pt idx="258">0.27500000000000002</cx:pt>
          <cx:pt idx="259">0.33500000000000002</cx:pt>
          <cx:pt idx="260">0.47499999999999998</cx:pt>
          <cx:pt idx="261">0.34999999999999998</cx:pt>
          <cx:pt idx="262">0.23000000000000001</cx:pt>
          <cx:pt idx="263">0.34999999999999998</cx:pt>
          <cx:pt idx="264">0.46500000000000002</cx:pt>
          <cx:pt idx="265">0.28999999999999998</cx:pt>
          <cx:pt idx="266">0.32000000000000001</cx:pt>
          <cx:pt idx="267">0.29999999999999999</cx:pt>
          <cx:pt idx="268">0.22500000000000001</cx:pt>
          <cx:pt idx="269">0.34499999999999997</cx:pt>
          <cx:pt idx="270">0.33500000000000002</cx:pt>
          <cx:pt idx="271">0.38</cx:pt>
          <cx:pt idx="272">0.39000000000000001</cx:pt>
          <cx:pt idx="273">0.32000000000000001</cx:pt>
          <cx:pt idx="274">0.19500000000000001</cx:pt>
          <cx:pt idx="275">0.34499999999999997</cx:pt>
          <cx:pt idx="276">0.34499999999999997</cx:pt>
          <cx:pt idx="277">0.34000000000000002</cx:pt>
          <cx:pt idx="278">0.42499999999999999</cx:pt>
          <cx:pt idx="279">0.42499999999999999</cx:pt>
          <cx:pt idx="280">0.40999999999999998</cx:pt>
          <cx:pt idx="281">0.40000000000000002</cx:pt>
          <cx:pt idx="282">0.34000000000000002</cx:pt>
          <cx:pt idx="283">0.17000000000000001</cx:pt>
          <cx:pt idx="284">0.29999999999999999</cx:pt>
          <cx:pt idx="285">0.20000000000000001</cx:pt>
          <cx:pt idx="286">0.155</cx:pt>
          <cx:pt idx="287">0.20999999999999999</cx:pt>
          <cx:pt idx="288">0.34499999999999997</cx:pt>
          <cx:pt idx="289">0.35999999999999999</cx:pt>
          <cx:pt idx="290">0.34000000000000002</cx:pt>
          <cx:pt idx="291">0.41999999999999998</cx:pt>
          <cx:pt idx="292">0.34000000000000002</cx:pt>
          <cx:pt idx="293">0.26000000000000001</cx:pt>
          <cx:pt idx="294">0.46500000000000002</cx:pt>
          <cx:pt idx="295">0.37</cx:pt>
          <cx:pt idx="296">0.38</cx:pt>
          <cx:pt idx="297">0.40000000000000002</cx:pt>
          <cx:pt idx="298">0.315</cx:pt>
          <cx:pt idx="299">0.41999999999999998</cx:pt>
          <cx:pt idx="300">0.35999999999999999</cx:pt>
          <cx:pt idx="301">0.45500000000000002</cx:pt>
          <cx:pt idx="302">0.34999999999999998</cx:pt>
          <cx:pt idx="303">0.27500000000000002</cx:pt>
          <cx:pt idx="304">0.35499999999999998</cx:pt>
          <cx:pt idx="305">0.34000000000000002</cx:pt>
          <cx:pt idx="306">0.29999999999999999</cx:pt>
          <cx:pt idx="307">0.375</cx:pt>
          <cx:pt idx="308">0.32500000000000001</cx:pt>
          <cx:pt idx="309">0.35999999999999999</cx:pt>
          <cx:pt idx="310">0.40000000000000002</cx:pt>
          <cx:pt idx="311">0.33500000000000002</cx:pt>
          <cx:pt idx="312">0.28999999999999998</cx:pt>
          <cx:pt idx="313">0.37</cx:pt>
          <cx:pt idx="314">0.34000000000000002</cx:pt>
          <cx:pt idx="315">0.13</cx:pt>
          <cx:pt idx="316">0.41499999999999998</cx:pt>
          <cx:pt idx="317">0.26500000000000001</cx:pt>
          <cx:pt idx="318">0.33500000000000002</cx:pt>
          <cx:pt idx="319">0.28000000000000003</cx:pt>
          <cx:pt idx="320">0.32500000000000001</cx:pt>
          <cx:pt idx="321">0.38</cx:pt>
          <cx:pt idx="322">0.33000000000000002</cx:pt>
          <cx:pt idx="323">0.28999999999999998</cx:pt>
          <cx:pt idx="324">0.26500000000000001</cx:pt>
          <cx:pt idx="325">0.14999999999999999</cx:pt>
          <cx:pt idx="326">0.42499999999999999</cx:pt>
          <cx:pt idx="327">0.45000000000000001</cx:pt>
          <cx:pt idx="328">0.14999999999999999</cx:pt>
          <cx:pt idx="329">0.315</cx:pt>
          <cx:pt idx="330">0.375</cx:pt>
          <cx:pt idx="331">0.32500000000000001</cx:pt>
          <cx:pt idx="332">0.20000000000000001</cx:pt>
          <cx:pt idx="333">0.40000000000000002</cx:pt>
          <cx:pt idx="334">0.40500000000000003</cx:pt>
          <cx:pt idx="335">0.46500000000000002</cx:pt>
          <cx:pt idx="336">0.36499999999999999</cx:pt>
          <cx:pt idx="337">0.29499999999999998</cx:pt>
          <cx:pt idx="338">0.41999999999999998</cx:pt>
          <cx:pt idx="339">0.41999999999999998</cx:pt>
          <cx:pt idx="340">0.37</cx:pt>
          <cx:pt idx="341">0.35999999999999999</cx:pt>
          <cx:pt idx="342">0.435</cx:pt>
          <cx:pt idx="343">0.31</cx:pt>
          <cx:pt idx="344">0.13500000000000001</cx:pt>
          <cx:pt idx="345">0.35999999999999999</cx:pt>
          <cx:pt idx="346">0.39000000000000001</cx:pt>
          <cx:pt idx="347">0.40999999999999998</cx:pt>
          <cx:pt idx="348">0.41999999999999998</cx:pt>
          <cx:pt idx="349">0.38</cx:pt>
          <cx:pt idx="350">0.41999999999999998</cx:pt>
          <cx:pt idx="351">0.435</cx:pt>
          <cx:pt idx="352">0.29999999999999999</cx:pt>
          <cx:pt idx="353">0.34999999999999998</cx:pt>
          <cx:pt idx="354">0.11</cx:pt>
          <cx:pt idx="355">0.35499999999999998</cx:pt>
          <cx:pt idx="356">0.39000000000000001</cx:pt>
          <cx:pt idx="357">0.315</cx:pt>
          <cx:pt idx="358">0.38500000000000001</cx:pt>
          <cx:pt idx="359">0.44500000000000001</cx:pt>
          <cx:pt idx="360">0.27500000000000002</cx:pt>
          <cx:pt idx="361">0.20000000000000001</cx:pt>
          <cx:pt idx="362">0.34999999999999998</cx:pt>
          <cx:pt idx="363">0.42499999999999999</cx:pt>
          <cx:pt idx="364">0.46000000000000002</cx:pt>
          <cx:pt idx="365">0.375</cx:pt>
          <cx:pt idx="366">0.34999999999999998</cx:pt>
          <cx:pt idx="367">0.255</cx:pt>
          <cx:pt idx="368">0.375</cx:pt>
          <cx:pt idx="369">0.38</cx:pt>
          <cx:pt idx="370">0.20000000000000001</cx:pt>
          <cx:pt idx="371">0.45500000000000002</cx:pt>
          <cx:pt idx="372">0.35999999999999999</cx:pt>
          <cx:pt idx="373">0.39500000000000002</cx:pt>
          <cx:pt idx="374">0.38</cx:pt>
          <cx:pt idx="375">0.35499999999999998</cx:pt>
          <cx:pt idx="376">0.44</cx:pt>
          <cx:pt idx="377">0.40000000000000002</cx:pt>
          <cx:pt idx="378">0.40999999999999998</cx:pt>
          <cx:pt idx="379">0.36499999999999999</cx:pt>
          <cx:pt idx="380">0.17499999999999999</cx:pt>
          <cx:pt idx="381">0.34499999999999997</cx:pt>
          <cx:pt idx="382">0.44</cx:pt>
          <cx:pt idx="383">0.375</cx:pt>
          <cx:pt idx="384">0.39500000000000002</cx:pt>
          <cx:pt idx="385">0.34000000000000002</cx:pt>
          <cx:pt idx="386">0.34499999999999997</cx:pt>
          <cx:pt idx="387">0.185</cx:pt>
          <cx:pt idx="388">0.28000000000000003</cx:pt>
          <cx:pt idx="389">0.47499999999999998</cx:pt>
          <cx:pt idx="390">0.38500000000000001</cx:pt>
          <cx:pt idx="391">0.47999999999999998</cx:pt>
          <cx:pt idx="392">0.42999999999999999</cx:pt>
          <cx:pt idx="393">0.38</cx:pt>
          <cx:pt idx="394">0.44</cx:pt>
          <cx:pt idx="395">0.31</cx:pt>
          <cx:pt idx="396">0.16500000000000001</cx:pt>
          <cx:pt idx="397">0.35499999999999998</cx:pt>
          <cx:pt idx="398">0.47499999999999998</cx:pt>
          <cx:pt idx="399">0.38500000000000001</cx:pt>
          <cx:pt idx="400">0.33500000000000002</cx:pt>
          <cx:pt idx="401">0.36499999999999999</cx:pt>
          <cx:pt idx="402">0.41499999999999998</cx:pt>
          <cx:pt idx="403">0.435</cx:pt>
          <cx:pt idx="404">0.34999999999999998</cx:pt>
          <cx:pt idx="405">0.40000000000000002</cx:pt>
          <cx:pt idx="406">0.27000000000000002</cx:pt>
          <cx:pt idx="407">0.30499999999999999</cx:pt>
          <cx:pt idx="408">0.45500000000000002</cx:pt>
          <cx:pt idx="409">0.42999999999999999</cx:pt>
          <cx:pt idx="410">0.20000000000000001</cx:pt>
          <cx:pt idx="411">0.45000000000000001</cx:pt>
          <cx:pt idx="412">0.40000000000000002</cx:pt>
          <cx:pt idx="413">0.39500000000000002</cx:pt>
          <cx:pt idx="414">0.35499999999999998</cx:pt>
          <cx:pt idx="415">0.14499999999999999</cx:pt>
          <cx:pt idx="416">0.37</cx:pt>
          <cx:pt idx="417">0.28499999999999998</cx:pt>
          <cx:pt idx="418">0.45000000000000001</cx:pt>
          <cx:pt idx="419">0.41999999999999998</cx:pt>
          <cx:pt idx="420">0.30499999999999999</cx:pt>
          <cx:pt idx="421">0.23000000000000001</cx:pt>
          <cx:pt idx="422">0.29999999999999999</cx:pt>
          <cx:pt idx="423">0.35499999999999998</cx:pt>
          <cx:pt idx="424">0.32500000000000001</cx:pt>
          <cx:pt idx="425">0.245</cx:pt>
          <cx:pt idx="426">0.34000000000000002</cx:pt>
          <cx:pt idx="427">0.40000000000000002</cx:pt>
          <cx:pt idx="428">0.35499999999999998</cx:pt>
          <cx:pt idx="429">0.40000000000000002</cx:pt>
          <cx:pt idx="430">0.33500000000000002</cx:pt>
          <cx:pt idx="431">0.38</cx:pt>
          <cx:pt idx="432">0.38500000000000001</cx:pt>
          <cx:pt idx="433">0.41999999999999998</cx:pt>
          <cx:pt idx="434">0.42499999999999999</cx:pt>
          <cx:pt idx="435">0.27000000000000002</cx:pt>
          <cx:pt idx="436">0.42499999999999999</cx:pt>
          <cx:pt idx="437">0.19500000000000001</cx:pt>
          <cx:pt idx="438">0.40999999999999998</cx:pt>
          <cx:pt idx="439">0.45500000000000002</cx:pt>
          <cx:pt idx="440">0.29499999999999998</cx:pt>
          <cx:pt idx="441">0.25</cx:pt>
          <cx:pt idx="442">0.26000000000000001</cx:pt>
          <cx:pt idx="443">0.40500000000000003</cx:pt>
          <cx:pt idx="444">0.25</cx:pt>
          <cx:pt idx="445">0.35499999999999998</cx:pt>
          <cx:pt idx="446">0.36499999999999999</cx:pt>
          <cx:pt idx="447">0.32500000000000001</cx:pt>
          <cx:pt idx="448">0.31</cx:pt>
          <cx:pt idx="449">0.38</cx:pt>
          <cx:pt idx="450">0.27000000000000002</cx:pt>
          <cx:pt idx="451">0.32500000000000001</cx:pt>
          <cx:pt idx="452">0.315</cx:pt>
          <cx:pt idx="453">0.26000000000000001</cx:pt>
          <cx:pt idx="454">0.315</cx:pt>
          <cx:pt idx="455">0.35499999999999998</cx:pt>
          <cx:pt idx="456">0.39500000000000002</cx:pt>
          <cx:pt idx="457">0.28000000000000003</cx:pt>
          <cx:pt idx="458">0.27500000000000002</cx:pt>
          <cx:pt idx="459">0.40999999999999998</cx:pt>
          <cx:pt idx="460">0.40500000000000003</cx:pt>
          <cx:pt idx="461">0.35499999999999998</cx:pt>
          <cx:pt idx="462">0.45500000000000002</cx:pt>
          <cx:pt idx="463">0.23499999999999999</cx:pt>
          <cx:pt idx="464">0.089999999999999997</cx:pt>
          <cx:pt idx="465">0.44</cx:pt>
          <cx:pt idx="466">0.23000000000000001</cx:pt>
          <cx:pt idx="467">0.25</cx:pt>
          <cx:pt idx="468">0.47499999999999998</cx:pt>
          <cx:pt idx="469">0.40999999999999998</cx:pt>
          <cx:pt idx="470">0.44</cx:pt>
          <cx:pt idx="471">0.38500000000000001</cx:pt>
          <cx:pt idx="472">0.28000000000000003</cx:pt>
          <cx:pt idx="473">0.27000000000000002</cx:pt>
          <cx:pt idx="474">0.35499999999999998</cx:pt>
          <cx:pt idx="475">0.46999999999999997</cx:pt>
          <cx:pt idx="476">0.38500000000000001</cx:pt>
          <cx:pt idx="477">0.40500000000000003</cx:pt>
          <cx:pt idx="478">0.40000000000000002</cx:pt>
          <cx:pt idx="479">0.48499999999999999</cx:pt>
          <cx:pt idx="480">0.42999999999999999</cx:pt>
          <cx:pt idx="481">0.46000000000000002</cx:pt>
          <cx:pt idx="482">0.44</cx:pt>
          <cx:pt idx="483">0.42499999999999999</cx:pt>
          <cx:pt idx="484">0.105</cx:pt>
          <cx:pt idx="485">0.20999999999999999</cx:pt>
          <cx:pt idx="486">0.36499999999999999</cx:pt>
          <cx:pt idx="487">0.46500000000000002</cx:pt>
          <cx:pt idx="488">0.30499999999999999</cx:pt>
          <cx:pt idx="489">0.42499999999999999</cx:pt>
          <cx:pt idx="490">0.27500000000000002</cx:pt>
          <cx:pt idx="491">0.40500000000000003</cx:pt>
          <cx:pt idx="492">0.25</cx:pt>
          <cx:pt idx="493">0.39000000000000001</cx:pt>
          <cx:pt idx="494">0.30499999999999999</cx:pt>
          <cx:pt idx="495">0.45000000000000001</cx:pt>
          <cx:pt idx="496">0.35499999999999998</cx:pt>
          <cx:pt idx="497">0.40000000000000002</cx:pt>
          <cx:pt idx="498">0.39000000000000001</cx:pt>
          <cx:pt idx="499">0.33000000000000002</cx:pt>
          <cx:pt idx="500">0.42499999999999999</cx:pt>
          <cx:pt idx="501">0.33000000000000002</cx:pt>
          <cx:pt idx="502">0.33500000000000002</cx:pt>
          <cx:pt idx="503">0.33000000000000002</cx:pt>
          <cx:pt idx="504">0.45000000000000001</cx:pt>
          <cx:pt idx="505">0.25</cx:pt>
          <cx:pt idx="506">0.5</cx:pt>
          <cx:pt idx="507">0.26000000000000001</cx:pt>
          <cx:pt idx="508">0.215</cx:pt>
          <cx:pt idx="509">0.255</cx:pt>
          <cx:pt idx="510">0.47499999999999998</cx:pt>
          <cx:pt idx="511">0.40500000000000003</cx:pt>
          <cx:pt idx="512">0.29999999999999999</cx:pt>
          <cx:pt idx="513">0.28999999999999998</cx:pt>
          <cx:pt idx="514">0.38</cx:pt>
          <cx:pt idx="515">0.23999999999999999</cx:pt>
          <cx:pt idx="516">0.44</cx:pt>
          <cx:pt idx="517">0.125</cx:pt>
          <cx:pt idx="518">0.35499999999999998</cx:pt>
          <cx:pt idx="519">0.45500000000000002</cx:pt>
          <cx:pt idx="520">0.34000000000000002</cx:pt>
          <cx:pt idx="521">0.33500000000000002</cx:pt>
          <cx:pt idx="522">0.34999999999999998</cx:pt>
          <cx:pt idx="523">0.34000000000000002</cx:pt>
          <cx:pt idx="524">0.39000000000000001</cx:pt>
          <cx:pt idx="525">0.40500000000000003</cx:pt>
          <cx:pt idx="526">0.37</cx:pt>
          <cx:pt idx="527">0.19500000000000001</cx:pt>
          <cx:pt idx="528">0.40999999999999998</cx:pt>
          <cx:pt idx="529">0.40000000000000002</cx:pt>
          <cx:pt idx="530">0.42499999999999999</cx:pt>
          <cx:pt idx="531">0.375</cx:pt>
          <cx:pt idx="532">0.39500000000000002</cx:pt>
          <cx:pt idx="533">0.38500000000000001</cx:pt>
          <cx:pt idx="534">0.40000000000000002</cx:pt>
          <cx:pt idx="535">0.315</cx:pt>
          <cx:pt idx="536">0.46000000000000002</cx:pt>
          <cx:pt idx="537">0.38</cx:pt>
          <cx:pt idx="538">0.17000000000000001</cx:pt>
          <cx:pt idx="539">0.41499999999999998</cx:pt>
          <cx:pt idx="540">0.35499999999999998</cx:pt>
          <cx:pt idx="541">0.40500000000000003</cx:pt>
          <cx:pt idx="542">0.38500000000000001</cx:pt>
          <cx:pt idx="543">0.40000000000000002</cx:pt>
          <cx:pt idx="544">0.38</cx:pt>
          <cx:pt idx="545">0.38500000000000001</cx:pt>
          <cx:pt idx="546">0.375</cx:pt>
          <cx:pt idx="547">0.34499999999999997</cx:pt>
          <cx:pt idx="548">0.44</cx:pt>
          <cx:pt idx="549">0.42499999999999999</cx:pt>
          <cx:pt idx="550">0.39000000000000001</cx:pt>
          <cx:pt idx="551">0.27000000000000002</cx:pt>
          <cx:pt idx="552">0.45500000000000002</cx:pt>
          <cx:pt idx="553">0.23000000000000001</cx:pt>
          <cx:pt idx="554">0.39000000000000001</cx:pt>
          <cx:pt idx="555">0.23000000000000001</cx:pt>
          <cx:pt idx="556">0.28000000000000003</cx:pt>
          <cx:pt idx="557">0.32000000000000001</cx:pt>
          <cx:pt idx="558">0.42499999999999999</cx:pt>
          <cx:pt idx="559">0.41999999999999998</cx:pt>
          <cx:pt idx="560">0.28999999999999998</cx:pt>
          <cx:pt idx="561">0.27000000000000002</cx:pt>
          <cx:pt idx="562">0.26000000000000001</cx:pt>
          <cx:pt idx="563">0.34000000000000002</cx:pt>
          <cx:pt idx="564">0.27000000000000002</cx:pt>
          <cx:pt idx="565">0.40000000000000002</cx:pt>
          <cx:pt idx="566">0.23999999999999999</cx:pt>
          <cx:pt idx="567">0.32500000000000001</cx:pt>
          <cx:pt idx="568">0.34999999999999998</cx:pt>
          <cx:pt idx="569">0.44</cx:pt>
          <cx:pt idx="570">0.375</cx:pt>
          <cx:pt idx="571">0.44</cx:pt>
          <cx:pt idx="572">0.20999999999999999</cx:pt>
          <cx:pt idx="573">0.23999999999999999</cx:pt>
          <cx:pt idx="574">0.32500000000000001</cx:pt>
          <cx:pt idx="575">0.42999999999999999</cx:pt>
          <cx:pt idx="576">0.22</cx:pt>
          <cx:pt idx="577">0.40500000000000003</cx:pt>
          <cx:pt idx="578">0.27500000000000002</cx:pt>
          <cx:pt idx="579">0.13</cx:pt>
          <cx:pt idx="580">0.32000000000000001</cx:pt>
          <cx:pt idx="581">0.39000000000000001</cx:pt>
          <cx:pt idx="582">0.34000000000000002</cx:pt>
          <cx:pt idx="583">0.435</cx:pt>
          <cx:pt idx="584">0.45000000000000001</cx:pt>
          <cx:pt idx="585">0.37</cx:pt>
          <cx:pt idx="586">0.35499999999999998</cx:pt>
          <cx:pt idx="587">0.34999999999999998</cx:pt>
          <cx:pt idx="588">0.42999999999999999</cx:pt>
          <cx:pt idx="589">0.37</cx:pt>
          <cx:pt idx="590">0.41999999999999998</cx:pt>
          <cx:pt idx="591">0.23000000000000001</cx:pt>
          <cx:pt idx="592">0.34999999999999998</cx:pt>
          <cx:pt idx="593">0.32500000000000001</cx:pt>
          <cx:pt idx="594">0.46500000000000002</cx:pt>
          <cx:pt idx="595">0.40999999999999998</cx:pt>
          <cx:pt idx="596">0.42499999999999999</cx:pt>
          <cx:pt idx="597">0.38500000000000001</cx:pt>
          <cx:pt idx="598">0.34000000000000002</cx:pt>
          <cx:pt idx="599">0.26500000000000001</cx:pt>
          <cx:pt idx="600">0.33000000000000002</cx:pt>
          <cx:pt idx="601">0.13</cx:pt>
          <cx:pt idx="602">0.46000000000000002</cx:pt>
          <cx:pt idx="603">0.40000000000000002</cx:pt>
          <cx:pt idx="604">0.45000000000000001</cx:pt>
          <cx:pt idx="605">0.255</cx:pt>
          <cx:pt idx="606">0.32000000000000001</cx:pt>
          <cx:pt idx="607">0.36499999999999999</cx:pt>
          <cx:pt idx="608">0.39000000000000001</cx:pt>
          <cx:pt idx="609">0.34999999999999998</cx:pt>
          <cx:pt idx="610">0.34000000000000002</cx:pt>
          <cx:pt idx="611">0.22</cx:pt>
          <cx:pt idx="612">0.42999999999999999</cx:pt>
          <cx:pt idx="613">0.35999999999999999</cx:pt>
          <cx:pt idx="614">0.35499999999999998</cx:pt>
          <cx:pt idx="615">0.23499999999999999</cx:pt>
          <cx:pt idx="616">0.245</cx:pt>
          <cx:pt idx="617">0.20000000000000001</cx:pt>
          <cx:pt idx="618">0.20499999999999999</cx:pt>
          <cx:pt idx="619">0.26000000000000001</cx:pt>
          <cx:pt idx="620">0.33000000000000002</cx:pt>
          <cx:pt idx="621">0.16</cx:pt>
          <cx:pt idx="622">0.27000000000000002</cx:pt>
          <cx:pt idx="623">0.32000000000000001</cx:pt>
          <cx:pt idx="624">0.29999999999999999</cx:pt>
          <cx:pt idx="625">0.46999999999999997</cx:pt>
          <cx:pt idx="626">0.20499999999999999</cx:pt>
          <cx:pt idx="627">0.27000000000000002</cx:pt>
          <cx:pt idx="628">0.30499999999999999</cx:pt>
          <cx:pt idx="629">0.42999999999999999</cx:pt>
          <cx:pt idx="630">0.375</cx:pt>
          <cx:pt idx="631">0.20000000000000001</cx:pt>
          <cx:pt idx="632">0.32500000000000001</cx:pt>
          <cx:pt idx="633">0.44</cx:pt>
          <cx:pt idx="634">0.26000000000000001</cx:pt>
          <cx:pt idx="635">0.38500000000000001</cx:pt>
          <cx:pt idx="636">0.435</cx:pt>
          <cx:pt idx="637">0.20999999999999999</cx:pt>
          <cx:pt idx="638">0.32000000000000001</cx:pt>
          <cx:pt idx="639">0.42999999999999999</cx:pt>
          <cx:pt idx="640">0.46500000000000002</cx:pt>
          <cx:pt idx="641">0.17999999999999999</cx:pt>
          <cx:pt idx="642">0.34499999999999997</cx:pt>
          <cx:pt idx="643">0.34000000000000002</cx:pt>
          <cx:pt idx="644">0.40000000000000002</cx:pt>
          <cx:pt idx="645">0.36499999999999999</cx:pt>
          <cx:pt idx="646">0.20499999999999999</cx:pt>
          <cx:pt idx="647">0.34000000000000002</cx:pt>
          <cx:pt idx="648">0.45000000000000001</cx:pt>
          <cx:pt idx="649">0.41499999999999998</cx:pt>
          <cx:pt idx="650">0.41499999999999998</cx:pt>
          <cx:pt idx="651">0.28999999999999998</cx:pt>
          <cx:pt idx="652">0.38500000000000001</cx:pt>
          <cx:pt idx="653">0.40000000000000002</cx:pt>
          <cx:pt idx="654">0.45000000000000001</cx:pt>
          <cx:pt idx="655">0.14499999999999999</cx:pt>
          <cx:pt idx="656">0.28499999999999998</cx:pt>
          <cx:pt idx="657">0.30499999999999999</cx:pt>
          <cx:pt idx="658">0.45500000000000002</cx:pt>
          <cx:pt idx="659">0.47499999999999998</cx:pt>
          <cx:pt idx="660">0.26500000000000001</cx:pt>
          <cx:pt idx="661">0.44500000000000001</cx:pt>
          <cx:pt idx="662">0.33500000000000002</cx:pt>
          <cx:pt idx="663">0.45500000000000002</cx:pt>
          <cx:pt idx="664">0.36499999999999999</cx:pt>
          <cx:pt idx="665">0.26000000000000001</cx:pt>
          <cx:pt idx="666">0.40999999999999998</cx:pt>
          <cx:pt idx="667">0.37</cx:pt>
          <cx:pt idx="668">0.34999999999999998</cx:pt>
          <cx:pt idx="669">0.22500000000000001</cx:pt>
          <cx:pt idx="670">0.38</cx:pt>
          <cx:pt idx="671">0.36499999999999999</cx:pt>
          <cx:pt idx="672">0.44500000000000001</cx:pt>
          <cx:pt idx="673">0.315</cx:pt>
          <cx:pt idx="674">0.30499999999999999</cx:pt>
          <cx:pt idx="675">0.5</cx:pt>
          <cx:pt idx="676">0.47499999999999998</cx:pt>
          <cx:pt idx="677">0.27500000000000002</cx:pt>
          <cx:pt idx="678">0.28000000000000003</cx:pt>
          <cx:pt idx="679">0.42499999999999999</cx:pt>
          <cx:pt idx="680">0.39000000000000001</cx:pt>
          <cx:pt idx="681">0.41999999999999998</cx:pt>
          <cx:pt idx="682">0.20999999999999999</cx:pt>
          <cx:pt idx="683">0.41999999999999998</cx:pt>
          <cx:pt idx="684">0.35499999999999998</cx:pt>
          <cx:pt idx="685">0.42999999999999999</cx:pt>
          <cx:pt idx="686">0.42499999999999999</cx:pt>
          <cx:pt idx="687">0.36499999999999999</cx:pt>
          <cx:pt idx="688">0.20999999999999999</cx:pt>
          <cx:pt idx="689">0.40500000000000003</cx:pt>
          <cx:pt idx="690">0.42999999999999999</cx:pt>
          <cx:pt idx="691">0.29999999999999999</cx:pt>
          <cx:pt idx="692">0.19500000000000001</cx:pt>
          <cx:pt idx="693">0.41499999999999998</cx:pt>
          <cx:pt idx="694">0.44500000000000001</cx:pt>
          <cx:pt idx="695">0.42499999999999999</cx:pt>
          <cx:pt idx="696">0.45000000000000001</cx:pt>
          <cx:pt idx="697">0.46999999999999997</cx:pt>
          <cx:pt idx="698">0.26500000000000001</cx:pt>
          <cx:pt idx="699">0.10000000000000001</cx:pt>
          <cx:pt idx="700">0.26000000000000001</cx:pt>
          <cx:pt idx="701">0.40999999999999998</cx:pt>
          <cx:pt idx="702">0.38500000000000001</cx:pt>
          <cx:pt idx="703">0.40000000000000002</cx:pt>
          <cx:pt idx="704">0.48499999999999999</cx:pt>
          <cx:pt idx="705">0.11</cx:pt>
          <cx:pt idx="706">0.40999999999999998</cx:pt>
          <cx:pt idx="707">0.36499999999999999</cx:pt>
          <cx:pt idx="708">0.245</cx:pt>
          <cx:pt idx="709">0.45000000000000001</cx:pt>
          <cx:pt idx="710">0.41999999999999998</cx:pt>
          <cx:pt idx="711">0.32500000000000001</cx:pt>
          <cx:pt idx="712">0.315</cx:pt>
          <cx:pt idx="713">0.39000000000000001</cx:pt>
          <cx:pt idx="714">0.27000000000000002</cx:pt>
          <cx:pt idx="715">0.39500000000000002</cx:pt>
          <cx:pt idx="716">0.29999999999999999</cx:pt>
          <cx:pt idx="717">0.37</cx:pt>
          <cx:pt idx="718">0.42999999999999999</cx:pt>
          <cx:pt idx="719">0.29499999999999998</cx:pt>
          <cx:pt idx="720">0.45000000000000001</cx:pt>
          <cx:pt idx="721">0.45000000000000001</cx:pt>
          <cx:pt idx="722">0.39500000000000002</cx:pt>
          <cx:pt idx="723">0.39000000000000001</cx:pt>
          <cx:pt idx="724">0.42999999999999999</cx:pt>
          <cx:pt idx="725">0.31</cx:pt>
          <cx:pt idx="726">0.38</cx:pt>
          <cx:pt idx="727">0.45000000000000001</cx:pt>
          <cx:pt idx="728">0.40999999999999998</cx:pt>
          <cx:pt idx="729">0.38500000000000001</cx:pt>
          <cx:pt idx="730">0.39000000000000001</cx:pt>
          <cx:pt idx="731">0.40999999999999998</cx:pt>
          <cx:pt idx="732">0.32500000000000001</cx:pt>
          <cx:pt idx="733">0.29999999999999999</cx:pt>
          <cx:pt idx="734">0.40000000000000002</cx:pt>
          <cx:pt idx="735">0.42499999999999999</cx:pt>
          <cx:pt idx="736">0.41499999999999998</cx:pt>
          <cx:pt idx="737">0.375</cx:pt>
          <cx:pt idx="738">0.315</cx:pt>
          <cx:pt idx="739">0.33500000000000002</cx:pt>
          <cx:pt idx="740">0.42999999999999999</cx:pt>
          <cx:pt idx="741">0.47499999999999998</cx:pt>
          <cx:pt idx="742">0.27000000000000002</cx:pt>
          <cx:pt idx="743">0.30499999999999999</cx:pt>
          <cx:pt idx="744">0.35999999999999999</cx:pt>
          <cx:pt idx="745">0.375</cx:pt>
          <cx:pt idx="746">0.27500000000000002</cx:pt>
          <cx:pt idx="747">0.38</cx:pt>
          <cx:pt idx="748">0.36499999999999999</cx:pt>
          <cx:pt idx="749">0.22500000000000001</cx:pt>
        </cx:lvl>
      </cx:numDim>
    </cx:data>
  </cx:chartData>
  <cx:chart>
    <cx:title pos="t" align="ctr" overlay="0">
      <cx:tx>
        <cx:txData>
          <cx:v>Distribution of diameter for each Gender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Distribution of diameter for each Gender</a:t>
          </a:r>
        </a:p>
      </cx:txPr>
    </cx:title>
    <cx:plotArea>
      <cx:plotAreaRegion>
        <cx:series layoutId="boxWhisker" uniqueId="{CAA9B124-3F24-4548-9371-29960CBE3DAB}">
          <cx:dataId val="0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Gender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Gender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Diameter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Diameter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1001">
          <cx:pt idx="0">0.11</cx:pt>
          <cx:pt idx="1">0.14999999999999999</cx:pt>
          <cx:pt idx="2">0.17999999999999999</cx:pt>
          <cx:pt idx="3">0.080000000000000002</cx:pt>
          <cx:pt idx="4">0.16500000000000001</cx:pt>
          <cx:pt idx="5">0.155</cx:pt>
          <cx:pt idx="6">0.14000000000000001</cx:pt>
          <cx:pt idx="7">0.17000000000000001</cx:pt>
          <cx:pt idx="8">0.155</cx:pt>
          <cx:pt idx="9">0.085000000000000006</cx:pt>
          <cx:pt idx="10">0.16</cx:pt>
          <cx:pt idx="11">0.13500000000000001</cx:pt>
          <cx:pt idx="12">0.13</cx:pt>
          <cx:pt idx="13">0.14999999999999999</cx:pt>
          <cx:pt idx="14">0.105</cx:pt>
          <cx:pt idx="15">0.13500000000000001</cx:pt>
          <cx:pt idx="16">0.13500000000000001</cx:pt>
          <cx:pt idx="17">0.16</cx:pt>
          <cx:pt idx="18">0.14000000000000001</cx:pt>
          <cx:pt idx="19">0.185</cx:pt>
          <cx:pt idx="20">0.095000000000000001</cx:pt>
          <cx:pt idx="21">0.14999999999999999</cx:pt>
          <cx:pt idx="22">0.155</cx:pt>
          <cx:pt idx="23">0.12</cx:pt>
          <cx:pt idx="24">0.11</cx:pt>
          <cx:pt idx="25">0.17999999999999999</cx:pt>
          <cx:pt idx="26">0.12</cx:pt>
          <cx:pt idx="27">0.12</cx:pt>
          <cx:pt idx="28">0.11</cx:pt>
          <cx:pt idx="29">0.16</cx:pt>
          <cx:pt idx="30">0.125</cx:pt>
          <cx:pt idx="31">0.19</cx:pt>
          <cx:pt idx="32">0.125</cx:pt>
          <cx:pt idx="33">0.12</cx:pt>
          <cx:pt idx="34">0.095000000000000001</cx:pt>
          <cx:pt idx="35">0.17000000000000001</cx:pt>
          <cx:pt idx="36">0.12</cx:pt>
          <cx:pt idx="37">0.105</cx:pt>
          <cx:pt idx="38">0.10000000000000001</cx:pt>
          <cx:pt idx="39">0.14999999999999999</cx:pt>
          <cx:pt idx="40">0.14000000000000001</cx:pt>
          <cx:pt idx="41">0.14000000000000001</cx:pt>
          <cx:pt idx="42">0.17999999999999999</cx:pt>
          <cx:pt idx="43">0.155</cx:pt>
          <cx:pt idx="44">0.17999999999999999</cx:pt>
          <cx:pt idx="45">0.10000000000000001</cx:pt>
          <cx:pt idx="46">0.155</cx:pt>
          <cx:pt idx="47">0.105</cx:pt>
          <cx:pt idx="48">0.10000000000000001</cx:pt>
          <cx:pt idx="49">0.155</cx:pt>
          <cx:pt idx="50">0.12</cx:pt>
          <cx:pt idx="51">0.14000000000000001</cx:pt>
          <cx:pt idx="52">0.080000000000000002</cx:pt>
          <cx:pt idx="53">0.14499999999999999</cx:pt>
          <cx:pt idx="54">0.16</cx:pt>
          <cx:pt idx="55">0.11</cx:pt>
          <cx:pt idx="56">0.14999999999999999</cx:pt>
          <cx:pt idx="57">0.12</cx:pt>
          <cx:pt idx="58">0.12</cx:pt>
          <cx:pt idx="59">0.14999999999999999</cx:pt>
          <cx:pt idx="60">0.14000000000000001</cx:pt>
          <cx:pt idx="61">0.095000000000000001</cx:pt>
          <cx:pt idx="62">0.14499999999999999</cx:pt>
          <cx:pt idx="63">0.115</cx:pt>
          <cx:pt idx="64">0.074999999999999997</cx:pt>
          <cx:pt idx="65">0.14999999999999999</cx:pt>
          <cx:pt idx="66">0.13500000000000001</cx:pt>
          <cx:pt idx="67">0.14999999999999999</cx:pt>
          <cx:pt idx="68">0.185</cx:pt>
          <cx:pt idx="69">0.17000000000000001</cx:pt>
          <cx:pt idx="70">0.155</cx:pt>
          <cx:pt idx="71">0.13500000000000001</cx:pt>
          <cx:pt idx="72">0.11</cx:pt>
          <cx:pt idx="73">0.14000000000000001</cx:pt>
          <cx:pt idx="74">0.12</cx:pt>
          <cx:pt idx="75">0.14499999999999999</cx:pt>
          <cx:pt idx="76">0.12</cx:pt>
          <cx:pt idx="77">0.14000000000000001</cx:pt>
          <cx:pt idx="78">0.13</cx:pt>
          <cx:pt idx="79">0.125</cx:pt>
          <cx:pt idx="80">0.13500000000000001</cx:pt>
          <cx:pt idx="81">0.10000000000000001</cx:pt>
          <cx:pt idx="82">0.16</cx:pt>
          <cx:pt idx="83">0.13500000000000001</cx:pt>
          <cx:pt idx="84">0.095000000000000001</cx:pt>
          <cx:pt idx="85">0.095000000000000001</cx:pt>
          <cx:pt idx="86">0.125</cx:pt>
          <cx:pt idx="87">0.10000000000000001</cx:pt>
          <cx:pt idx="88">0.085000000000000006</cx:pt>
          <cx:pt idx="89">0.14499999999999999</cx:pt>
          <cx:pt idx="90">0.16500000000000001</cx:pt>
          <cx:pt idx="91">0.089999999999999997</cx:pt>
          <cx:pt idx="92">0.089999999999999997</cx:pt>
          <cx:pt idx="93">0.14999999999999999</cx:pt>
          <cx:pt idx="94">0.12</cx:pt>
          <cx:pt idx="95">0.14499999999999999</cx:pt>
          <cx:pt idx="96">0.125</cx:pt>
          <cx:pt idx="97">0.13</cx:pt>
          <cx:pt idx="98">0.115</cx:pt>
          <cx:pt idx="99">0.16500000000000001</cx:pt>
          <cx:pt idx="100">0.17499999999999999</cx:pt>
          <cx:pt idx="101">0.19</cx:pt>
          <cx:pt idx="102">0.089999999999999997</cx:pt>
          <cx:pt idx="103">0.16500000000000001</cx:pt>
          <cx:pt idx="104">0.14999999999999999</cx:pt>
          <cx:pt idx="105">0.10000000000000001</cx:pt>
          <cx:pt idx="106">0.12</cx:pt>
          <cx:pt idx="107">0.125</cx:pt>
          <cx:pt idx="108">0.13500000000000001</cx:pt>
          <cx:pt idx="109">0.10000000000000001</cx:pt>
          <cx:pt idx="110">0.14999999999999999</cx:pt>
          <cx:pt idx="111">0.10000000000000001</cx:pt>
          <cx:pt idx="112">0.13500000000000001</cx:pt>
          <cx:pt idx="113">0.105</cx:pt>
          <cx:pt idx="114">0.16</cx:pt>
          <cx:pt idx="115">0.14000000000000001</cx:pt>
          <cx:pt idx="116">0.12</cx:pt>
          <cx:pt idx="117">0.059999999999999998</cx:pt>
          <cx:pt idx="118">0.13500000000000001</cx:pt>
          <cx:pt idx="119">0.125</cx:pt>
          <cx:pt idx="120">0.13</cx:pt>
          <cx:pt idx="121">0.14000000000000001</cx:pt>
          <cx:pt idx="122">0.16500000000000001</cx:pt>
          <cx:pt idx="123">0.155</cx:pt>
          <cx:pt idx="124">0.115</cx:pt>
          <cx:pt idx="125">0.16</cx:pt>
          <cx:pt idx="126">0.13500000000000001</cx:pt>
          <cx:pt idx="127">0.085000000000000006</cx:pt>
          <cx:pt idx="128">0.16</cx:pt>
          <cx:pt idx="129">0.13500000000000001</cx:pt>
          <cx:pt idx="130">0.12</cx:pt>
          <cx:pt idx="131">0.074999999999999997</cx:pt>
          <cx:pt idx="132">0.074999999999999997</cx:pt>
          <cx:pt idx="133">0.10000000000000001</cx:pt>
          <cx:pt idx="134">0.115</cx:pt>
          <cx:pt idx="135">0.115</cx:pt>
          <cx:pt idx="136">0.14499999999999999</cx:pt>
          <cx:pt idx="137">0.125</cx:pt>
          <cx:pt idx="138">0.070000000000000007</cx:pt>
          <cx:pt idx="139">0.17000000000000001</cx:pt>
          <cx:pt idx="140">0.14999999999999999</cx:pt>
          <cx:pt idx="141">0.13</cx:pt>
          <cx:pt idx="142">0.13</cx:pt>
          <cx:pt idx="143">0.125</cx:pt>
          <cx:pt idx="144">0.085000000000000006</cx:pt>
          <cx:pt idx="145">0.10000000000000001</cx:pt>
          <cx:pt idx="146">0.14000000000000001</cx:pt>
          <cx:pt idx="147">0.14999999999999999</cx:pt>
          <cx:pt idx="148">0.16500000000000001</cx:pt>
          <cx:pt idx="149">0.16500000000000001</cx:pt>
          <cx:pt idx="150">0.055</cx:pt>
          <cx:pt idx="151">0.17000000000000001</cx:pt>
          <cx:pt idx="152">0.095000000000000001</cx:pt>
          <cx:pt idx="153">0.10000000000000001</cx:pt>
          <cx:pt idx="154">0.14499999999999999</cx:pt>
          <cx:pt idx="155">0.12</cx:pt>
          <cx:pt idx="156">0.115</cx:pt>
          <cx:pt idx="157">0.17499999999999999</cx:pt>
          <cx:pt idx="158">0.125</cx:pt>
          <cx:pt idx="159">0.125</cx:pt>
          <cx:pt idx="160">0.155</cx:pt>
          <cx:pt idx="161">0.14499999999999999</cx:pt>
          <cx:pt idx="162">0.17000000000000001</cx:pt>
          <cx:pt idx="163">0.13500000000000001</cx:pt>
          <cx:pt idx="164">0.13500000000000001</cx:pt>
          <cx:pt idx="165">0.14999999999999999</cx:pt>
          <cx:pt idx="166">0.16</cx:pt>
          <cx:pt idx="167">0.185</cx:pt>
          <cx:pt idx="168">0.14000000000000001</cx:pt>
          <cx:pt idx="169">0.115</cx:pt>
          <cx:pt idx="170">0.13500000000000001</cx:pt>
          <cx:pt idx="171">0.085000000000000006</cx:pt>
          <cx:pt idx="172">0.14000000000000001</cx:pt>
          <cx:pt idx="173">0.14499999999999999</cx:pt>
          <cx:pt idx="174">0.17999999999999999</cx:pt>
          <cx:pt idx="175">0.085000000000000006</cx:pt>
          <cx:pt idx="176">0.16</cx:pt>
          <cx:pt idx="177">0.14000000000000001</cx:pt>
          <cx:pt idx="178">0.125</cx:pt>
          <cx:pt idx="179">0.16</cx:pt>
          <cx:pt idx="180">0.11</cx:pt>
          <cx:pt idx="181">0.14499999999999999</cx:pt>
          <cx:pt idx="182">0.13</cx:pt>
          <cx:pt idx="183">0.089999999999999997</cx:pt>
          <cx:pt idx="184">0.085000000000000006</cx:pt>
          <cx:pt idx="185">0.14999999999999999</cx:pt>
          <cx:pt idx="186">0.16</cx:pt>
          <cx:pt idx="187">0.14499999999999999</cx:pt>
          <cx:pt idx="188">0.11</cx:pt>
          <cx:pt idx="189">0.065000000000000002</cx:pt>
          <cx:pt idx="190">0.13500000000000001</cx:pt>
          <cx:pt idx="191">0.125</cx:pt>
          <cx:pt idx="192">0.080000000000000002</cx:pt>
          <cx:pt idx="193">0.11</cx:pt>
          <cx:pt idx="194">0.19</cx:pt>
          <cx:pt idx="195">0.17499999999999999</cx:pt>
          <cx:pt idx="196">0.17499999999999999</cx:pt>
          <cx:pt idx="197">0.13500000000000001</cx:pt>
          <cx:pt idx="198">0.089999999999999997</cx:pt>
          <cx:pt idx="199">0.074999999999999997</cx:pt>
          <cx:pt idx="200">0.17000000000000001</cx:pt>
          <cx:pt idx="201">0.070000000000000007</cx:pt>
          <cx:pt idx="202">0.14000000000000001</cx:pt>
          <cx:pt idx="203">0.125</cx:pt>
          <cx:pt idx="204">0.059999999999999998</cx:pt>
          <cx:pt idx="205">0.125</cx:pt>
          <cx:pt idx="206">0.14999999999999999</cx:pt>
          <cx:pt idx="207">0.105</cx:pt>
          <cx:pt idx="208">0.074999999999999997</cx:pt>
          <cx:pt idx="209">0.14999999999999999</cx:pt>
          <cx:pt idx="210">0.14000000000000001</cx:pt>
          <cx:pt idx="211">0.13500000000000001</cx:pt>
          <cx:pt idx="212">0.155</cx:pt>
          <cx:pt idx="213">0.089999999999999997</cx:pt>
          <cx:pt idx="214">0.14000000000000001</cx:pt>
          <cx:pt idx="215">0.14999999999999999</cx:pt>
          <cx:pt idx="216">0.20000000000000001</cx:pt>
          <cx:pt idx="217">0.044999999999999998</cx:pt>
          <cx:pt idx="218">0.055</cx:pt>
          <cx:pt idx="219">0.17000000000000001</cx:pt>
          <cx:pt idx="220">0.155</cx:pt>
          <cx:pt idx="221">0.12</cx:pt>
          <cx:pt idx="222">0.10000000000000001</cx:pt>
          <cx:pt idx="223">0.13</cx:pt>
          <cx:pt idx="224">0.14000000000000001</cx:pt>
          <cx:pt idx="225">0.089999999999999997</cx:pt>
          <cx:pt idx="226">0.059999999999999998</cx:pt>
          <cx:pt idx="227">0.085000000000000006</cx:pt>
          <cx:pt idx="228">0.14000000000000001</cx:pt>
          <cx:pt idx="229">0.12</cx:pt>
          <cx:pt idx="230">0.089999999999999997</cx:pt>
          <cx:pt idx="231">0.16</cx:pt>
          <cx:pt idx="232">0.14999999999999999</cx:pt>
          <cx:pt idx="233">0.14499999999999999</cx:pt>
          <cx:pt idx="234">0.10000000000000001</cx:pt>
          <cx:pt idx="235">0.19</cx:pt>
          <cx:pt idx="236">0.125</cx:pt>
          <cx:pt idx="237">0.155</cx:pt>
          <cx:pt idx="238">0.155</cx:pt>
          <cx:pt idx="239">0.105</cx:pt>
          <cx:pt idx="240">0.14999999999999999</cx:pt>
          <cx:pt idx="241">0.155</cx:pt>
          <cx:pt idx="242">0.16500000000000001</cx:pt>
          <cx:pt idx="243">0.16</cx:pt>
          <cx:pt idx="244">0.065000000000000002</cx:pt>
          <cx:pt idx="245">0.155</cx:pt>
          <cx:pt idx="246">0.085000000000000006</cx:pt>
          <cx:pt idx="247">0.095000000000000001</cx:pt>
          <cx:pt idx="248">0.13500000000000001</cx:pt>
          <cx:pt idx="249">0.13</cx:pt>
          <cx:pt idx="250">0.125</cx:pt>
          <cx:pt idx="251">0.10000000000000001</cx:pt>
          <cx:pt idx="252">0.17499999999999999</cx:pt>
          <cx:pt idx="253">0.10000000000000001</cx:pt>
          <cx:pt idx="254">0.13500000000000001</cx:pt>
          <cx:pt idx="255">0.11</cx:pt>
          <cx:pt idx="256">0.14499999999999999</cx:pt>
          <cx:pt idx="257">0.115</cx:pt>
          <cx:pt idx="258">0.10000000000000001</cx:pt>
          <cx:pt idx="259">0.14499999999999999</cx:pt>
          <cx:pt idx="260">0.13500000000000001</cx:pt>
          <cx:pt idx="261">0.17000000000000001</cx:pt>
          <cx:pt idx="262">0.13</cx:pt>
          <cx:pt idx="263">0.16500000000000001</cx:pt>
          <cx:pt idx="264">0.10000000000000001</cx:pt>
          <cx:pt idx="265">0.13</cx:pt>
          <cx:pt idx="266">0.14000000000000001</cx:pt>
          <cx:pt idx="267">0.12</cx:pt>
          <cx:pt idx="268">0.16500000000000001</cx:pt>
          <cx:pt idx="269">0.10000000000000001</cx:pt>
          <cx:pt idx="270">0.16</cx:pt>
          <cx:pt idx="271">0.13500000000000001</cx:pt>
          <cx:pt idx="272">0.074999999999999997</cx:pt>
          <cx:pt idx="273">0.10000000000000001</cx:pt>
          <cx:pt idx="274">0.10000000000000001</cx:pt>
          <cx:pt idx="275">0.13</cx:pt>
          <cx:pt idx="276">0.16</cx:pt>
          <cx:pt idx="277">0.14999999999999999</cx:pt>
          <cx:pt idx="278">0.10000000000000001</cx:pt>
          <cx:pt idx="279">0.089999999999999997</cx:pt>
          <cx:pt idx="280">0.125</cx:pt>
          <cx:pt idx="281">0.12</cx:pt>
          <cx:pt idx="282">0.11</cx:pt>
          <cx:pt idx="283">0.050000000000000003</cx:pt>
          <cx:pt idx="284">0.10000000000000001</cx:pt>
          <cx:pt idx="285">0.050000000000000003</cx:pt>
          <cx:pt idx="286">0.13</cx:pt>
          <cx:pt idx="287">0.12</cx:pt>
          <cx:pt idx="288">0.14999999999999999</cx:pt>
          <cx:pt idx="289">0.089999999999999997</cx:pt>
          <cx:pt idx="290">0.14000000000000001</cx:pt>
          <cx:pt idx="291">0.185</cx:pt>
          <cx:pt idx="292">0.080000000000000002</cx:pt>
          <cx:pt idx="293">0.10000000000000001</cx:pt>
          <cx:pt idx="294">0.14999999999999999</cx:pt>
          <cx:pt idx="295">0.089999999999999997</cx:pt>
          <cx:pt idx="296">0.12</cx:pt>
          <cx:pt idx="297">0.13</cx:pt>
          <cx:pt idx="298">0.13</cx:pt>
          <cx:pt idx="299">0.13</cx:pt>
          <cx:pt idx="300">0.14999999999999999</cx:pt>
          <cx:pt idx="301">0.13500000000000001</cx:pt>
          <cx:pt idx="302">0.070000000000000007</cx:pt>
          <cx:pt idx="303">0.17000000000000001</cx:pt>
          <cx:pt idx="304">0.095000000000000001</cx:pt>
          <cx:pt idx="305">0.089999999999999997</cx:pt>
          <cx:pt idx="306">0.155</cx:pt>
          <cx:pt idx="307">0.14499999999999999</cx:pt>
          <cx:pt idx="308">0.14999999999999999</cx:pt>
          <cx:pt idx="309">0.085000000000000006</cx:pt>
          <cx:pt idx="310">0.14999999999999999</cx:pt>
          <cx:pt idx="311">0.085000000000000006</cx:pt>
          <cx:pt idx="312">0.115</cx:pt>
          <cx:pt idx="313">0.155</cx:pt>
          <cx:pt idx="314">0.14000000000000001</cx:pt>
          <cx:pt idx="315">0.13500000000000001</cx:pt>
          <cx:pt idx="316">0.17000000000000001</cx:pt>
          <cx:pt idx="317">0.035000000000000003</cx:pt>
          <cx:pt idx="318">0.13</cx:pt>
          <cx:pt idx="319">0.14499999999999999</cx:pt>
          <cx:pt idx="320">0.080000000000000002</cx:pt>
          <cx:pt idx="321">0.074999999999999997</cx:pt>
          <cx:pt idx="322">0.095000000000000001</cx:pt>
          <cx:pt idx="323">0.13500000000000001</cx:pt>
          <cx:pt idx="324">0.14999999999999999</cx:pt>
          <cx:pt idx="325">0.14999999999999999</cx:pt>
          <cx:pt idx="326">0.095000000000000001</cx:pt>
          <cx:pt idx="327">0.14999999999999999</cx:pt>
          <cx:pt idx="328">0.14499999999999999</cx:pt>
          <cx:pt idx="329">0.13500000000000001</cx:pt>
          <cx:pt idx="330">0.14999999999999999</cx:pt>
          <cx:pt idx="331">0.10000000000000001</cx:pt>
          <cx:pt idx="332">0.155</cx:pt>
          <cx:pt idx="333">0.19</cx:pt>
          <cx:pt idx="334">0.14000000000000001</cx:pt>
          <cx:pt idx="335">0.115</cx:pt>
          <cx:pt idx="336">0.16500000000000001</cx:pt>
          <cx:pt idx="337">0.11</cx:pt>
          <cx:pt idx="338">0.155</cx:pt>
          <cx:pt idx="339">0.17999999999999999</cx:pt>
          <cx:pt idx="340">0.11</cx:pt>
          <cx:pt idx="341">0.125</cx:pt>
          <cx:pt idx="342">0.085000000000000006</cx:pt>
          <cx:pt idx="343">0.095000000000000001</cx:pt>
          <cx:pt idx="344">0.13</cx:pt>
          <cx:pt idx="345">0.17499999999999999</cx:pt>
          <cx:pt idx="346">0.105</cx:pt>
          <cx:pt idx="347">0.074999999999999997</cx:pt>
          <cx:pt idx="348">0.13</cx:pt>
          <cx:pt idx="349">0.14999999999999999</cx:pt>
          <cx:pt idx="350">0.17000000000000001</cx:pt>
          <cx:pt idx="351">0.10000000000000001</cx:pt>
          <cx:pt idx="352">0.12</cx:pt>
          <cx:pt idx="353">0.155</cx:pt>
          <cx:pt idx="354">0.105</cx:pt>
          <cx:pt idx="355">0.10000000000000001</cx:pt>
          <cx:pt idx="356">0.14499999999999999</cx:pt>
          <cx:pt idx="357">0.14999999999999999</cx:pt>
          <cx:pt idx="358">0.074999999999999997</cx:pt>
          <cx:pt idx="359">0.11</cx:pt>
          <cx:pt idx="360">0.105</cx:pt>
          <cx:pt idx="361">0.125</cx:pt>
          <cx:pt idx="362">0.14999999999999999</cx:pt>
          <cx:pt idx="363">0.14000000000000001</cx:pt>
          <cx:pt idx="364">0.125</cx:pt>
          <cx:pt idx="365">0.16</cx:pt>
          <cx:pt idx="366">0.11</cx:pt>
          <cx:pt idx="367">0.070000000000000007</cx:pt>
          <cx:pt idx="368">0.12</cx:pt>
          <cx:pt idx="369">0.125</cx:pt>
          <cx:pt idx="370">0.105</cx:pt>
          <cx:pt idx="371">0.16</cx:pt>
          <cx:pt idx="372">0.13</cx:pt>
          <cx:pt idx="373">0.13500000000000001</cx:pt>
          <cx:pt idx="374">0.155</cx:pt>
          <cx:pt idx="375">0.125</cx:pt>
          <cx:pt idx="376">0.13</cx:pt>
          <cx:pt idx="377">0.070000000000000007</cx:pt>
          <cx:pt idx="378">0.14000000000000001</cx:pt>
          <cx:pt idx="379">0.115</cx:pt>
          <cx:pt idx="380">0.065000000000000002</cx:pt>
          <cx:pt idx="381">0.040000000000000001</cx:pt>
          <cx:pt idx="382">0.13500000000000001</cx:pt>
          <cx:pt idx="383">0.055</cx:pt>
          <cx:pt idx="384">0.089999999999999997</cx:pt>
          <cx:pt idx="385">0.10000000000000001</cx:pt>
          <cx:pt idx="386">0.10000000000000001</cx:pt>
          <cx:pt idx="387">0.13</cx:pt>
          <cx:pt idx="388">0.14999999999999999</cx:pt>
          <cx:pt idx="389">0.105</cx:pt>
          <cx:pt idx="390">0.089999999999999997</cx:pt>
          <cx:pt idx="391">0.14499999999999999</cx:pt>
          <cx:pt idx="392">0.13</cx:pt>
          <cx:pt idx="393">0.12</cx:pt>
          <cx:pt idx="394">0.14499999999999999</cx:pt>
          <cx:pt idx="395">0.13</cx:pt>
          <cx:pt idx="396">0.095000000000000001</cx:pt>
          <cx:pt idx="397">0.125</cx:pt>
          <cx:pt idx="398">0.14000000000000001</cx:pt>
          <cx:pt idx="399">0.105</cx:pt>
          <cx:pt idx="400">0.16500000000000001</cx:pt>
          <cx:pt idx="401">0.14499999999999999</cx:pt>
          <cx:pt idx="402">0.16</cx:pt>
          <cx:pt idx="403">0.089999999999999997</cx:pt>
          <cx:pt idx="404">0.16</cx:pt>
          <cx:pt idx="405">0.105</cx:pt>
          <cx:pt idx="406">0.17499999999999999</cx:pt>
          <cx:pt idx="407">0.16500000000000001</cx:pt>
          <cx:pt idx="408">0.10000000000000001</cx:pt>
          <cx:pt idx="409">0.14000000000000001</cx:pt>
          <cx:pt idx="410">0.11</cx:pt>
          <cx:pt idx="411">0.125</cx:pt>
          <cx:pt idx="412">0.13500000000000001</cx:pt>
          <cx:pt idx="413">0.16500000000000001</cx:pt>
          <cx:pt idx="414">0.16500000000000001</cx:pt>
          <cx:pt idx="415">0.10000000000000001</cx:pt>
          <cx:pt idx="416">0.10000000000000001</cx:pt>
          <cx:pt idx="417">0.16</cx:pt>
          <cx:pt idx="418">0.12</cx:pt>
          <cx:pt idx="419">0.105</cx:pt>
          <cx:pt idx="420">0.074999999999999997</cx:pt>
          <cx:pt idx="421">0.14499999999999999</cx:pt>
          <cx:pt idx="422">0.16</cx:pt>
          <cx:pt idx="423">0.16</cx:pt>
          <cx:pt idx="424">0.089999999999999997</cx:pt>
          <cx:pt idx="425">0.115</cx:pt>
          <cx:pt idx="426">0.155</cx:pt>
          <cx:pt idx="427">0.080000000000000002</cx:pt>
          <cx:pt idx="428">0.10000000000000001</cx:pt>
          <cx:pt idx="429">0.13500000000000001</cx:pt>
          <cx:pt idx="430">0.11</cx:pt>
          <cx:pt idx="431">0.095000000000000001</cx:pt>
          <cx:pt idx="432">0.089999999999999997</cx:pt>
          <cx:pt idx="433">0.16500000000000001</cx:pt>
          <cx:pt idx="434">0.055</cx:pt>
          <cx:pt idx="435">0.13</cx:pt>
          <cx:pt idx="436">0.13</cx:pt>
          <cx:pt idx="437">0.16500000000000001</cx:pt>
          <cx:pt idx="438">0.185</cx:pt>
          <cx:pt idx="439">0.055</cx:pt>
          <cx:pt idx="440">0.155</cx:pt>
          <cx:pt idx="441">0.095000000000000001</cx:pt>
          <cx:pt idx="442">0.12</cx:pt>
          <cx:pt idx="443">0.10000000000000001</cx:pt>
          <cx:pt idx="444">0.080000000000000002</cx:pt>
          <cx:pt idx="445">0.16500000000000001</cx:pt>
          <cx:pt idx="446">0.17499999999999999</cx:pt>
          <cx:pt idx="447">0.14000000000000001</cx:pt>
          <cx:pt idx="448">0.16</cx:pt>
          <cx:pt idx="449">0.115</cx:pt>
          <cx:pt idx="450">0.089999999999999997</cx:pt>
          <cx:pt idx="451">0.14000000000000001</cx:pt>
          <cx:pt idx="452">0.13</cx:pt>
          <cx:pt idx="453">0.13500000000000001</cx:pt>
          <cx:pt idx="454">0.105</cx:pt>
          <cx:pt idx="455">0.13</cx:pt>
          <cx:pt idx="456">0.10000000000000001</cx:pt>
          <cx:pt idx="457">0.040000000000000001</cx:pt>
          <cx:pt idx="458">0.11</cx:pt>
          <cx:pt idx="459">0.125</cx:pt>
          <cx:pt idx="460">0.14499999999999999</cx:pt>
          <cx:pt idx="461">0.13</cx:pt>
          <cx:pt idx="462">0.155</cx:pt>
          <cx:pt idx="463">0.13500000000000001</cx:pt>
          <cx:pt idx="464">0.16500000000000001</cx:pt>
          <cx:pt idx="465">0.155</cx:pt>
          <cx:pt idx="466">0.14499999999999999</cx:pt>
          <cx:pt idx="467">0.10000000000000001</cx:pt>
          <cx:pt idx="468">0.125</cx:pt>
          <cx:pt idx="469">0.14000000000000001</cx:pt>
          <cx:pt idx="470">0.025000000000000001</cx:pt>
          <cx:pt idx="471">0.105</cx:pt>
          <cx:pt idx="472">0.125</cx:pt>
          <cx:pt idx="473">0.089999999999999997</cx:pt>
          <cx:pt idx="474">0.14999999999999999</cx:pt>
          <cx:pt idx="475">0.14999999999999999</cx:pt>
          <cx:pt idx="476">0.14000000000000001</cx:pt>
          <cx:pt idx="477">0.19</cx:pt>
          <cx:pt idx="478">0.13</cx:pt>
          <cx:pt idx="479">0.089999999999999997</cx:pt>
          <cx:pt idx="480">0.14999999999999999</cx:pt>
          <cx:pt idx="481">0.14499999999999999</cx:pt>
          <cx:pt idx="482">0.17499999999999999</cx:pt>
          <cx:pt idx="483">0.13500000000000001</cx:pt>
          <cx:pt idx="484">0.074999999999999997</cx:pt>
          <cx:pt idx="485">0.14499999999999999</cx:pt>
          <cx:pt idx="486">0.14999999999999999</cx:pt>
          <cx:pt idx="487">0.089999999999999997</cx:pt>
          <cx:pt idx="488">0.16</cx:pt>
          <cx:pt idx="489">0.16</cx:pt>
          <cx:pt idx="490">0.13500000000000001</cx:pt>
          <cx:pt idx="491">0.125</cx:pt>
          <cx:pt idx="492">0.105</cx:pt>
          <cx:pt idx="493">0.13500000000000001</cx:pt>
          <cx:pt idx="494">0.16500000000000001</cx:pt>
          <cx:pt idx="495">0.080000000000000002</cx:pt>
          <cx:pt idx="496">0.14499999999999999</cx:pt>
          <cx:pt idx="497">0.12</cx:pt>
          <cx:pt idx="498">0.12</cx:pt>
          <cx:pt idx="499">0.065000000000000002</cx:pt>
          <cx:pt idx="500">0.16500000000000001</cx:pt>
          <cx:pt idx="501">0.12</cx:pt>
          <cx:pt idx="502">0.14499999999999999</cx:pt>
          <cx:pt idx="503">0.12</cx:pt>
          <cx:pt idx="504">0.11</cx:pt>
          <cx:pt idx="505">0.17499999999999999</cx:pt>
          <cx:pt idx="506">0.16</cx:pt>
          <cx:pt idx="507">0.12</cx:pt>
          <cx:pt idx="508">0.17000000000000001</cx:pt>
          <cx:pt idx="509">0.14000000000000001</cx:pt>
          <cx:pt idx="510">0.065000000000000002</cx:pt>
          <cx:pt idx="511">0.17000000000000001</cx:pt>
          <cx:pt idx="512">0.11</cx:pt>
          <cx:pt idx="513">0.13500000000000001</cx:pt>
          <cx:pt idx="514">0.16</cx:pt>
          <cx:pt idx="515">0.13</cx:pt>
          <cx:pt idx="516">0.14999999999999999</cx:pt>
          <cx:pt idx="517">0.13</cx:pt>
          <cx:pt idx="518">0.12</cx:pt>
          <cx:pt idx="519">0.12</cx:pt>
          <cx:pt idx="520">0.155</cx:pt>
          <cx:pt idx="521">0.14499999999999999</cx:pt>
          <cx:pt idx="522">0.065000000000000002</cx:pt>
          <cx:pt idx="523">0.089999999999999997</cx:pt>
          <cx:pt idx="524">0.14999999999999999</cx:pt>
          <cx:pt idx="525">0.17000000000000001</cx:pt>
          <cx:pt idx="526">0.13</cx:pt>
          <cx:pt idx="527">0.14999999999999999</cx:pt>
          <cx:pt idx="528">0.14000000000000001</cx:pt>
          <cx:pt idx="529">0.13500000000000001</cx:pt>
          <cx:pt idx="530">0.12</cx:pt>
          <cx:pt idx="531">0.085000000000000006</cx:pt>
          <cx:pt idx="532">0.055</cx:pt>
          <cx:pt idx="533">0.12</cx:pt>
          <cx:pt idx="534">0.17000000000000001</cx:pt>
          <cx:pt idx="535">0.13</cx:pt>
          <cx:pt idx="536">0.19</cx:pt>
          <cx:pt idx="537">0.14000000000000001</cx:pt>
          <cx:pt idx="538">0.17999999999999999</cx:pt>
          <cx:pt idx="539">0.095000000000000001</cx:pt>
          <cx:pt idx="540">0.14000000000000001</cx:pt>
          <cx:pt idx="541">0.14499999999999999</cx:pt>
          <cx:pt idx="542">0.13500000000000001</cx:pt>
          <cx:pt idx="543">0.14000000000000001</cx:pt>
          <cx:pt idx="544">0.125</cx:pt>
          <cx:pt idx="545">0.10000000000000001</cx:pt>
          <cx:pt idx="546">0.115</cx:pt>
          <cx:pt idx="547">0.13500000000000001</cx:pt>
          <cx:pt idx="548">0.16</cx:pt>
          <cx:pt idx="549">0.065000000000000002</cx:pt>
          <cx:pt idx="550">0.16</cx:pt>
          <cx:pt idx="551">0.17000000000000001</cx:pt>
          <cx:pt idx="552">0.16500000000000001</cx:pt>
          <cx:pt idx="553">0.17499999999999999</cx:pt>
          <cx:pt idx="554">0.12</cx:pt>
          <cx:pt idx="555">0.16</cx:pt>
          <cx:pt idx="556">0.025000000000000001</cx:pt>
          <cx:pt idx="557">0.17999999999999999</cx:pt>
          <cx:pt idx="558">0.10000000000000001</cx:pt>
          <cx:pt idx="559">0.14000000000000001</cx:pt>
          <cx:pt idx="560">0.14999999999999999</cx:pt>
          <cx:pt idx="561">0.19500000000000001</cx:pt>
          <cx:pt idx="562">0.11</cx:pt>
          <cx:pt idx="563">0.13</cx:pt>
          <cx:pt idx="564">0.080000000000000002</cx:pt>
          <cx:pt idx="565">0.089999999999999997</cx:pt>
          <cx:pt idx="566">0.125</cx:pt>
          <cx:pt idx="567">0.105</cx:pt>
          <cx:pt idx="568">0.085000000000000006</cx:pt>
          <cx:pt idx="569">0.10000000000000001</cx:pt>
          <cx:pt idx="570">0.155</cx:pt>
          <cx:pt idx="571">0.13500000000000001</cx:pt>
          <cx:pt idx="572">0.13500000000000001</cx:pt>
          <cx:pt idx="573">0.13</cx:pt>
          <cx:pt idx="574">0.14000000000000001</cx:pt>
          <cx:pt idx="575">0.17499999999999999</cx:pt>
          <cx:pt idx="576">0.13</cx:pt>
          <cx:pt idx="577">0.11</cx:pt>
          <cx:pt idx="578">0.14499999999999999</cx:pt>
          <cx:pt idx="579">0.14999999999999999</cx:pt>
          <cx:pt idx="580">0.13500000000000001</cx:pt>
          <cx:pt idx="581">0.16</cx:pt>
          <cx:pt idx="582">0.13500000000000001</cx:pt>
          <cx:pt idx="583">0.080000000000000002</cx:pt>
          <cx:pt idx="584">0.125</cx:pt>
          <cx:pt idx="585">0.080000000000000002</cx:pt>
          <cx:pt idx="586">0.14499999999999999</cx:pt>
          <cx:pt idx="587">0.125</cx:pt>
          <cx:pt idx="588">0.11</cx:pt>
          <cx:pt idx="589">0.089999999999999997</cx:pt>
          <cx:pt idx="590">0.089999999999999997</cx:pt>
          <cx:pt idx="591">0.12</cx:pt>
          <cx:pt idx="592">0.23000000000000001</cx:pt>
          <cx:pt idx="593">0.14000000000000001</cx:pt>
          <cx:pt idx="594">0.055</cx:pt>
          <cx:pt idx="595">0.095000000000000001</cx:pt>
          <cx:pt idx="596">0.14000000000000001</cx:pt>
          <cx:pt idx="597">0.089999999999999997</cx:pt>
          <cx:pt idx="598">0.105</cx:pt>
          <cx:pt idx="599">0.105</cx:pt>
          <cx:pt idx="600">0.095000000000000001</cx:pt>
          <cx:pt idx="601">0.105</cx:pt>
          <cx:pt idx="602">0.12</cx:pt>
          <cx:pt idx="603">0.080000000000000002</cx:pt>
          <cx:pt idx="604">0.11</cx:pt>
          <cx:pt idx="605">0.14999999999999999</cx:pt>
          <cx:pt idx="606">0.12</cx:pt>
          <cx:pt idx="607">0.125</cx:pt>
          <cx:pt idx="608">0.085000000000000006</cx:pt>
          <cx:pt idx="609">0.095000000000000001</cx:pt>
          <cx:pt idx="610">0.14999999999999999</cx:pt>
          <cx:pt idx="611">0.14999999999999999</cx:pt>
          <cx:pt idx="612">0.14000000000000001</cx:pt>
          <cx:pt idx="613">0.17000000000000001</cx:pt>
          <cx:pt idx="614">0.115</cx:pt>
          <cx:pt idx="615">0.14000000000000001</cx:pt>
          <cx:pt idx="616">0.16500000000000001</cx:pt>
          <cx:pt idx="617">0.055</cx:pt>
          <cx:pt idx="618">0.029999999999999999</cx:pt>
          <cx:pt idx="619">0.16500000000000001</cx:pt>
          <cx:pt idx="620">0.080000000000000002</cx:pt>
          <cx:pt idx="621">0.080000000000000002</cx:pt>
          <cx:pt idx="622">0.14999999999999999</cx:pt>
          <cx:pt idx="623">0.14999999999999999</cx:pt>
          <cx:pt idx="624">0.16500000000000001</cx:pt>
          <cx:pt idx="625">0.14000000000000001</cx:pt>
          <cx:pt idx="626">0.155</cx:pt>
          <cx:pt idx="627">0.125</cx:pt>
          <cx:pt idx="628">0.11</cx:pt>
          <cx:pt idx="629">0.085000000000000006</cx:pt>
          <cx:pt idx="630">0.17999999999999999</cx:pt>
          <cx:pt idx="631">0.14000000000000001</cx:pt>
          <cx:pt idx="632">0.14999999999999999</cx:pt>
          <cx:pt idx="633">0.13</cx:pt>
          <cx:pt idx="634">0.14999999999999999</cx:pt>
          <cx:pt idx="635">0.13</cx:pt>
          <cx:pt idx="636">0.14499999999999999</cx:pt>
          <cx:pt idx="637">0.14999999999999999</cx:pt>
          <cx:pt idx="638">0.13500000000000001</cx:pt>
          <cx:pt idx="639">0.14999999999999999</cx:pt>
          <cx:pt idx="640">0.185</cx:pt>
          <cx:pt idx="641">0.13500000000000001</cx:pt>
          <cx:pt idx="642">0.035000000000000003</cx:pt>
          <cx:pt idx="643">0.055</cx:pt>
          <cx:pt idx="644">0.16</cx:pt>
          <cx:pt idx="645">0.115</cx:pt>
          <cx:pt idx="646">0.17499999999999999</cx:pt>
          <cx:pt idx="647">0.125</cx:pt>
          <cx:pt idx="648">0.095000000000000001</cx:pt>
          <cx:pt idx="649">0.155</cx:pt>
          <cx:pt idx="650">0.085000000000000006</cx:pt>
          <cx:pt idx="651">0.13</cx:pt>
          <cx:pt idx="652">0.089999999999999997</cx:pt>
          <cx:pt idx="653">0.13</cx:pt>
          <cx:pt idx="654">0.095000000000000001</cx:pt>
          <cx:pt idx="655">0.14499999999999999</cx:pt>
          <cx:pt idx="656">0.105</cx:pt>
          <cx:pt idx="657">0.17000000000000001</cx:pt>
          <cx:pt idx="658">0.125</cx:pt>
          <cx:pt idx="659">0.12</cx:pt>
          <cx:pt idx="660">0.11</cx:pt>
          <cx:pt idx="661">0.14000000000000001</cx:pt>
          <cx:pt idx="662">0.185</cx:pt>
          <cx:pt idx="663">0.115</cx:pt>
          <cx:pt idx="664">0.105</cx:pt>
          <cx:pt idx="665">0.105</cx:pt>
          <cx:pt idx="666">0.155</cx:pt>
          <cx:pt idx="667">0.19</cx:pt>
          <cx:pt idx="668">0.070000000000000007</cx:pt>
          <cx:pt idx="669">0.155</cx:pt>
          <cx:pt idx="670">0.089999999999999997</cx:pt>
          <cx:pt idx="671">0.074999999999999997</cx:pt>
          <cx:pt idx="672">0.085000000000000006</cx:pt>
          <cx:pt idx="673">0.17999999999999999</cx:pt>
          <cx:pt idx="674">0.12</cx:pt>
          <cx:pt idx="675">0.014999999999999999</cx:pt>
          <cx:pt idx="676">0.16500000000000001</cx:pt>
          <cx:pt idx="677">0.105</cx:pt>
          <cx:pt idx="678">0.12</cx:pt>
          <cx:pt idx="679">0.095000000000000001</cx:pt>
          <cx:pt idx="680">0.14000000000000001</cx:pt>
          <cx:pt idx="681">0.085000000000000006</cx:pt>
          <cx:pt idx="682">0.14999999999999999</cx:pt>
          <cx:pt idx="683">0.17999999999999999</cx:pt>
          <cx:pt idx="684">0.14000000000000001</cx:pt>
          <cx:pt idx="685">0.040000000000000001</cx:pt>
          <cx:pt idx="686">0.12</cx:pt>
          <cx:pt idx="687">0.14999999999999999</cx:pt>
          <cx:pt idx="688">0.17499999999999999</cx:pt>
          <cx:pt idx="689">0.115</cx:pt>
          <cx:pt idx="690">0.16</cx:pt>
          <cx:pt idx="691">0.14000000000000001</cx:pt>
          <cx:pt idx="692">0.12</cx:pt>
          <cx:pt idx="693">0.12</cx:pt>
          <cx:pt idx="694">0.14999999999999999</cx:pt>
          <cx:pt idx="695">0.14999999999999999</cx:pt>
          <cx:pt idx="696">0.13500000000000001</cx:pt>
          <cx:pt idx="697">0.12</cx:pt>
          <cx:pt idx="698">0.059999999999999998</cx:pt>
          <cx:pt idx="699">0.125</cx:pt>
          <cx:pt idx="700">0.14999999999999999</cx:pt>
          <cx:pt idx="701">0.16500000000000001</cx:pt>
          <cx:pt idx="702">0.14499999999999999</cx:pt>
          <cx:pt idx="703">0.14999999999999999</cx:pt>
          <cx:pt idx="704">0.14499999999999999</cx:pt>
          <cx:pt idx="705">0.14999999999999999</cx:pt>
          <cx:pt idx="706">0.17000000000000001</cx:pt>
          <cx:pt idx="707">0.155</cx:pt>
          <cx:pt idx="708">0.115</cx:pt>
          <cx:pt idx="709">0.10000000000000001</cx:pt>
          <cx:pt idx="710">0.17000000000000001</cx:pt>
          <cx:pt idx="711">0.14000000000000001</cx:pt>
          <cx:pt idx="712">0.055</cx:pt>
          <cx:pt idx="713">0.13500000000000001</cx:pt>
          <cx:pt idx="714">0.125</cx:pt>
          <cx:pt idx="715">0.16</cx:pt>
          <cx:pt idx="716">0.125</cx:pt>
          <cx:pt idx="717">0.14499999999999999</cx:pt>
          <cx:pt idx="718">0.19</cx:pt>
          <cx:pt idx="719">0.13</cx:pt>
          <cx:pt idx="720">0.125</cx:pt>
          <cx:pt idx="721">0.12</cx:pt>
          <cx:pt idx="722">0.17499999999999999</cx:pt>
          <cx:pt idx="723">0.12</cx:pt>
          <cx:pt idx="724">0.16</cx:pt>
          <cx:pt idx="725">0.17999999999999999</cx:pt>
          <cx:pt idx="726">0.16500000000000001</cx:pt>
          <cx:pt idx="727">0.14999999999999999</cx:pt>
          <cx:pt idx="728">0.17999999999999999</cx:pt>
          <cx:pt idx="729">0.14999999999999999</cx:pt>
          <cx:pt idx="730">0.095000000000000001</cx:pt>
          <cx:pt idx="731">0.16500000000000001</cx:pt>
          <cx:pt idx="732">0.125</cx:pt>
          <cx:pt idx="733">0</cx:pt>
          <cx:pt idx="734">0.13</cx:pt>
          <cx:pt idx="735">0.074999999999999997</cx:pt>
          <cx:pt idx="736">0.105</cx:pt>
          <cx:pt idx="737">0.105</cx:pt>
          <cx:pt idx="738">0.14499999999999999</cx:pt>
          <cx:pt idx="739">0.16</cx:pt>
          <cx:pt idx="740">0.089999999999999997</cx:pt>
          <cx:pt idx="741">0.14499999999999999</cx:pt>
          <cx:pt idx="742">0.10000000000000001</cx:pt>
          <cx:pt idx="743">0.089999999999999997</cx:pt>
          <cx:pt idx="744">0.13500000000000001</cx:pt>
          <cx:pt idx="745">0.089999999999999997</cx:pt>
          <cx:pt idx="746">0.155</cx:pt>
          <cx:pt idx="747">0.14999999999999999</cx:pt>
          <cx:pt idx="748">0.155</cx:pt>
          <cx:pt idx="749">0.17999999999999999</cx:pt>
          <cx:pt idx="750">0.085000000000000006</cx:pt>
          <cx:pt idx="751">0.11</cx:pt>
          <cx:pt idx="752">0.125</cx:pt>
          <cx:pt idx="753">0.14499999999999999</cx:pt>
          <cx:pt idx="754">0.17999999999999999</cx:pt>
          <cx:pt idx="755">0.14999999999999999</cx:pt>
          <cx:pt idx="756">0.16</cx:pt>
          <cx:pt idx="757">0.125</cx:pt>
          <cx:pt idx="758">0.13500000000000001</cx:pt>
          <cx:pt idx="759">0.074999999999999997</cx:pt>
          <cx:pt idx="760">0.089999999999999997</cx:pt>
          <cx:pt idx="761">0.115</cx:pt>
          <cx:pt idx="762">0.125</cx:pt>
          <cx:pt idx="763">0.070000000000000007</cx:pt>
          <cx:pt idx="764">0.125</cx:pt>
          <cx:pt idx="765">0.095000000000000001</cx:pt>
          <cx:pt idx="766">0.095000000000000001</cx:pt>
          <cx:pt idx="767">0.13500000000000001</cx:pt>
          <cx:pt idx="768">0.16500000000000001</cx:pt>
          <cx:pt idx="769">0.10000000000000001</cx:pt>
          <cx:pt idx="770">0.105</cx:pt>
          <cx:pt idx="771">0.10000000000000001</cx:pt>
          <cx:pt idx="772">0.16500000000000001</cx:pt>
          <cx:pt idx="773">0.17000000000000001</cx:pt>
          <cx:pt idx="774">0.14000000000000001</cx:pt>
          <cx:pt idx="775">0.17499999999999999</cx:pt>
          <cx:pt idx="776">0.13</cx:pt>
          <cx:pt idx="777">0.115</cx:pt>
          <cx:pt idx="778">0.11</cx:pt>
          <cx:pt idx="779">0.14999999999999999</cx:pt>
          <cx:pt idx="780">0.14000000000000001</cx:pt>
          <cx:pt idx="781">0.13</cx:pt>
          <cx:pt idx="782">0.085000000000000006</cx:pt>
          <cx:pt idx="783">0.14499999999999999</cx:pt>
          <cx:pt idx="784">0.13500000000000001</cx:pt>
          <cx:pt idx="785">0.105</cx:pt>
          <cx:pt idx="786">0.125</cx:pt>
          <cx:pt idx="787">0.13</cx:pt>
          <cx:pt idx="788">0.14999999999999999</cx:pt>
          <cx:pt idx="789">0.20000000000000001</cx:pt>
          <cx:pt idx="790">0.13500000000000001</cx:pt>
          <cx:pt idx="791">0.13500000000000001</cx:pt>
          <cx:pt idx="792">0.105</cx:pt>
          <cx:pt idx="793">0.089999999999999997</cx:pt>
          <cx:pt idx="794">0.095000000000000001</cx:pt>
          <cx:pt idx="795">0.044999999999999998</cx:pt>
          <cx:pt idx="796">0.14000000000000001</cx:pt>
          <cx:pt idx="797">0.16500000000000001</cx:pt>
          <cx:pt idx="798">0.17000000000000001</cx:pt>
          <cx:pt idx="799">0.095000000000000001</cx:pt>
          <cx:pt idx="800">0.11</cx:pt>
          <cx:pt idx="801">0.14499999999999999</cx:pt>
          <cx:pt idx="802">0.125</cx:pt>
          <cx:pt idx="803">0.125</cx:pt>
          <cx:pt idx="804">0.115</cx:pt>
          <cx:pt idx="805">0.13</cx:pt>
          <cx:pt idx="806">0.155</cx:pt>
          <cx:pt idx="807">0.14499999999999999</cx:pt>
          <cx:pt idx="808">0.065000000000000002</cx:pt>
          <cx:pt idx="809">0.125</cx:pt>
          <cx:pt idx="810">0.115</cx:pt>
          <cx:pt idx="811">0.16</cx:pt>
          <cx:pt idx="812">0.125</cx:pt>
          <cx:pt idx="813">0.16500000000000001</cx:pt>
          <cx:pt idx="814">0.080000000000000002</cx:pt>
          <cx:pt idx="815">0.074999999999999997</cx:pt>
          <cx:pt idx="816">0.065000000000000002</cx:pt>
          <cx:pt idx="817">0.070000000000000007</cx:pt>
          <cx:pt idx="818">0.085000000000000006</cx:pt>
          <cx:pt idx="819">0.14499999999999999</cx:pt>
          <cx:pt idx="820">0.10000000000000001</cx:pt>
          <cx:pt idx="821">0.040000000000000001</cx:pt>
          <cx:pt idx="822">0.089999999999999997</cx:pt>
          <cx:pt idx="823">0.16500000000000001</cx:pt>
          <cx:pt idx="824">0.10000000000000001</cx:pt>
          <cx:pt idx="825">0.13</cx:pt>
          <cx:pt idx="826">0.095000000000000001</cx:pt>
          <cx:pt idx="827">0.16</cx:pt>
          <cx:pt idx="828">0.20000000000000001</cx:pt>
          <cx:pt idx="829">0.080000000000000002</cx:pt>
          <cx:pt idx="830">0.17999999999999999</cx:pt>
          <cx:pt idx="831">0.11</cx:pt>
          <cx:pt idx="832">0.10000000000000001</cx:pt>
          <cx:pt idx="833">0.17499999999999999</cx:pt>
          <cx:pt idx="834">0.16500000000000001</cx:pt>
          <cx:pt idx="835">0.16500000000000001</cx:pt>
          <cx:pt idx="836">0.14999999999999999</cx:pt>
          <cx:pt idx="837">0.155</cx:pt>
          <cx:pt idx="838">0.16500000000000001</cx:pt>
          <cx:pt idx="839">0.14999999999999999</cx:pt>
          <cx:pt idx="840">0.16500000000000001</cx:pt>
          <cx:pt idx="841">0.080000000000000002</cx:pt>
          <cx:pt idx="842">0.10000000000000001</cx:pt>
          <cx:pt idx="843">0.17499999999999999</cx:pt>
          <cx:pt idx="844">0.16500000000000001</cx:pt>
          <cx:pt idx="845">0.125</cx:pt>
          <cx:pt idx="846">0.089999999999999997</cx:pt>
          <cx:pt idx="847">0.14000000000000001</cx:pt>
          <cx:pt idx="848">0.14999999999999999</cx:pt>
          <cx:pt idx="849">0.059999999999999998</cx:pt>
          <cx:pt idx="850">0.12</cx:pt>
          <cx:pt idx="851">0.14000000000000001</cx:pt>
          <cx:pt idx="852">0.14499999999999999</cx:pt>
          <cx:pt idx="853">0.065000000000000002</cx:pt>
          <cx:pt idx="854">0.115</cx:pt>
          <cx:pt idx="855">0.095000000000000001</cx:pt>
          <cx:pt idx="856">0.12</cx:pt>
          <cx:pt idx="857">0.115</cx:pt>
          <cx:pt idx="858">0.070000000000000007</cx:pt>
          <cx:pt idx="859">0.14000000000000001</cx:pt>
          <cx:pt idx="860">0.17999999999999999</cx:pt>
          <cx:pt idx="861">0.185</cx:pt>
          <cx:pt idx="862">0.17999999999999999</cx:pt>
          <cx:pt idx="863">0.17999999999999999</cx:pt>
          <cx:pt idx="864">0.155</cx:pt>
          <cx:pt idx="865">0.13500000000000001</cx:pt>
          <cx:pt idx="866">0.080000000000000002</cx:pt>
          <cx:pt idx="867">0.16500000000000001</cx:pt>
          <cx:pt idx="868">0.115</cx:pt>
          <cx:pt idx="869">0.14000000000000001</cx:pt>
          <cx:pt idx="870">0.125</cx:pt>
          <cx:pt idx="871">0.13</cx:pt>
          <cx:pt idx="872">0.059999999999999998</cx:pt>
          <cx:pt idx="873">0.185</cx:pt>
          <cx:pt idx="874">0.085000000000000006</cx:pt>
          <cx:pt idx="875">0.105</cx:pt>
          <cx:pt idx="876">0.22500000000000001</cx:pt>
          <cx:pt idx="877">0.16</cx:pt>
          <cx:pt idx="878">0.070000000000000007</cx:pt>
          <cx:pt idx="879">0.14499999999999999</cx:pt>
          <cx:pt idx="880">0.11</cx:pt>
          <cx:pt idx="881">0.14999999999999999</cx:pt>
          <cx:pt idx="882">0.155</cx:pt>
          <cx:pt idx="883">0.105</cx:pt>
          <cx:pt idx="884">0.080000000000000002</cx:pt>
          <cx:pt idx="885">0.16500000000000001</cx:pt>
          <cx:pt idx="886">0.115</cx:pt>
          <cx:pt idx="887">0.14000000000000001</cx:pt>
          <cx:pt idx="888">0.070000000000000007</cx:pt>
          <cx:pt idx="889">0.13500000000000001</cx:pt>
          <cx:pt idx="890">0.14999999999999999</cx:pt>
          <cx:pt idx="891">0.14499999999999999</cx:pt>
          <cx:pt idx="892">0.16500000000000001</cx:pt>
          <cx:pt idx="893">0.155</cx:pt>
          <cx:pt idx="894">0.089999999999999997</cx:pt>
          <cx:pt idx="895">0.16</cx:pt>
          <cx:pt idx="896">0.11</cx:pt>
          <cx:pt idx="897">0.16</cx:pt>
          <cx:pt idx="898">0.13</cx:pt>
          <cx:pt idx="899">0.14499999999999999</cx:pt>
          <cx:pt idx="900">0.16</cx:pt>
          <cx:pt idx="901">0.10000000000000001</cx:pt>
          <cx:pt idx="902">0.095000000000000001</cx:pt>
          <cx:pt idx="903">0.14499999999999999</cx:pt>
          <cx:pt idx="904">0.16</cx:pt>
          <cx:pt idx="905">0.13500000000000001</cx:pt>
          <cx:pt idx="906">0.065000000000000002</cx:pt>
          <cx:pt idx="907">0.115</cx:pt>
          <cx:pt idx="908">0.115</cx:pt>
          <cx:pt idx="909">0.14999999999999999</cx:pt>
          <cx:pt idx="910">0.125</cx:pt>
          <cx:pt idx="911">0.13</cx:pt>
          <cx:pt idx="912">0.070000000000000007</cx:pt>
          <cx:pt idx="913">0.125</cx:pt>
          <cx:pt idx="914">0.13</cx:pt>
          <cx:pt idx="915">0.13</cx:pt>
          <cx:pt idx="916">0.19</cx:pt>
          <cx:pt idx="917">0.074999999999999997</cx:pt>
          <cx:pt idx="918">0.065000000000000002</cx:pt>
          <cx:pt idx="919">0.17499999999999999</cx:pt>
          <cx:pt idx="920">0.19500000000000001</cx:pt>
          <cx:pt idx="921">0.16</cx:pt>
          <cx:pt idx="922">0.14000000000000001</cx:pt>
          <cx:pt idx="923">0.16</cx:pt>
          <cx:pt idx="924">0.14000000000000001</cx:pt>
          <cx:pt idx="925">0.14000000000000001</cx:pt>
          <cx:pt idx="926">0.13</cx:pt>
          <cx:pt idx="927">0.17000000000000001</cx:pt>
          <cx:pt idx="928">0.16500000000000001</cx:pt>
          <cx:pt idx="929">0.11</cx:pt>
          <cx:pt idx="930">0.029999999999999999</cx:pt>
          <cx:pt idx="931">0.089999999999999997</cx:pt>
          <cx:pt idx="932">0.125</cx:pt>
          <cx:pt idx="933">0.14000000000000001</cx:pt>
          <cx:pt idx="934">0.115</cx:pt>
          <cx:pt idx="935">0.13500000000000001</cx:pt>
          <cx:pt idx="936">0.20499999999999999</cx:pt>
          <cx:pt idx="937">0.16500000000000001</cx:pt>
          <cx:pt idx="938">0.040000000000000001</cx:pt>
          <cx:pt idx="939">0.115</cx:pt>
          <cx:pt idx="940">0.12</cx:pt>
          <cx:pt idx="941">0.085000000000000006</cx:pt>
          <cx:pt idx="942">0.17000000000000001</cx:pt>
          <cx:pt idx="943">0.14000000000000001</cx:pt>
          <cx:pt idx="944">0.16500000000000001</cx:pt>
          <cx:pt idx="945">0.155</cx:pt>
          <cx:pt idx="946">0.16</cx:pt>
          <cx:pt idx="947">0.10000000000000001</cx:pt>
          <cx:pt idx="948">0.105</cx:pt>
          <cx:pt idx="949">0.13</cx:pt>
          <cx:pt idx="950">0.14000000000000001</cx:pt>
          <cx:pt idx="951">0.074999999999999997</cx:pt>
          <cx:pt idx="952">0.14499999999999999</cx:pt>
          <cx:pt idx="953">0.125</cx:pt>
          <cx:pt idx="954">0.16500000000000001</cx:pt>
          <cx:pt idx="955">0.13</cx:pt>
          <cx:pt idx="956">0.12</cx:pt>
          <cx:pt idx="957">0.14499999999999999</cx:pt>
          <cx:pt idx="958">0.16500000000000001</cx:pt>
          <cx:pt idx="959">0.115</cx:pt>
          <cx:pt idx="960">0.13500000000000001</cx:pt>
          <cx:pt idx="961">0.20499999999999999</cx:pt>
          <cx:pt idx="962">0.13500000000000001</cx:pt>
          <cx:pt idx="963">0.13500000000000001</cx:pt>
          <cx:pt idx="964">0.12</cx:pt>
          <cx:pt idx="965">0.13</cx:pt>
          <cx:pt idx="966">0.11</cx:pt>
          <cx:pt idx="967">0.155</cx:pt>
          <cx:pt idx="968">0.14999999999999999</cx:pt>
          <cx:pt idx="969">0.125</cx:pt>
          <cx:pt idx="970">0.125</cx:pt>
          <cx:pt idx="971">0.125</cx:pt>
          <cx:pt idx="972">0.17000000000000001</cx:pt>
          <cx:pt idx="973">0.13</cx:pt>
          <cx:pt idx="974">0.14499999999999999</cx:pt>
          <cx:pt idx="975">0.10000000000000001</cx:pt>
          <cx:pt idx="976">0.089999999999999997</cx:pt>
          <cx:pt idx="977">0.14000000000000001</cx:pt>
          <cx:pt idx="978">0.12</cx:pt>
          <cx:pt idx="979">0.14999999999999999</cx:pt>
          <cx:pt idx="980">0.155</cx:pt>
          <cx:pt idx="981">0.14499999999999999</cx:pt>
          <cx:pt idx="982">0.19</cx:pt>
          <cx:pt idx="983">0.125</cx:pt>
          <cx:pt idx="984">0.10000000000000001</cx:pt>
          <cx:pt idx="985">0.13</cx:pt>
          <cx:pt idx="986">0.14499999999999999</cx:pt>
          <cx:pt idx="987">0.185</cx:pt>
          <cx:pt idx="988">0.155</cx:pt>
          <cx:pt idx="989">0.105</cx:pt>
          <cx:pt idx="990">0.089999999999999997</cx:pt>
          <cx:pt idx="991">0.14999999999999999</cx:pt>
          <cx:pt idx="992">0.14999999999999999</cx:pt>
          <cx:pt idx="993">0.13</cx:pt>
          <cx:pt idx="994">0.11</cx:pt>
          <cx:pt idx="995">0.115</cx:pt>
          <cx:pt idx="996">0.13500000000000001</cx:pt>
          <cx:pt idx="997">0.115</cx:pt>
          <cx:pt idx="998">0.14999999999999999</cx:pt>
          <cx:pt idx="999">0.074999999999999997</cx:pt>
        </cx:lvl>
      </cx:numDim>
    </cx:data>
  </cx:chartData>
  <cx:chart>
    <cx:plotArea>
      <cx:plotAreaRegion>
        <cx:series layoutId="clusteredColumn" uniqueId="{1550A4E2-CB02-4D14-9AB8-084E0D04B7E4}">
          <cx:tx>
            <cx:txData>
              <cx:v>Height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2.19000006"/>
        <cx:title>
          <cx:tx>
            <cx:txData>
              <cx:v>Height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Height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Ring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Ring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Relation between whole weight and Gender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9FA97967-CB38-4B5B-9DB4-BBB9991B696E}">
          <cx:tx>
            <cx:txData>
              <cx:f>_xlchart.v1.3</cx:f>
              <cx:v>Whole_weight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Gender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Gender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Whole Weight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879</xdr:row>
      <xdr:rowOff>38100</xdr:rowOff>
    </xdr:from>
    <xdr:to>
      <xdr:col>14</xdr:col>
      <xdr:colOff>0</xdr:colOff>
      <xdr:row>893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9FF2CA-43A3-4B1F-A1CD-5A8DC367BD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32</xdr:row>
      <xdr:rowOff>85725</xdr:rowOff>
    </xdr:from>
    <xdr:to>
      <xdr:col>14</xdr:col>
      <xdr:colOff>304800</xdr:colOff>
      <xdr:row>46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006C93F-6EB7-4B03-8428-C68CFBA823D7}"/>
                </a:ext>
                <a:ext uri="{147F2762-F138-4A5C-976F-8EAC2B608ADB}">
                  <a16:predDERef xmlns:a16="http://schemas.microsoft.com/office/drawing/2014/main" pred="{0E605C4A-200B-42F9-B84B-231B253A1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48</xdr:row>
      <xdr:rowOff>0</xdr:rowOff>
    </xdr:from>
    <xdr:to>
      <xdr:col>14</xdr:col>
      <xdr:colOff>304800</xdr:colOff>
      <xdr:row>62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6">
              <a:extLst>
                <a:ext uri="{FF2B5EF4-FFF2-40B4-BE49-F238E27FC236}">
                  <a16:creationId xmlns:a16="http://schemas.microsoft.com/office/drawing/2014/main" id="{58DCC182-2D88-445D-92E2-5637E7976CCA}"/>
                </a:ext>
                <a:ext uri="{147F2762-F138-4A5C-976F-8EAC2B608ADB}">
                  <a16:predDERef xmlns:a16="http://schemas.microsoft.com/office/drawing/2014/main" pred="{F006C93F-6EB7-4B03-8428-C68CFBA823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600075</xdr:colOff>
      <xdr:row>16</xdr:row>
      <xdr:rowOff>114300</xdr:rowOff>
    </xdr:from>
    <xdr:to>
      <xdr:col>14</xdr:col>
      <xdr:colOff>295275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457749-F7B4-4527-A510-7CA555149065}"/>
            </a:ext>
            <a:ext uri="{147F2762-F138-4A5C-976F-8EAC2B608ADB}">
              <a16:predDERef xmlns:a16="http://schemas.microsoft.com/office/drawing/2014/main" pred="{58DCC182-2D88-445D-92E2-5637E7976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600075</xdr:colOff>
      <xdr:row>0</xdr:row>
      <xdr:rowOff>95250</xdr:rowOff>
    </xdr:from>
    <xdr:to>
      <xdr:col>14</xdr:col>
      <xdr:colOff>295275</xdr:colOff>
      <xdr:row>15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94A3A3F-68B5-4A1B-8BC5-2CFC69C2D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ba asghar" refreshedDate="45759.639899652779" createdVersion="8" refreshedVersion="8" minRefreshableVersion="3" recordCount="1002" xr:uid="{73F392F6-E53E-46B4-91B6-DD2E3FEA3B47}">
  <cacheSource type="worksheet">
    <worksheetSource ref="A1:Q1048576" sheet="Personal Data"/>
  </cacheSource>
  <cacheFields count="17">
    <cacheField name="cc" numFmtId="0">
      <sharedItems containsString="0" containsBlank="1" containsNumber="1" containsInteger="1" minValue="1" maxValue="4175"/>
    </cacheField>
    <cacheField name="Gender" numFmtId="0">
      <sharedItems containsBlank="1"/>
    </cacheField>
    <cacheField name="Length" numFmtId="0">
      <sharedItems containsString="0" containsBlank="1" containsNumber="1" minValue="0.11" maxValue="0.72"/>
    </cacheField>
    <cacheField name="Diameter" numFmtId="0">
      <sharedItems containsString="0" containsBlank="1" containsNumber="1" minValue="0.09" maxValue="0.56499999999999995"/>
    </cacheField>
    <cacheField name="Height" numFmtId="0">
      <sharedItems containsString="0" containsBlank="1" containsNumber="1" minValue="0" maxValue="0.23"/>
    </cacheField>
    <cacheField name="Whole_weight" numFmtId="0">
      <sharedItems containsString="0" containsBlank="1" containsNumber="1" minValue="8.0000000000000002E-3" maxValue="1.2435"/>
    </cacheField>
    <cacheField name="Shucked_weight" numFmtId="0">
      <sharedItems containsString="0" containsBlank="1" containsNumber="1" minValue="2.5000000000000001E-3" maxValue="0.70699999999999996"/>
    </cacheField>
    <cacheField name="Viscera_weight" numFmtId="0">
      <sharedItems containsString="0" containsBlank="1" containsNumber="1" minValue="2E-3" maxValue="0.4365"/>
    </cacheField>
    <cacheField name="Shell_weight" numFmtId="0">
      <sharedItems containsString="0" containsBlank="1" containsNumber="1" minValue="3.0000000000000001E-3" maxValue="0.52500000000000002"/>
    </cacheField>
    <cacheField name="Rings" numFmtId="0">
      <sharedItems containsString="0" containsBlank="1" containsNumber="1" containsInteger="1" minValue="3" maxValue="27"/>
    </cacheField>
    <cacheField name="Collector" numFmtId="0">
      <sharedItems containsString="0" containsBlank="1" containsNumber="1" containsInteger="1" minValue="1" maxValue="15"/>
    </cacheField>
    <cacheField name="Collector_First" numFmtId="0">
      <sharedItems containsBlank="1"/>
    </cacheField>
    <cacheField name="Collector_last" numFmtId="0">
      <sharedItems containsBlank="1"/>
    </cacheField>
    <cacheField name="Collector_organization" numFmtId="0">
      <sharedItems containsBlank="1"/>
    </cacheField>
    <cacheField name="Water" numFmtId="0">
      <sharedItems containsString="0" containsBlank="1" containsNumber="1" containsInteger="1" minValue="1" maxValue="10" count="11">
        <n v="9"/>
        <n v="7"/>
        <n v="8"/>
        <n v="3"/>
        <n v="2"/>
        <n v="4"/>
        <n v="1"/>
        <n v="5"/>
        <n v="6"/>
        <n v="10"/>
        <m/>
      </sharedItems>
    </cacheField>
    <cacheField name=" " numFmtId="0">
      <sharedItems containsBlank="1" count="11">
        <s v="North Pacific"/>
        <s v="Great Lakes"/>
        <s v="West Coast"/>
        <s v="Northeast"/>
        <s v="Florida Gulf Coast"/>
        <s v="Mid-Atlantic"/>
        <s v="Florida Atlantic Coast"/>
        <s v="Southeast"/>
        <s v="Gulf of Mexico_x0009_"/>
        <s v="Pacific"/>
        <m/>
      </sharedItems>
    </cacheField>
    <cacheField name="Feb_temp" numFmtId="0">
      <sharedItems containsString="0" containsBlank="1" containsNumber="1" minValue="1.9" maxValue="24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2424"/>
    <s v="F"/>
    <n v="0.41"/>
    <n v="0.315"/>
    <n v="0.11"/>
    <n v="0.32100000000000001"/>
    <n v="0.1255"/>
    <n v="6.5500000000000003E-2"/>
    <n v="9.5000000000000001E-2"/>
    <n v="10"/>
    <n v="9"/>
    <s v="Danica"/>
    <s v="Tyler"/>
    <s v="University of Florida_x0009_"/>
    <x v="0"/>
    <x v="0"/>
    <n v="1.9"/>
  </r>
  <r>
    <n v="484"/>
    <s v="F"/>
    <n v="0.57999999999999996"/>
    <n v="0.46"/>
    <n v="0.15"/>
    <n v="0.99550000000000005"/>
    <n v="0.42899999999999999"/>
    <n v="0.21199999999999999"/>
    <n v="0.26"/>
    <n v="19"/>
    <n v="10"/>
    <s v="Hazel"/>
    <s v="Villa"/>
    <s v="University of Minnesota"/>
    <x v="0"/>
    <x v="0"/>
    <n v="1.9"/>
  </r>
  <r>
    <n v="2948"/>
    <s v="F"/>
    <n v="0.63500000000000001"/>
    <n v="0.48499999999999999"/>
    <n v="0.18"/>
    <n v="1.1795"/>
    <n v="0.47849999999999998"/>
    <n v="0.27750000000000002"/>
    <n v="0.35499999999999998"/>
    <n v="10"/>
    <n v="4"/>
    <s v="Nate"/>
    <s v="Craig"/>
    <s v="NOAA Fisheries"/>
    <x v="1"/>
    <x v="1"/>
    <n v="2.5"/>
  </r>
  <r>
    <n v="2404"/>
    <s v="F"/>
    <n v="0.28999999999999998"/>
    <n v="0.22500000000000001"/>
    <n v="0.08"/>
    <n v="0.1295"/>
    <n v="5.3499999999999999E-2"/>
    <n v="2.5999999999999999E-2"/>
    <n v="4.4999999999999998E-2"/>
    <n v="10"/>
    <n v="13"/>
    <s v="Betty"/>
    <s v="Berg"/>
    <s v="University of Houston"/>
    <x v="2"/>
    <x v="2"/>
    <n v="12.3"/>
  </r>
  <r>
    <n v="1480"/>
    <s v="F"/>
    <n v="0.57499999999999996"/>
    <n v="0.46"/>
    <n v="0.16500000000000001"/>
    <n v="0.91549999999999998"/>
    <n v="0.40050000000000002"/>
    <n v="0.2465"/>
    <n v="0.23849999999999999"/>
    <n v="8"/>
    <n v="6"/>
    <s v="Martin"/>
    <s v="Gaines"/>
    <s v="San Diego State University"/>
    <x v="3"/>
    <x v="3"/>
    <n v="3.6"/>
  </r>
  <r>
    <n v="1150"/>
    <s v="F"/>
    <n v="0.57999999999999996"/>
    <n v="0.45"/>
    <n v="0.155"/>
    <n v="0.93"/>
    <n v="0.38500000000000001"/>
    <n v="0.246"/>
    <n v="0.26500000000000001"/>
    <n v="9"/>
    <n v="2"/>
    <s v="Tiegan"/>
    <s v="Davie"/>
    <s v="University of California, Davis"/>
    <x v="4"/>
    <x v="4"/>
    <n v="18"/>
  </r>
  <r>
    <n v="1319"/>
    <s v="F"/>
    <n v="0.55500000000000005"/>
    <n v="0.43"/>
    <n v="0.14000000000000001"/>
    <n v="0.76649999999999996"/>
    <n v="0.34100000000000003"/>
    <n v="0.16500000000000001"/>
    <n v="0.23"/>
    <n v="9"/>
    <n v="3"/>
    <s v="Inaya"/>
    <s v="Bernard"/>
    <s v="Stanford University"/>
    <x v="3"/>
    <x v="3"/>
    <n v="3.6"/>
  </r>
  <r>
    <n v="2110"/>
    <s v="F"/>
    <n v="0.62"/>
    <n v="0.49"/>
    <n v="0.17"/>
    <n v="1.2104999999999999"/>
    <n v="0.51849999999999996"/>
    <n v="0.2555"/>
    <n v="0.33500000000000002"/>
    <n v="13"/>
    <n v="8"/>
    <s v="Kali"/>
    <s v="Metcalfe"/>
    <s v="Mote Marine Laboratory"/>
    <x v="2"/>
    <x v="2"/>
    <n v="12.3"/>
  </r>
  <r>
    <n v="1000"/>
    <s v="F"/>
    <n v="0.59499999999999997"/>
    <n v="0.47"/>
    <n v="0.155"/>
    <n v="1.121"/>
    <n v="0.45150000000000001"/>
    <n v="0.17799999999999999"/>
    <n v="0.155"/>
    <n v="11"/>
    <n v="12"/>
    <s v="Rebecca"/>
    <s v="Bennett"/>
    <s v="University of Houston"/>
    <x v="1"/>
    <x v="1"/>
    <n v="2.5"/>
  </r>
  <r>
    <n v="228"/>
    <s v="F"/>
    <n v="0.36499999999999999"/>
    <n v="0.27"/>
    <n v="8.5000000000000006E-2"/>
    <n v="0.20499999999999999"/>
    <n v="7.8E-2"/>
    <n v="4.8500000000000001E-2"/>
    <n v="7.0000000000000007E-2"/>
    <n v="7"/>
    <n v="2"/>
    <s v="Tiegan"/>
    <s v="Davie"/>
    <s v="University of California, Davis"/>
    <x v="5"/>
    <x v="5"/>
    <n v="6.1"/>
  </r>
  <r>
    <n v="3945"/>
    <s v="F"/>
    <n v="0.55000000000000004"/>
    <n v="0.44"/>
    <n v="0.16"/>
    <n v="0.99099999999999999"/>
    <n v="0.34799999999999998"/>
    <n v="0.16800000000000001"/>
    <n v="0.375"/>
    <n v="20"/>
    <n v="8"/>
    <s v="Kali"/>
    <s v="Metcalfe"/>
    <s v="Mote Marine Laboratory"/>
    <x v="6"/>
    <x v="6"/>
    <n v="22.1"/>
  </r>
  <r>
    <n v="1308"/>
    <s v="F"/>
    <n v="0.54500000000000004"/>
    <n v="0.435"/>
    <n v="0.13500000000000001"/>
    <n v="0.77149999999999996"/>
    <n v="0.372"/>
    <n v="0.14799999999999999"/>
    <n v="0.22700000000000001"/>
    <n v="8"/>
    <n v="12"/>
    <s v="Rebecca"/>
    <s v="Bennett"/>
    <s v="University of Houston"/>
    <x v="7"/>
    <x v="7"/>
    <n v="12.8"/>
  </r>
  <r>
    <n v="2895"/>
    <s v="F"/>
    <n v="0.54"/>
    <n v="0.42499999999999999"/>
    <n v="0.13"/>
    <n v="0.8155"/>
    <n v="0.36749999999999999"/>
    <n v="0.13650000000000001"/>
    <n v="0.246"/>
    <n v="11"/>
    <n v="8"/>
    <s v="Kali"/>
    <s v="Metcalfe"/>
    <s v="Mote Marine Laboratory"/>
    <x v="5"/>
    <x v="5"/>
    <n v="6.1"/>
  </r>
  <r>
    <n v="1483"/>
    <s v="F"/>
    <n v="0.58499999999999996"/>
    <n v="0.45500000000000002"/>
    <n v="0.15"/>
    <n v="0.90600000000000003"/>
    <n v="0.40949999999999998"/>
    <n v="0.23"/>
    <n v="0.23350000000000001"/>
    <n v="8"/>
    <n v="15"/>
    <s v="Conan"/>
    <s v="Dalton"/>
    <s v="University of Houston"/>
    <x v="6"/>
    <x v="6"/>
    <n v="22.1"/>
  </r>
  <r>
    <n v="3411"/>
    <s v="F"/>
    <n v="0.41499999999999998"/>
    <n v="0.31"/>
    <n v="0.105"/>
    <n v="0.35949999999999999"/>
    <n v="0.16700000000000001"/>
    <n v="8.3000000000000004E-2"/>
    <n v="9.1499999999999998E-2"/>
    <n v="6"/>
    <n v="7"/>
    <s v="Iona"/>
    <s v="Connolly"/>
    <s v="Florida Atlantic University"/>
    <x v="0"/>
    <x v="0"/>
    <n v="1.9"/>
  </r>
  <r>
    <n v="2764"/>
    <s v="F"/>
    <n v="0.55000000000000004"/>
    <n v="0.42499999999999999"/>
    <n v="0.13500000000000001"/>
    <n v="0.65600000000000003"/>
    <n v="0.25700000000000001"/>
    <n v="0.17"/>
    <n v="0.20300000000000001"/>
    <n v="10"/>
    <n v="11"/>
    <s v="Naima"/>
    <s v="Reyes"/>
    <s v="University of Houston"/>
    <x v="6"/>
    <x v="6"/>
    <n v="22.1"/>
  </r>
  <r>
    <n v="3342"/>
    <s v="F"/>
    <n v="0.49"/>
    <n v="0.39"/>
    <n v="0.13500000000000001"/>
    <n v="0.59"/>
    <n v="0.215"/>
    <n v="0.125"/>
    <n v="0.1845"/>
    <n v="12"/>
    <n v="3"/>
    <s v="Inaya"/>
    <s v="Bernard"/>
    <s v="Stanford University"/>
    <x v="8"/>
    <x v="8"/>
    <n v="14.1"/>
  </r>
  <r>
    <n v="3347"/>
    <s v="F"/>
    <n v="0.47"/>
    <n v="0.4"/>
    <n v="0.16"/>
    <n v="0.51"/>
    <n v="0.1615"/>
    <n v="7.2999999999999995E-2"/>
    <n v="0.19800000000000001"/>
    <n v="14"/>
    <n v="10"/>
    <s v="Hazel"/>
    <s v="Villa"/>
    <s v="University of Minnesota"/>
    <x v="0"/>
    <x v="0"/>
    <n v="1.9"/>
  </r>
  <r>
    <n v="1855"/>
    <s v="F"/>
    <n v="0.495"/>
    <n v="0.375"/>
    <n v="0.14000000000000001"/>
    <n v="0.49399999999999999"/>
    <n v="0.18099999999999999"/>
    <n v="9.7500000000000003E-2"/>
    <n v="0.191"/>
    <n v="8"/>
    <n v="2"/>
    <s v="Tiegan"/>
    <s v="Davie"/>
    <s v="University of California, Davis"/>
    <x v="8"/>
    <x v="8"/>
    <n v="14.1"/>
  </r>
  <r>
    <n v="3194"/>
    <s v="F"/>
    <n v="0.56499999999999995"/>
    <n v="0.435"/>
    <n v="0.185"/>
    <n v="1.032"/>
    <n v="0.35399999999999998"/>
    <n v="0.20449999999999999"/>
    <n v="0.31"/>
    <n v="20"/>
    <n v="5"/>
    <s v="Haniya"/>
    <s v="Talley"/>
    <s v="Prince William Sound Science Center"/>
    <x v="0"/>
    <x v="0"/>
    <n v="1.9"/>
  </r>
  <r>
    <n v="628"/>
    <s v="F"/>
    <n v="0.38"/>
    <n v="0.30499999999999999"/>
    <n v="9.5000000000000001E-2"/>
    <n v="0.28149999999999997"/>
    <n v="0.1255"/>
    <n v="5.2499999999999998E-2"/>
    <n v="0.09"/>
    <n v="8"/>
    <n v="15"/>
    <s v="Conan"/>
    <s v="Dalton"/>
    <s v="University of Houston"/>
    <x v="9"/>
    <x v="9"/>
    <n v="24.1"/>
  </r>
  <r>
    <n v="1671"/>
    <s v="F"/>
    <n v="0.61"/>
    <n v="0.48499999999999999"/>
    <n v="0.15"/>
    <n v="1.2404999999999999"/>
    <n v="0.60250000000000004"/>
    <n v="0.29149999999999998"/>
    <n v="0.3085"/>
    <n v="12"/>
    <n v="13"/>
    <s v="Betty"/>
    <s v="Berg"/>
    <s v="University of Houston"/>
    <x v="9"/>
    <x v="9"/>
    <n v="24.1"/>
  </r>
  <r>
    <n v="387"/>
    <s v="F"/>
    <n v="0.54"/>
    <n v="0.42"/>
    <n v="0.155"/>
    <n v="0.73850000000000005"/>
    <n v="0.35149999999999998"/>
    <n v="0.152"/>
    <n v="0.215"/>
    <n v="12"/>
    <n v="1"/>
    <s v="Jan"/>
    <s v="Odom"/>
    <s v="University of Houston"/>
    <x v="8"/>
    <x v="8"/>
    <n v="14.1"/>
  </r>
  <r>
    <n v="3034"/>
    <s v="F"/>
    <n v="0.53500000000000003"/>
    <n v="0.41"/>
    <n v="0.12"/>
    <n v="0.6835"/>
    <n v="0.3125"/>
    <n v="0.16550000000000001"/>
    <n v="0.159"/>
    <n v="8"/>
    <n v="11"/>
    <s v="Naima"/>
    <s v="Reyes"/>
    <s v="University of Houston"/>
    <x v="5"/>
    <x v="5"/>
    <n v="6.1"/>
  </r>
  <r>
    <n v="3032"/>
    <s v="F"/>
    <n v="0.52500000000000002"/>
    <n v="0.4"/>
    <n v="0.11"/>
    <n v="0.62749999999999995"/>
    <n v="0.30149999999999999"/>
    <n v="0.126"/>
    <n v="0.18"/>
    <n v="8"/>
    <n v="3"/>
    <s v="Inaya"/>
    <s v="Bernard"/>
    <s v="Stanford University"/>
    <x v="3"/>
    <x v="3"/>
    <n v="3.6"/>
  </r>
  <r>
    <n v="2224"/>
    <s v="F"/>
    <n v="0.55500000000000005"/>
    <n v="0.45500000000000002"/>
    <n v="0.18"/>
    <n v="0.95799999999999996"/>
    <n v="0.29599999999999999"/>
    <n v="0.19500000000000001"/>
    <n v="0.39"/>
    <n v="14"/>
    <n v="8"/>
    <s v="Kali"/>
    <s v="Metcalfe"/>
    <s v="Mote Marine Laboratory"/>
    <x v="1"/>
    <x v="1"/>
    <n v="2.5"/>
  </r>
  <r>
    <n v="953"/>
    <s v="F"/>
    <n v="0.48"/>
    <n v="0.36499999999999999"/>
    <n v="0.12"/>
    <n v="0.60150000000000003"/>
    <n v="0.312"/>
    <n v="0.11700000000000001"/>
    <n v="0.14000000000000001"/>
    <n v="7"/>
    <n v="6"/>
    <s v="Martin"/>
    <s v="Gaines"/>
    <s v="San Diego State University"/>
    <x v="5"/>
    <x v="5"/>
    <n v="6.1"/>
  </r>
  <r>
    <n v="2649"/>
    <s v="F"/>
    <n v="0.5"/>
    <n v="0.38"/>
    <n v="0.12"/>
    <n v="0.57650000000000001"/>
    <n v="0.27300000000000002"/>
    <n v="0.13500000000000001"/>
    <n v="0.14499999999999999"/>
    <n v="9"/>
    <n v="12"/>
    <s v="Rebecca"/>
    <s v="Bennett"/>
    <s v="University of Houston"/>
    <x v="1"/>
    <x v="1"/>
    <n v="2.5"/>
  </r>
  <r>
    <n v="932"/>
    <s v="F"/>
    <n v="0.44500000000000001"/>
    <n v="0.33500000000000002"/>
    <n v="0.11"/>
    <n v="0.4355"/>
    <n v="0.20250000000000001"/>
    <n v="0.1095"/>
    <n v="0.1195"/>
    <n v="6"/>
    <n v="15"/>
    <s v="Conan"/>
    <s v="Dalton"/>
    <s v="University of Houston"/>
    <x v="7"/>
    <x v="7"/>
    <n v="12.8"/>
  </r>
  <r>
    <n v="3844"/>
    <s v="F"/>
    <n v="0.57499999999999996"/>
    <n v="0.45"/>
    <n v="0.16"/>
    <n v="0.95499999999999996"/>
    <n v="0.44"/>
    <n v="0.16850000000000001"/>
    <n v="0.27"/>
    <n v="16"/>
    <n v="3"/>
    <s v="Inaya"/>
    <s v="Bernard"/>
    <s v="Stanford University"/>
    <x v="3"/>
    <x v="3"/>
    <n v="3.6"/>
  </r>
  <r>
    <n v="2065"/>
    <s v="F"/>
    <n v="0.53500000000000003"/>
    <n v="0.42"/>
    <n v="0.125"/>
    <n v="0.73799999999999999"/>
    <n v="0.35499999999999998"/>
    <n v="0.1895"/>
    <n v="0.17949999999999999"/>
    <n v="8"/>
    <n v="12"/>
    <s v="Rebecca"/>
    <s v="Bennett"/>
    <s v="University of Houston"/>
    <x v="1"/>
    <x v="1"/>
    <n v="2.5"/>
  </r>
  <r>
    <n v="4141"/>
    <s v="F"/>
    <n v="0.64500000000000002"/>
    <n v="0.53500000000000003"/>
    <n v="0.19"/>
    <n v="1.2395"/>
    <n v="0.46800000000000003"/>
    <n v="0.23849999999999999"/>
    <n v="0.42399999999999999"/>
    <n v="10"/>
    <n v="11"/>
    <s v="Naima"/>
    <s v="Reyes"/>
    <s v="University of Houston"/>
    <x v="6"/>
    <x v="6"/>
    <n v="22.1"/>
  </r>
  <r>
    <n v="3261"/>
    <s v="F"/>
    <n v="0.56000000000000005"/>
    <n v="0.435"/>
    <n v="0.125"/>
    <n v="0.87749999999999995"/>
    <n v="0.33450000000000002"/>
    <n v="0.2145"/>
    <n v="0.28999999999999998"/>
    <n v="13"/>
    <n v="4"/>
    <s v="Nate"/>
    <s v="Craig"/>
    <s v="NOAA Fisheries"/>
    <x v="7"/>
    <x v="7"/>
    <n v="12.8"/>
  </r>
  <r>
    <n v="947"/>
    <s v="F"/>
    <n v="0.47"/>
    <n v="0.36499999999999999"/>
    <n v="0.12"/>
    <n v="0.58199999999999996"/>
    <n v="0.28999999999999998"/>
    <n v="9.1999999999999998E-2"/>
    <n v="0.14599999999999999"/>
    <n v="8"/>
    <n v="14"/>
    <s v="Jose"/>
    <s v="Vaughan"/>
    <s v="Ohio State University_x0009_"/>
    <x v="8"/>
    <x v="8"/>
    <n v="14.1"/>
  </r>
  <r>
    <n v="2976"/>
    <s v="F"/>
    <n v="0.32"/>
    <n v="0.215"/>
    <n v="9.5000000000000001E-2"/>
    <n v="0.30499999999999999"/>
    <n v="0.14000000000000001"/>
    <n v="6.7000000000000004E-2"/>
    <n v="8.8499999999999995E-2"/>
    <n v="6"/>
    <n v="5"/>
    <s v="Haniya"/>
    <s v="Talley"/>
    <s v="Prince William Sound Science Center"/>
    <x v="0"/>
    <x v="0"/>
    <n v="1.9"/>
  </r>
  <r>
    <n v="3575"/>
    <s v="F"/>
    <n v="0.6"/>
    <n v="0.47"/>
    <n v="0.17"/>
    <n v="1.0805"/>
    <n v="0.4995"/>
    <n v="0.22450000000000001"/>
    <n v="0.32050000000000001"/>
    <n v="9"/>
    <n v="4"/>
    <s v="Nate"/>
    <s v="Craig"/>
    <s v="NOAA Fisheries"/>
    <x v="9"/>
    <x v="9"/>
    <n v="24.1"/>
  </r>
  <r>
    <n v="3644"/>
    <s v="F"/>
    <n v="0.47"/>
    <n v="0.34499999999999997"/>
    <n v="0.12"/>
    <n v="0.36849999999999999"/>
    <n v="0.1525"/>
    <n v="6.1499999999999999E-2"/>
    <n v="0.125"/>
    <n v="8"/>
    <n v="6"/>
    <s v="Martin"/>
    <s v="Gaines"/>
    <s v="San Diego State University"/>
    <x v="6"/>
    <x v="6"/>
    <n v="22.1"/>
  </r>
  <r>
    <n v="1587"/>
    <s v="F"/>
    <n v="0.51500000000000001"/>
    <n v="0.35"/>
    <n v="0.105"/>
    <n v="0.47449999999999998"/>
    <n v="0.21299999999999999"/>
    <n v="0.123"/>
    <n v="0.1275"/>
    <n v="10"/>
    <n v="7"/>
    <s v="Iona"/>
    <s v="Connolly"/>
    <s v="Florida Atlantic University"/>
    <x v="7"/>
    <x v="7"/>
    <n v="12.8"/>
  </r>
  <r>
    <n v="637"/>
    <s v="F"/>
    <n v="0.38"/>
    <n v="0.23499999999999999"/>
    <n v="0.1"/>
    <n v="0.25800000000000001"/>
    <n v="0.1055"/>
    <n v="5.3999999999999999E-2"/>
    <n v="0.08"/>
    <n v="7"/>
    <n v="14"/>
    <s v="Jose"/>
    <s v="Vaughan"/>
    <s v="Ohio State University_x0009_"/>
    <x v="3"/>
    <x v="3"/>
    <n v="3.6"/>
  </r>
  <r>
    <n v="1694"/>
    <s v="F"/>
    <n v="0.625"/>
    <n v="0.48499999999999999"/>
    <n v="0.15"/>
    <n v="1.044"/>
    <n v="0.438"/>
    <n v="0.28649999999999998"/>
    <n v="0.27800000000000002"/>
    <n v="9"/>
    <n v="8"/>
    <s v="Kali"/>
    <s v="Metcalfe"/>
    <s v="Mote Marine Laboratory"/>
    <x v="5"/>
    <x v="5"/>
    <n v="6.1"/>
  </r>
  <r>
    <n v="4036"/>
    <s v="F"/>
    <n v="0.52"/>
    <n v="0.41"/>
    <n v="0.14000000000000001"/>
    <n v="0.59950000000000003"/>
    <n v="0.24199999999999999"/>
    <n v="0.13750000000000001"/>
    <n v="0.182"/>
    <n v="11"/>
    <n v="5"/>
    <s v="Haniya"/>
    <s v="Talley"/>
    <s v="Prince William Sound Science Center"/>
    <x v="3"/>
    <x v="3"/>
    <n v="3.6"/>
  </r>
  <r>
    <n v="3278"/>
    <s v="F"/>
    <n v="0.46500000000000002"/>
    <n v="0.39"/>
    <n v="0.14000000000000001"/>
    <n v="0.55549999999999999"/>
    <n v="0.21299999999999999"/>
    <n v="0.1075"/>
    <n v="0.215"/>
    <n v="15"/>
    <n v="7"/>
    <s v="Iona"/>
    <s v="Connolly"/>
    <s v="Florida Atlantic University"/>
    <x v="8"/>
    <x v="8"/>
    <n v="14.1"/>
  </r>
  <r>
    <n v="509"/>
    <s v="F"/>
    <n v="0.56000000000000005"/>
    <n v="0.435"/>
    <n v="0.18"/>
    <n v="0.88900000000000001"/>
    <n v="0.36"/>
    <n v="0.20399999999999999"/>
    <n v="0.25"/>
    <n v="11"/>
    <n v="5"/>
    <s v="Haniya"/>
    <s v="Talley"/>
    <s v="Prince William Sound Science Center"/>
    <x v="0"/>
    <x v="0"/>
    <n v="1.9"/>
  </r>
  <r>
    <n v="1960"/>
    <s v="F"/>
    <n v="0.65"/>
    <n v="0.51"/>
    <n v="0.155"/>
    <n v="1.1890000000000001"/>
    <n v="0.48299999999999998"/>
    <n v="0.27800000000000002"/>
    <n v="0.36449999999999999"/>
    <n v="13"/>
    <n v="10"/>
    <s v="Hazel"/>
    <s v="Villa"/>
    <s v="University of Minnesota"/>
    <x v="6"/>
    <x v="6"/>
    <n v="22.1"/>
  </r>
  <r>
    <n v="2210"/>
    <s v="F"/>
    <n v="0.55000000000000004"/>
    <n v="0.46500000000000002"/>
    <n v="0.18"/>
    <n v="1.2124999999999999"/>
    <n v="0.32450000000000001"/>
    <n v="0.20499999999999999"/>
    <n v="0.52500000000000002"/>
    <n v="27"/>
    <n v="15"/>
    <s v="Conan"/>
    <s v="Dalton"/>
    <s v="University of Houston"/>
    <x v="5"/>
    <x v="5"/>
    <n v="6.1"/>
  </r>
  <r>
    <n v="20"/>
    <s v="F"/>
    <n v="0.45"/>
    <n v="0.32"/>
    <n v="0.1"/>
    <n v="0.38100000000000001"/>
    <n v="0.17050000000000001"/>
    <n v="7.4999999999999997E-2"/>
    <n v="0.115"/>
    <n v="9"/>
    <n v="4"/>
    <s v="Nate"/>
    <s v="Craig"/>
    <s v="NOAA Fisheries"/>
    <x v="2"/>
    <x v="2"/>
    <n v="12.3"/>
  </r>
  <r>
    <n v="853"/>
    <s v="F"/>
    <n v="0.56499999999999995"/>
    <n v="0.45"/>
    <n v="0.155"/>
    <n v="1.0595000000000001"/>
    <n v="0.47349999999999998"/>
    <n v="0.24"/>
    <n v="0.26500000000000001"/>
    <n v="10"/>
    <n v="5"/>
    <s v="Haniya"/>
    <s v="Talley"/>
    <s v="Prince William Sound Science Center"/>
    <x v="8"/>
    <x v="8"/>
    <n v="14.1"/>
  </r>
  <r>
    <n v="2824"/>
    <s v="F"/>
    <n v="0.45500000000000002"/>
    <n v="0.35"/>
    <n v="0.105"/>
    <n v="0.44450000000000001"/>
    <n v="0.21299999999999999"/>
    <n v="0.107"/>
    <n v="0.1115"/>
    <n v="7"/>
    <n v="10"/>
    <s v="Hazel"/>
    <s v="Villa"/>
    <s v="University of Minnesota"/>
    <x v="9"/>
    <x v="9"/>
    <n v="24.1"/>
  </r>
  <r>
    <n v="804"/>
    <s v="F"/>
    <n v="0.37"/>
    <n v="0.27500000000000002"/>
    <n v="0.1"/>
    <n v="0.22"/>
    <n v="9.4E-2"/>
    <n v="4.4999999999999998E-2"/>
    <n v="6.5000000000000002E-2"/>
    <n v="7"/>
    <n v="10"/>
    <s v="Hazel"/>
    <s v="Villa"/>
    <s v="University of Minnesota"/>
    <x v="9"/>
    <x v="9"/>
    <n v="24.1"/>
  </r>
  <r>
    <n v="2478"/>
    <s v="F"/>
    <n v="0.56999999999999995"/>
    <n v="0.42"/>
    <n v="0.155"/>
    <n v="1.008"/>
    <n v="0.377"/>
    <n v="0.193"/>
    <n v="0.34"/>
    <n v="13"/>
    <n v="12"/>
    <s v="Rebecca"/>
    <s v="Bennett"/>
    <s v="University of Houston"/>
    <x v="9"/>
    <x v="9"/>
    <n v="24.1"/>
  </r>
  <r>
    <n v="2011"/>
    <s v="F"/>
    <n v="0.435"/>
    <n v="0.32500000000000001"/>
    <n v="0.12"/>
    <n v="0.34599999999999997"/>
    <n v="0.159"/>
    <n v="8.4000000000000005E-2"/>
    <n v="9.5000000000000001E-2"/>
    <n v="7"/>
    <n v="5"/>
    <s v="Haniya"/>
    <s v="Talley"/>
    <s v="Prince William Sound Science Center"/>
    <x v="2"/>
    <x v="2"/>
    <n v="12.3"/>
  </r>
  <r>
    <n v="3139"/>
    <s v="F"/>
    <n v="0.51"/>
    <n v="0.4"/>
    <n v="0.14000000000000001"/>
    <n v="0.6905"/>
    <n v="0.25900000000000001"/>
    <n v="0.151"/>
    <n v="0.23"/>
    <n v="10"/>
    <n v="11"/>
    <s v="Naima"/>
    <s v="Reyes"/>
    <s v="University of Houston"/>
    <x v="4"/>
    <x v="4"/>
    <n v="18"/>
  </r>
  <r>
    <n v="19"/>
    <s v="F"/>
    <n v="0.36499999999999999"/>
    <n v="0.29499999999999998"/>
    <n v="0.08"/>
    <n v="0.2555"/>
    <n v="9.7000000000000003E-2"/>
    <n v="4.2999999999999997E-2"/>
    <n v="0.1"/>
    <n v="7"/>
    <n v="5"/>
    <s v="Haniya"/>
    <s v="Talley"/>
    <s v="Prince William Sound Science Center"/>
    <x v="5"/>
    <x v="5"/>
    <n v="6.1"/>
  </r>
  <r>
    <n v="3669"/>
    <s v="F"/>
    <n v="0.58499999999999996"/>
    <n v="0.46500000000000002"/>
    <n v="0.14499999999999999"/>
    <n v="0.98550000000000004"/>
    <n v="0.4325"/>
    <n v="0.2145"/>
    <n v="0.28449999999999998"/>
    <n v="10"/>
    <n v="8"/>
    <s v="Kali"/>
    <s v="Metcalfe"/>
    <s v="Mote Marine Laboratory"/>
    <x v="0"/>
    <x v="0"/>
    <n v="1.9"/>
  </r>
  <r>
    <n v="3917"/>
    <s v="F"/>
    <n v="0.52"/>
    <n v="0.41"/>
    <n v="0.16"/>
    <n v="0.71199999999999997"/>
    <n v="0.28449999999999998"/>
    <n v="0.153"/>
    <n v="0.22500000000000001"/>
    <n v="10"/>
    <n v="6"/>
    <s v="Martin"/>
    <s v="Gaines"/>
    <s v="San Diego State University"/>
    <x v="7"/>
    <x v="7"/>
    <n v="12.8"/>
  </r>
  <r>
    <n v="2247"/>
    <s v="F"/>
    <n v="0.38"/>
    <n v="0.32500000000000001"/>
    <n v="0.11"/>
    <n v="0.3105"/>
    <n v="0.12"/>
    <n v="7.3999999999999996E-2"/>
    <n v="0.105"/>
    <n v="10"/>
    <n v="13"/>
    <s v="Betty"/>
    <s v="Berg"/>
    <s v="University of Houston"/>
    <x v="7"/>
    <x v="7"/>
    <n v="12.8"/>
  </r>
  <r>
    <n v="2524"/>
    <s v="F"/>
    <n v="0.56499999999999995"/>
    <n v="0.44"/>
    <n v="0.15"/>
    <n v="0.98299999999999998"/>
    <n v="0.44750000000000001"/>
    <n v="0.23549999999999999"/>
    <n v="0.2485"/>
    <n v="9"/>
    <n v="7"/>
    <s v="Iona"/>
    <s v="Connolly"/>
    <s v="Florida Atlantic University"/>
    <x v="6"/>
    <x v="6"/>
    <n v="22.1"/>
  </r>
  <r>
    <n v="667"/>
    <s v="F"/>
    <n v="0.45500000000000002"/>
    <n v="0.35"/>
    <n v="0.12"/>
    <n v="0.48349999999999999"/>
    <n v="0.18149999999999999"/>
    <n v="0.14399999999999999"/>
    <n v="0.16"/>
    <n v="11"/>
    <n v="3"/>
    <s v="Inaya"/>
    <s v="Bernard"/>
    <s v="Stanford University"/>
    <x v="7"/>
    <x v="7"/>
    <n v="12.8"/>
  </r>
  <r>
    <n v="1597"/>
    <s v="F"/>
    <n v="0.53"/>
    <n v="0.42"/>
    <n v="0.12"/>
    <n v="0.59650000000000003"/>
    <n v="0.2555"/>
    <n v="0.14099999999999999"/>
    <n v="0.17699999999999999"/>
    <n v="7"/>
    <n v="1"/>
    <s v="Jan"/>
    <s v="Odom"/>
    <s v="University of Houston"/>
    <x v="6"/>
    <x v="6"/>
    <n v="22.1"/>
  </r>
  <r>
    <n v="4134"/>
    <s v="F"/>
    <n v="0.58499999999999996"/>
    <n v="0.45"/>
    <n v="0.15"/>
    <n v="0.997"/>
    <n v="0.40550000000000003"/>
    <n v="0.28299999999999997"/>
    <n v="0.251"/>
    <n v="11"/>
    <n v="5"/>
    <s v="Haniya"/>
    <s v="Talley"/>
    <s v="Prince William Sound Science Center"/>
    <x v="6"/>
    <x v="6"/>
    <n v="22.1"/>
  </r>
  <r>
    <n v="535"/>
    <s v="F"/>
    <n v="0.47"/>
    <n v="0.37"/>
    <n v="0.14000000000000001"/>
    <n v="0.4985"/>
    <n v="0.20949999999999999"/>
    <n v="0.1225"/>
    <n v="0.14499999999999999"/>
    <n v="10"/>
    <n v="7"/>
    <s v="Iona"/>
    <s v="Connolly"/>
    <s v="Florida Atlantic University"/>
    <x v="7"/>
    <x v="7"/>
    <n v="12.8"/>
  </r>
  <r>
    <n v="3720"/>
    <s v="F"/>
    <n v="0.38"/>
    <n v="0.28000000000000003"/>
    <n v="9.5000000000000001E-2"/>
    <n v="0.28849999999999998"/>
    <n v="0.16500000000000001"/>
    <n v="4.3499999999999997E-2"/>
    <n v="6.7000000000000004E-2"/>
    <n v="7"/>
    <n v="13"/>
    <s v="Betty"/>
    <s v="Berg"/>
    <s v="University of Houston"/>
    <x v="4"/>
    <x v="4"/>
    <n v="18"/>
  </r>
  <r>
    <n v="1202"/>
    <s v="F"/>
    <n v="0.72"/>
    <n v="0.56499999999999995"/>
    <n v="0.14499999999999999"/>
    <n v="1.1870000000000001"/>
    <n v="0.69099999999999995"/>
    <n v="0.19450000000000001"/>
    <n v="0.26850000000000002"/>
    <n v="8"/>
    <n v="7"/>
    <s v="Iona"/>
    <s v="Connolly"/>
    <s v="Florida Atlantic University"/>
    <x v="4"/>
    <x v="4"/>
    <n v="18"/>
  </r>
  <r>
    <n v="3366"/>
    <s v="F"/>
    <n v="0.44"/>
    <n v="0.31"/>
    <n v="0.115"/>
    <n v="0.36249999999999999"/>
    <n v="0.13400000000000001"/>
    <n v="8.2000000000000003E-2"/>
    <n v="0.12"/>
    <n v="11"/>
    <n v="2"/>
    <s v="Tiegan"/>
    <s v="Davie"/>
    <s v="University of California, Davis"/>
    <x v="2"/>
    <x v="2"/>
    <n v="12.3"/>
  </r>
  <r>
    <n v="3633"/>
    <s v="F"/>
    <n v="0.3"/>
    <n v="0.22500000000000001"/>
    <n v="7.4999999999999997E-2"/>
    <n v="0.13450000000000001"/>
    <n v="5.7000000000000002E-2"/>
    <n v="2.8000000000000001E-2"/>
    <n v="4.3999999999999997E-2"/>
    <n v="5"/>
    <n v="5"/>
    <s v="Haniya"/>
    <s v="Talley"/>
    <s v="Prince William Sound Science Center"/>
    <x v="7"/>
    <x v="7"/>
    <n v="12.8"/>
  </r>
  <r>
    <n v="4076"/>
    <s v="F"/>
    <n v="0.54500000000000004"/>
    <n v="0.45"/>
    <n v="0.15"/>
    <n v="0.78049999999999997"/>
    <n v="0.3795"/>
    <n v="0.16250000000000001"/>
    <n v="0.216"/>
    <n v="8"/>
    <n v="9"/>
    <s v="Danica"/>
    <s v="Tyler"/>
    <s v="University of Florida_x0009_"/>
    <x v="1"/>
    <x v="1"/>
    <n v="2.5"/>
  </r>
  <r>
    <n v="3671"/>
    <s v="F"/>
    <n v="0.59"/>
    <n v="0.46500000000000002"/>
    <n v="0.13500000000000001"/>
    <n v="0.98950000000000005"/>
    <n v="0.42349999999999999"/>
    <n v="0.19900000000000001"/>
    <n v="0.28000000000000003"/>
    <n v="8"/>
    <n v="8"/>
    <s v="Kali"/>
    <s v="Metcalfe"/>
    <s v="Mote Marine Laboratory"/>
    <x v="5"/>
    <x v="5"/>
    <n v="6.1"/>
  </r>
  <r>
    <n v="3774"/>
    <s v="F"/>
    <n v="0.57499999999999996"/>
    <n v="0.46"/>
    <n v="0.15"/>
    <n v="0.92700000000000005"/>
    <n v="0.33300000000000002"/>
    <n v="0.20699999999999999"/>
    <n v="0.29849999999999999"/>
    <n v="9"/>
    <n v="5"/>
    <s v="Haniya"/>
    <s v="Talley"/>
    <s v="Prince William Sound Science Center"/>
    <x v="6"/>
    <x v="6"/>
    <n v="22.1"/>
  </r>
  <r>
    <n v="281"/>
    <s v="F"/>
    <n v="0.53500000000000003"/>
    <n v="0.41499999999999998"/>
    <n v="0.185"/>
    <n v="0.84150000000000003"/>
    <n v="0.314"/>
    <n v="0.1585"/>
    <n v="0.3"/>
    <n v="15"/>
    <n v="9"/>
    <s v="Danica"/>
    <s v="Tyler"/>
    <s v="University of Florida_x0009_"/>
    <x v="7"/>
    <x v="7"/>
    <n v="12.8"/>
  </r>
  <r>
    <n v="2924"/>
    <s v="F"/>
    <n v="0.60499999999999998"/>
    <n v="0.495"/>
    <n v="0.17"/>
    <n v="1.0914999999999999"/>
    <n v="0.4365"/>
    <n v="0.27150000000000002"/>
    <n v="0.33500000000000002"/>
    <n v="13"/>
    <n v="9"/>
    <s v="Danica"/>
    <s v="Tyler"/>
    <s v="University of Florida_x0009_"/>
    <x v="0"/>
    <x v="0"/>
    <n v="1.9"/>
  </r>
  <r>
    <n v="287"/>
    <s v="F"/>
    <n v="0.53"/>
    <n v="0.435"/>
    <n v="0.155"/>
    <n v="0.69899999999999995"/>
    <n v="0.28799999999999998"/>
    <n v="0.1595"/>
    <n v="0.20499999999999999"/>
    <n v="10"/>
    <n v="12"/>
    <s v="Rebecca"/>
    <s v="Bennett"/>
    <s v="University of Houston"/>
    <x v="0"/>
    <x v="0"/>
    <n v="1.9"/>
  </r>
  <r>
    <n v="2664"/>
    <s v="F"/>
    <n v="0.56999999999999995"/>
    <n v="0.45"/>
    <n v="0.13500000000000001"/>
    <n v="1.02"/>
    <n v="0.54600000000000004"/>
    <n v="0.20399999999999999"/>
    <n v="0.25"/>
    <n v="9"/>
    <n v="7"/>
    <s v="Iona"/>
    <s v="Connolly"/>
    <s v="Florida Atlantic University"/>
    <x v="7"/>
    <x v="7"/>
    <n v="12.8"/>
  </r>
  <r>
    <n v="2515"/>
    <s v="F"/>
    <n v="0.47"/>
    <n v="0.37"/>
    <n v="0.11"/>
    <n v="0.55549999999999999"/>
    <n v="0.25"/>
    <n v="0.115"/>
    <n v="0.16300000000000001"/>
    <n v="8"/>
    <n v="2"/>
    <s v="Tiegan"/>
    <s v="Davie"/>
    <s v="University of California, Davis"/>
    <x v="0"/>
    <x v="0"/>
    <n v="1.9"/>
  </r>
  <r>
    <n v="1666"/>
    <s v="F"/>
    <n v="0.60499999999999998"/>
    <n v="0.48"/>
    <n v="0.14000000000000001"/>
    <n v="0.99099999999999999"/>
    <n v="0.47349999999999998"/>
    <n v="0.23449999999999999"/>
    <n v="0.24"/>
    <n v="8"/>
    <n v="12"/>
    <s v="Rebecca"/>
    <s v="Bennett"/>
    <s v="University of Houston"/>
    <x v="7"/>
    <x v="7"/>
    <n v="12.8"/>
  </r>
  <r>
    <n v="3817"/>
    <s v="F"/>
    <n v="0.46500000000000002"/>
    <n v="0.35499999999999998"/>
    <n v="0.12"/>
    <n v="0.53149999999999997"/>
    <n v="0.27250000000000002"/>
    <n v="9.7000000000000003E-2"/>
    <n v="0.13950000000000001"/>
    <n v="8"/>
    <n v="2"/>
    <s v="Tiegan"/>
    <s v="Davie"/>
    <s v="University of California, Davis"/>
    <x v="0"/>
    <x v="0"/>
    <n v="1.9"/>
  </r>
  <r>
    <n v="2766"/>
    <s v="F"/>
    <n v="0.55500000000000005"/>
    <n v="0.435"/>
    <n v="0.14499999999999999"/>
    <n v="0.69750000000000001"/>
    <n v="0.26200000000000001"/>
    <n v="0.1575"/>
    <n v="0.24"/>
    <n v="11"/>
    <n v="12"/>
    <s v="Rebecca"/>
    <s v="Bennett"/>
    <s v="University of Houston"/>
    <x v="9"/>
    <x v="9"/>
    <n v="24.1"/>
  </r>
  <r>
    <n v="694"/>
    <s v="F"/>
    <n v="0.38"/>
    <n v="0.28999999999999998"/>
    <n v="0.12"/>
    <n v="0.28299999999999997"/>
    <n v="0.11749999999999999"/>
    <n v="6.5500000000000003E-2"/>
    <n v="8.5000000000000006E-2"/>
    <n v="9"/>
    <n v="13"/>
    <s v="Betty"/>
    <s v="Berg"/>
    <s v="University of Houston"/>
    <x v="4"/>
    <x v="4"/>
    <n v="18"/>
  </r>
  <r>
    <n v="2282"/>
    <s v="F"/>
    <n v="0.48499999999999999"/>
    <n v="0.41499999999999998"/>
    <n v="0.14000000000000001"/>
    <n v="0.57050000000000001"/>
    <n v="0.25"/>
    <n v="0.13400000000000001"/>
    <n v="0.185"/>
    <n v="8"/>
    <n v="14"/>
    <s v="Jose"/>
    <s v="Vaughan"/>
    <s v="Ohio State University_x0009_"/>
    <x v="7"/>
    <x v="7"/>
    <n v="12.8"/>
  </r>
  <r>
    <n v="3496"/>
    <s v="F"/>
    <n v="0.56000000000000005"/>
    <n v="0.41499999999999998"/>
    <n v="0.13"/>
    <n v="0.76149999999999995"/>
    <n v="0.3695"/>
    <n v="0.17"/>
    <n v="0.19550000000000001"/>
    <n v="8"/>
    <n v="13"/>
    <s v="Betty"/>
    <s v="Berg"/>
    <s v="University of Houston"/>
    <x v="0"/>
    <x v="0"/>
    <n v="1.9"/>
  </r>
  <r>
    <n v="2441"/>
    <s v="F"/>
    <n v="0.46500000000000002"/>
    <n v="0.35499999999999998"/>
    <n v="0.125"/>
    <n v="0.52549999999999997"/>
    <n v="0.20250000000000001"/>
    <n v="0.13500000000000001"/>
    <n v="0.14499999999999999"/>
    <n v="13"/>
    <n v="14"/>
    <s v="Jose"/>
    <s v="Vaughan"/>
    <s v="Ohio State University_x0009_"/>
    <x v="7"/>
    <x v="7"/>
    <n v="12.8"/>
  </r>
  <r>
    <n v="1168"/>
    <s v="F"/>
    <n v="0.62"/>
    <n v="0.47"/>
    <n v="0.13500000000000001"/>
    <n v="1.0195000000000001"/>
    <n v="0.53149999999999997"/>
    <n v="0.20050000000000001"/>
    <n v="0.2475"/>
    <n v="8"/>
    <n v="11"/>
    <s v="Naima"/>
    <s v="Reyes"/>
    <s v="University of Houston"/>
    <x v="0"/>
    <x v="0"/>
    <n v="1.9"/>
  </r>
  <r>
    <n v="609"/>
    <s v="F"/>
    <n v="0.37"/>
    <n v="0.28499999999999998"/>
    <n v="0.1"/>
    <n v="0.22800000000000001"/>
    <n v="6.7500000000000004E-2"/>
    <n v="6.7500000000000004E-2"/>
    <n v="8.1000000000000003E-2"/>
    <n v="10"/>
    <n v="4"/>
    <s v="Nate"/>
    <s v="Craig"/>
    <s v="NOAA Fisheries"/>
    <x v="0"/>
    <x v="0"/>
    <n v="1.9"/>
  </r>
  <r>
    <n v="3768"/>
    <s v="F"/>
    <n v="0.55500000000000005"/>
    <n v="0.46"/>
    <n v="0.16"/>
    <n v="0.86"/>
    <n v="0.33450000000000002"/>
    <n v="0.19350000000000001"/>
    <n v="0.27500000000000002"/>
    <n v="10"/>
    <n v="5"/>
    <s v="Haniya"/>
    <s v="Talley"/>
    <s v="Prince William Sound Science Center"/>
    <x v="2"/>
    <x v="2"/>
    <n v="12.3"/>
  </r>
  <r>
    <n v="1311"/>
    <s v="F"/>
    <n v="0.54500000000000004"/>
    <n v="0.40500000000000003"/>
    <n v="0.13500000000000001"/>
    <n v="0.59450000000000003"/>
    <n v="0.27"/>
    <n v="0.11849999999999999"/>
    <n v="0.185"/>
    <n v="8"/>
    <n v="3"/>
    <s v="Inaya"/>
    <s v="Bernard"/>
    <s v="Stanford University"/>
    <x v="5"/>
    <x v="5"/>
    <n v="6.1"/>
  </r>
  <r>
    <n v="21"/>
    <s v="F"/>
    <n v="0.35499999999999998"/>
    <n v="0.28000000000000003"/>
    <n v="9.5000000000000001E-2"/>
    <n v="0.2455"/>
    <n v="9.5500000000000002E-2"/>
    <n v="6.2E-2"/>
    <n v="7.4999999999999997E-2"/>
    <n v="11"/>
    <n v="9"/>
    <s v="Danica"/>
    <s v="Tyler"/>
    <s v="University of Florida_x0009_"/>
    <x v="5"/>
    <x v="5"/>
    <n v="6.1"/>
  </r>
  <r>
    <n v="3432"/>
    <s v="F"/>
    <n v="0.35"/>
    <n v="0.26500000000000001"/>
    <n v="9.5000000000000001E-2"/>
    <n v="0.19900000000000001"/>
    <n v="7.2999999999999995E-2"/>
    <n v="4.9000000000000002E-2"/>
    <n v="0.06"/>
    <n v="5"/>
    <n v="9"/>
    <s v="Danica"/>
    <s v="Tyler"/>
    <s v="University of Florida_x0009_"/>
    <x v="0"/>
    <x v="0"/>
    <n v="1.9"/>
  </r>
  <r>
    <n v="1674"/>
    <s v="F"/>
    <n v="0.61"/>
    <n v="0.46500000000000002"/>
    <n v="0.125"/>
    <n v="0.92249999999999999"/>
    <n v="0.436"/>
    <n v="0.19"/>
    <n v="0.26"/>
    <n v="9"/>
    <n v="5"/>
    <s v="Haniya"/>
    <s v="Talley"/>
    <s v="Prince William Sound Science Center"/>
    <x v="4"/>
    <x v="4"/>
    <n v="18"/>
  </r>
  <r>
    <n v="3816"/>
    <s v="F"/>
    <n v="0.46"/>
    <n v="0.34"/>
    <n v="0.1"/>
    <n v="0.38600000000000001"/>
    <n v="0.18049999999999999"/>
    <n v="8.7499999999999994E-2"/>
    <n v="9.6500000000000002E-2"/>
    <n v="8"/>
    <n v="1"/>
    <s v="Jan"/>
    <s v="Odom"/>
    <s v="University of Houston"/>
    <x v="6"/>
    <x v="6"/>
    <n v="22.1"/>
  </r>
  <r>
    <n v="727"/>
    <s v="F"/>
    <n v="0.4"/>
    <n v="0.30499999999999999"/>
    <n v="8.5000000000000006E-2"/>
    <n v="0.29699999999999999"/>
    <n v="0.108"/>
    <n v="7.0499999999999993E-2"/>
    <n v="0.1"/>
    <n v="10"/>
    <n v="4"/>
    <s v="Nate"/>
    <s v="Craig"/>
    <s v="NOAA Fisheries"/>
    <x v="4"/>
    <x v="4"/>
    <n v="18"/>
  </r>
  <r>
    <n v="1110"/>
    <s v="F"/>
    <n v="0.52"/>
    <n v="0.4"/>
    <n v="0.14499999999999999"/>
    <n v="0.77649999999999997"/>
    <n v="0.35249999999999998"/>
    <n v="0.1845"/>
    <n v="0.185"/>
    <n v="9"/>
    <n v="4"/>
    <s v="Nate"/>
    <s v="Craig"/>
    <s v="NOAA Fisheries"/>
    <x v="7"/>
    <x v="7"/>
    <n v="12.8"/>
  </r>
  <r>
    <n v="3866"/>
    <s v="F"/>
    <n v="0.52500000000000002"/>
    <n v="0.39500000000000002"/>
    <n v="0.16500000000000001"/>
    <n v="0.78200000000000003"/>
    <n v="0.28499999999999998"/>
    <n v="0.14050000000000001"/>
    <n v="0.28499999999999998"/>
    <n v="19"/>
    <n v="6"/>
    <s v="Martin"/>
    <s v="Gaines"/>
    <s v="San Diego State University"/>
    <x v="6"/>
    <x v="6"/>
    <n v="22.1"/>
  </r>
  <r>
    <n v="520"/>
    <s v="F"/>
    <n v="0.34499999999999997"/>
    <n v="0.25"/>
    <n v="0.09"/>
    <n v="0.20300000000000001"/>
    <n v="7.8E-2"/>
    <n v="5.8999999999999997E-2"/>
    <n v="5.5E-2"/>
    <n v="6"/>
    <n v="4"/>
    <s v="Nate"/>
    <s v="Craig"/>
    <s v="NOAA Fisheries"/>
    <x v="0"/>
    <x v="0"/>
    <n v="1.9"/>
  </r>
  <r>
    <n v="3326"/>
    <s v="F"/>
    <n v="0.34499999999999997"/>
    <n v="0.26500000000000001"/>
    <n v="0.09"/>
    <n v="0.16300000000000001"/>
    <n v="6.1499999999999999E-2"/>
    <n v="3.6999999999999998E-2"/>
    <n v="4.8500000000000001E-2"/>
    <n v="10"/>
    <n v="2"/>
    <s v="Tiegan"/>
    <s v="Davie"/>
    <s v="University of California, Davis"/>
    <x v="8"/>
    <x v="8"/>
    <n v="14.1"/>
  </r>
  <r>
    <n v="488"/>
    <s v="F"/>
    <n v="0.625"/>
    <n v="0.51500000000000001"/>
    <n v="0.15"/>
    <n v="1.2415"/>
    <n v="0.52349999999999997"/>
    <n v="0.30649999999999999"/>
    <n v="0.36"/>
    <n v="15"/>
    <n v="1"/>
    <s v="Jan"/>
    <s v="Odom"/>
    <s v="University of Houston"/>
    <x v="1"/>
    <x v="1"/>
    <n v="2.5"/>
  </r>
  <r>
    <n v="806"/>
    <s v="F"/>
    <n v="0.40500000000000003"/>
    <n v="0.30499999999999999"/>
    <n v="0.12"/>
    <n v="0.31850000000000001"/>
    <n v="0.1235"/>
    <n v="9.0499999999999997E-2"/>
    <n v="9.5000000000000001E-2"/>
    <n v="7"/>
    <n v="13"/>
    <s v="Betty"/>
    <s v="Berg"/>
    <s v="University of Houston"/>
    <x v="6"/>
    <x v="6"/>
    <n v="22.1"/>
  </r>
  <r>
    <n v="341"/>
    <s v="F"/>
    <n v="0.57499999999999996"/>
    <n v="0.45500000000000002"/>
    <n v="0.14499999999999999"/>
    <n v="1.165"/>
    <n v="0.58099999999999996"/>
    <n v="0.22750000000000001"/>
    <n v="0.3"/>
    <n v="14"/>
    <n v="13"/>
    <s v="Betty"/>
    <s v="Berg"/>
    <s v="University of Houston"/>
    <x v="5"/>
    <x v="5"/>
    <n v="6.1"/>
  </r>
  <r>
    <n v="393"/>
    <s v="F"/>
    <n v="0.47"/>
    <n v="0.375"/>
    <n v="0.125"/>
    <n v="0.5615"/>
    <n v="0.252"/>
    <n v="0.13700000000000001"/>
    <n v="0.18"/>
    <n v="10"/>
    <n v="13"/>
    <s v="Betty"/>
    <s v="Berg"/>
    <s v="University of Houston"/>
    <x v="7"/>
    <x v="7"/>
    <n v="12.8"/>
  </r>
  <r>
    <n v="1607"/>
    <s v="F"/>
    <n v="0.54"/>
    <n v="0.42499999999999999"/>
    <n v="0.13"/>
    <n v="0.72050000000000003"/>
    <n v="0.29549999999999998"/>
    <n v="0.16900000000000001"/>
    <n v="0.22500000000000001"/>
    <n v="10"/>
    <n v="3"/>
    <s v="Inaya"/>
    <s v="Bernard"/>
    <s v="Stanford University"/>
    <x v="1"/>
    <x v="1"/>
    <n v="2.5"/>
  </r>
  <r>
    <n v="1457"/>
    <s v="F"/>
    <n v="0.47499999999999998"/>
    <n v="0.36499999999999999"/>
    <n v="0.115"/>
    <n v="0.45900000000000002"/>
    <n v="0.2175"/>
    <n v="9.2999999999999999E-2"/>
    <n v="0.11650000000000001"/>
    <n v="7"/>
    <n v="10"/>
    <s v="Hazel"/>
    <s v="Villa"/>
    <s v="University of Minnesota"/>
    <x v="3"/>
    <x v="3"/>
    <n v="3.6"/>
  </r>
  <r>
    <n v="3740"/>
    <s v="F"/>
    <n v="0.65"/>
    <n v="0.52500000000000002"/>
    <n v="0.16500000000000001"/>
    <n v="1.238"/>
    <n v="0.64700000000000002"/>
    <n v="0.2485"/>
    <n v="0.30049999999999999"/>
    <n v="9"/>
    <n v="7"/>
    <s v="Iona"/>
    <s v="Connolly"/>
    <s v="Florida Atlantic University"/>
    <x v="3"/>
    <x v="3"/>
    <n v="3.6"/>
  </r>
  <r>
    <n v="3832"/>
    <s v="F"/>
    <n v="0.54500000000000004"/>
    <n v="0.42"/>
    <n v="0.17499999999999999"/>
    <n v="0.754"/>
    <n v="0.25600000000000001"/>
    <n v="0.17749999999999999"/>
    <n v="0.27500000000000002"/>
    <n v="10"/>
    <n v="8"/>
    <s v="Kali"/>
    <s v="Metcalfe"/>
    <s v="Mote Marine Laboratory"/>
    <x v="4"/>
    <x v="4"/>
    <n v="18"/>
  </r>
  <r>
    <n v="3219"/>
    <s v="F"/>
    <n v="0.64"/>
    <n v="0.505"/>
    <n v="0.19"/>
    <n v="1.2355"/>
    <n v="0.44350000000000001"/>
    <n v="0.3105"/>
    <n v="0.36499999999999999"/>
    <n v="14"/>
    <n v="2"/>
    <s v="Tiegan"/>
    <s v="Davie"/>
    <s v="University of California, Davis"/>
    <x v="4"/>
    <x v="4"/>
    <n v="18"/>
  </r>
  <r>
    <n v="1555"/>
    <s v="F"/>
    <n v="0.41"/>
    <n v="0.3"/>
    <n v="0.09"/>
    <n v="0.30399999999999999"/>
    <n v="0.129"/>
    <n v="7.0999999999999994E-2"/>
    <n v="9.5500000000000002E-2"/>
    <n v="8"/>
    <n v="4"/>
    <s v="Nate"/>
    <s v="Craig"/>
    <s v="NOAA Fisheries"/>
    <x v="6"/>
    <x v="6"/>
    <n v="22.1"/>
  </r>
  <r>
    <n v="2338"/>
    <s v="F"/>
    <n v="0.56000000000000005"/>
    <n v="0.45500000000000002"/>
    <n v="0.16500000000000001"/>
    <n v="0.86"/>
    <n v="0.40150000000000002"/>
    <n v="0.16950000000000001"/>
    <n v="0.245"/>
    <n v="11"/>
    <n v="15"/>
    <s v="Conan"/>
    <s v="Dalton"/>
    <s v="University of Houston"/>
    <x v="9"/>
    <x v="9"/>
    <n v="24.1"/>
  </r>
  <r>
    <n v="850"/>
    <s v="F"/>
    <n v="0.55000000000000004"/>
    <n v="0.45"/>
    <n v="0.15"/>
    <n v="1.0145"/>
    <n v="0.40699999999999997"/>
    <n v="0.20150000000000001"/>
    <n v="0.28749999999999998"/>
    <n v="10"/>
    <n v="2"/>
    <s v="Tiegan"/>
    <s v="Davie"/>
    <s v="University of California, Davis"/>
    <x v="8"/>
    <x v="8"/>
    <n v="14.1"/>
  </r>
  <r>
    <n v="4163"/>
    <s v="F"/>
    <n v="0.38500000000000001"/>
    <n v="0.255"/>
    <n v="0.1"/>
    <n v="0.3175"/>
    <n v="0.13700000000000001"/>
    <n v="6.8000000000000005E-2"/>
    <n v="9.1999999999999998E-2"/>
    <n v="8"/>
    <n v="6"/>
    <s v="Martin"/>
    <s v="Gaines"/>
    <s v="San Diego State University"/>
    <x v="1"/>
    <x v="1"/>
    <n v="2.5"/>
  </r>
  <r>
    <n v="3818"/>
    <s v="F"/>
    <n v="0.47499999999999998"/>
    <n v="0.38500000000000001"/>
    <n v="0.12"/>
    <n v="0.56200000000000006"/>
    <n v="0.28899999999999998"/>
    <n v="9.0499999999999997E-2"/>
    <n v="0.153"/>
    <n v="8"/>
    <n v="8"/>
    <s v="Kali"/>
    <s v="Metcalfe"/>
    <s v="Mote Marine Laboratory"/>
    <x v="0"/>
    <x v="0"/>
    <n v="1.9"/>
  </r>
  <r>
    <n v="4004"/>
    <s v="F"/>
    <n v="0.51"/>
    <n v="0.39"/>
    <n v="0.125"/>
    <n v="0.59699999999999998"/>
    <n v="0.29299999999999998"/>
    <n v="0.1265"/>
    <n v="0.1555"/>
    <n v="8"/>
    <n v="6"/>
    <s v="Martin"/>
    <s v="Gaines"/>
    <s v="San Diego State University"/>
    <x v="2"/>
    <x v="2"/>
    <n v="12.3"/>
  </r>
  <r>
    <n v="3920"/>
    <s v="F"/>
    <n v="0.56499999999999995"/>
    <n v="0.43"/>
    <n v="0.13500000000000001"/>
    <n v="0.85450000000000004"/>
    <n v="0.32100000000000001"/>
    <n v="0.17749999999999999"/>
    <n v="0.27500000000000002"/>
    <n v="11"/>
    <n v="14"/>
    <s v="Jose"/>
    <s v="Vaughan"/>
    <s v="Ohio State University_x0009_"/>
    <x v="1"/>
    <x v="1"/>
    <n v="2.5"/>
  </r>
  <r>
    <n v="2494"/>
    <s v="F"/>
    <n v="0.42"/>
    <n v="0.31"/>
    <n v="0.1"/>
    <n v="0.28649999999999998"/>
    <n v="0.115"/>
    <n v="7.3499999999999996E-2"/>
    <n v="8.5000000000000006E-2"/>
    <n v="8"/>
    <n v="7"/>
    <s v="Iona"/>
    <s v="Connolly"/>
    <s v="Florida Atlantic University"/>
    <x v="7"/>
    <x v="7"/>
    <n v="12.8"/>
  </r>
  <r>
    <n v="3667"/>
    <s v="F"/>
    <n v="0.57499999999999996"/>
    <n v="0.44"/>
    <n v="0.15"/>
    <n v="0.98299999999999998"/>
    <n v="0.48599999999999999"/>
    <n v="0.215"/>
    <n v="0.23899999999999999"/>
    <n v="8"/>
    <n v="1"/>
    <s v="Jan"/>
    <s v="Odom"/>
    <s v="University of Houston"/>
    <x v="0"/>
    <x v="0"/>
    <n v="1.9"/>
  </r>
  <r>
    <n v="952"/>
    <s v="F"/>
    <n v="0.48"/>
    <n v="0.36"/>
    <n v="0.1"/>
    <n v="0.439"/>
    <n v="0.19400000000000001"/>
    <n v="9.9000000000000005E-2"/>
    <n v="0.115"/>
    <n v="8"/>
    <n v="9"/>
    <s v="Danica"/>
    <s v="Tyler"/>
    <s v="University of Florida_x0009_"/>
    <x v="9"/>
    <x v="9"/>
    <n v="24.1"/>
  </r>
  <r>
    <n v="2990"/>
    <s v="F"/>
    <n v="0.56000000000000005"/>
    <n v="0.42499999999999999"/>
    <n v="0.13500000000000001"/>
    <n v="0.9415"/>
    <n v="0.50900000000000001"/>
    <n v="0.20150000000000001"/>
    <n v="0.19750000000000001"/>
    <n v="9"/>
    <n v="15"/>
    <s v="Conan"/>
    <s v="Dalton"/>
    <s v="University of Houston"/>
    <x v="2"/>
    <x v="2"/>
    <n v="12.3"/>
  </r>
  <r>
    <n v="2743"/>
    <s v="F"/>
    <n v="0.46"/>
    <n v="0.34499999999999997"/>
    <n v="0.105"/>
    <n v="0.41499999999999998"/>
    <n v="0.187"/>
    <n v="8.6999999999999994E-2"/>
    <n v="0.11"/>
    <n v="8"/>
    <n v="1"/>
    <s v="Jan"/>
    <s v="Odom"/>
    <s v="University of Houston"/>
    <x v="0"/>
    <x v="0"/>
    <n v="1.9"/>
  </r>
  <r>
    <n v="2672"/>
    <s v="F"/>
    <n v="0.59"/>
    <n v="0.46"/>
    <n v="0.16"/>
    <n v="1.0115000000000001"/>
    <n v="0.44500000000000001"/>
    <n v="0.26150000000000001"/>
    <n v="0.25650000000000001"/>
    <n v="8"/>
    <n v="4"/>
    <s v="Nate"/>
    <s v="Craig"/>
    <s v="NOAA Fisheries"/>
    <x v="0"/>
    <x v="0"/>
    <n v="1.9"/>
  </r>
  <r>
    <n v="748"/>
    <s v="F"/>
    <n v="0.52"/>
    <n v="0.38500000000000001"/>
    <n v="0.14000000000000001"/>
    <n v="0.65949999999999998"/>
    <n v="0.2485"/>
    <n v="0.20349999999999999"/>
    <n v="0.16"/>
    <n v="9"/>
    <n v="3"/>
    <s v="Inaya"/>
    <s v="Bernard"/>
    <s v="Stanford University"/>
    <x v="5"/>
    <x v="5"/>
    <n v="6.1"/>
  </r>
  <r>
    <n v="3831"/>
    <s v="F"/>
    <n v="0.5"/>
    <n v="0.38500000000000001"/>
    <n v="0.12"/>
    <n v="0.63349999999999995"/>
    <n v="0.23050000000000001"/>
    <n v="0.125"/>
    <n v="0.23499999999999999"/>
    <n v="14"/>
    <n v="1"/>
    <s v="Jan"/>
    <s v="Odom"/>
    <s v="University of Houston"/>
    <x v="2"/>
    <x v="2"/>
    <n v="12.3"/>
  </r>
  <r>
    <n v="1992"/>
    <s v="F"/>
    <n v="0.28499999999999998"/>
    <n v="0.215"/>
    <n v="0.06"/>
    <n v="9.35E-2"/>
    <n v="3.1E-2"/>
    <n v="2.3E-2"/>
    <n v="0.03"/>
    <n v="6"/>
    <n v="9"/>
    <s v="Danica"/>
    <s v="Tyler"/>
    <s v="University of Florida_x0009_"/>
    <x v="7"/>
    <x v="7"/>
    <n v="12.8"/>
  </r>
  <r>
    <n v="91"/>
    <s v="F"/>
    <n v="0.56499999999999995"/>
    <n v="0.42499999999999999"/>
    <n v="0.13500000000000001"/>
    <n v="0.8115"/>
    <n v="0.34100000000000003"/>
    <n v="0.16750000000000001"/>
    <n v="0.255"/>
    <n v="15"/>
    <n v="13"/>
    <s v="Betty"/>
    <s v="Berg"/>
    <s v="University of Houston"/>
    <x v="3"/>
    <x v="3"/>
    <n v="3.6"/>
  </r>
  <r>
    <n v="2565"/>
    <s v="F"/>
    <n v="0.45"/>
    <n v="0.35"/>
    <n v="0.125"/>
    <n v="0.47749999999999998"/>
    <n v="0.2235"/>
    <n v="8.8999999999999996E-2"/>
    <n v="0.11799999999999999"/>
    <n v="6"/>
    <n v="6"/>
    <s v="Martin"/>
    <s v="Gaines"/>
    <s v="San Diego State University"/>
    <x v="2"/>
    <x v="2"/>
    <n v="12.3"/>
  </r>
  <r>
    <n v="2495"/>
    <s v="F"/>
    <n v="0.4"/>
    <n v="0.30499999999999999"/>
    <n v="0.13"/>
    <n v="0.29349999999999998"/>
    <n v="9.6000000000000002E-2"/>
    <n v="6.7500000000000004E-2"/>
    <n v="0.105"/>
    <n v="9"/>
    <n v="9"/>
    <s v="Danica"/>
    <s v="Tyler"/>
    <s v="University of Florida_x0009_"/>
    <x v="3"/>
    <x v="3"/>
    <n v="3.6"/>
  </r>
  <r>
    <n v="2057"/>
    <s v="F"/>
    <n v="0.47499999999999998"/>
    <n v="0.38"/>
    <n v="0.14000000000000001"/>
    <n v="0.68899999999999995"/>
    <n v="0.3165"/>
    <n v="0.13150000000000001"/>
    <n v="0.19550000000000001"/>
    <n v="7"/>
    <n v="7"/>
    <s v="Iona"/>
    <s v="Connolly"/>
    <s v="Florida Atlantic University"/>
    <x v="2"/>
    <x v="2"/>
    <n v="12.3"/>
  </r>
  <r>
    <n v="2531"/>
    <s v="F"/>
    <n v="0.6"/>
    <n v="0.48499999999999999"/>
    <n v="0.16500000000000001"/>
    <n v="1.1405000000000001"/>
    <n v="0.58699999999999997"/>
    <n v="0.2175"/>
    <n v="0.28799999999999998"/>
    <n v="9"/>
    <n v="12"/>
    <s v="Rebecca"/>
    <s v="Bennett"/>
    <s v="University of Houston"/>
    <x v="2"/>
    <x v="2"/>
    <n v="12.3"/>
  </r>
  <r>
    <n v="3238"/>
    <s v="F"/>
    <n v="0.63500000000000001"/>
    <n v="0.51"/>
    <n v="0.155"/>
    <n v="1.1559999999999999"/>
    <n v="0.42799999999999999"/>
    <n v="0.28899999999999998"/>
    <n v="0.315"/>
    <n v="18"/>
    <n v="6"/>
    <s v="Martin"/>
    <s v="Gaines"/>
    <s v="San Diego State University"/>
    <x v="2"/>
    <x v="2"/>
    <n v="12.3"/>
  </r>
  <r>
    <n v="3833"/>
    <s v="F"/>
    <n v="0.46"/>
    <n v="0.36499999999999999"/>
    <n v="0.115"/>
    <n v="0.44850000000000001"/>
    <n v="0.16500000000000001"/>
    <n v="8.3000000000000004E-2"/>
    <n v="0.17"/>
    <n v="14"/>
    <n v="14"/>
    <s v="Jose"/>
    <s v="Vaughan"/>
    <s v="Ohio State University_x0009_"/>
    <x v="4"/>
    <x v="4"/>
    <n v="18"/>
  </r>
  <r>
    <n v="3611"/>
    <s v="F"/>
    <n v="0.57999999999999996"/>
    <n v="0.45"/>
    <n v="0.16"/>
    <n v="0.86750000000000005"/>
    <n v="0.39350000000000002"/>
    <n v="0.221"/>
    <n v="0.215"/>
    <n v="9"/>
    <n v="11"/>
    <s v="Naima"/>
    <s v="Reyes"/>
    <s v="University of Houston"/>
    <x v="6"/>
    <x v="6"/>
    <n v="22.1"/>
  </r>
  <r>
    <n v="2750"/>
    <s v="F"/>
    <n v="0.505"/>
    <n v="0.38"/>
    <n v="0.13500000000000001"/>
    <n v="0.53849999999999998"/>
    <n v="0.26450000000000001"/>
    <n v="9.5000000000000001E-2"/>
    <n v="0.16500000000000001"/>
    <n v="9"/>
    <n v="1"/>
    <s v="Jan"/>
    <s v="Odom"/>
    <s v="University of Houston"/>
    <x v="2"/>
    <x v="2"/>
    <n v="12.3"/>
  </r>
  <r>
    <n v="3476"/>
    <s v="F"/>
    <n v="0.4"/>
    <n v="0.315"/>
    <n v="8.5000000000000006E-2"/>
    <n v="0.26750000000000002"/>
    <n v="0.11600000000000001"/>
    <n v="5.8500000000000003E-2"/>
    <n v="7.6499999999999999E-2"/>
    <n v="6"/>
    <n v="10"/>
    <s v="Hazel"/>
    <s v="Villa"/>
    <s v="University of Minnesota"/>
    <x v="2"/>
    <x v="2"/>
    <n v="12.3"/>
  </r>
  <r>
    <n v="258"/>
    <s v="F"/>
    <n v="0.54500000000000004"/>
    <n v="0.46"/>
    <n v="0.16"/>
    <n v="0.89749999999999996"/>
    <n v="0.34100000000000003"/>
    <n v="0.16550000000000001"/>
    <n v="0.34499999999999997"/>
    <n v="10"/>
    <n v="6"/>
    <s v="Martin"/>
    <s v="Gaines"/>
    <s v="San Diego State University"/>
    <x v="8"/>
    <x v="8"/>
    <n v="14.1"/>
  </r>
  <r>
    <n v="1907"/>
    <s v="F"/>
    <n v="0.57499999999999996"/>
    <n v="0.45"/>
    <n v="0.13500000000000001"/>
    <n v="0.82450000000000001"/>
    <n v="0.33750000000000002"/>
    <n v="0.21149999999999999"/>
    <n v="0.23899999999999999"/>
    <n v="11"/>
    <n v="1"/>
    <s v="Jan"/>
    <s v="Odom"/>
    <s v="University of Houston"/>
    <x v="2"/>
    <x v="2"/>
    <n v="12.3"/>
  </r>
  <r>
    <n v="218"/>
    <s v="F"/>
    <n v="0.40500000000000003"/>
    <n v="0.3"/>
    <n v="0.12"/>
    <n v="0.32400000000000001"/>
    <n v="0.1265"/>
    <n v="7.0000000000000007E-2"/>
    <n v="0.11"/>
    <n v="7"/>
    <n v="11"/>
    <s v="Naima"/>
    <s v="Reyes"/>
    <s v="University of Houston"/>
    <x v="8"/>
    <x v="8"/>
    <n v="14.1"/>
  </r>
  <r>
    <n v="904"/>
    <s v="F"/>
    <n v="0.315"/>
    <n v="0.23499999999999999"/>
    <n v="7.4999999999999997E-2"/>
    <n v="0.14849999999999999"/>
    <n v="5.8500000000000003E-2"/>
    <n v="3.7499999999999999E-2"/>
    <n v="4.2500000000000003E-2"/>
    <n v="6"/>
    <n v="15"/>
    <s v="Conan"/>
    <s v="Dalton"/>
    <s v="University of Houston"/>
    <x v="8"/>
    <x v="8"/>
    <n v="14.1"/>
  </r>
  <r>
    <n v="909"/>
    <s v="F"/>
    <n v="0.33500000000000002"/>
    <n v="0.25"/>
    <n v="7.4999999999999997E-2"/>
    <n v="0.1825"/>
    <n v="7.0499999999999993E-2"/>
    <n v="4.3999999999999997E-2"/>
    <n v="5.5E-2"/>
    <n v="7"/>
    <n v="13"/>
    <s v="Betty"/>
    <s v="Berg"/>
    <s v="University of Houston"/>
    <x v="7"/>
    <x v="7"/>
    <n v="12.8"/>
  </r>
  <r>
    <n v="303"/>
    <s v="F"/>
    <n v="0.37"/>
    <n v="0.28000000000000003"/>
    <n v="0.1"/>
    <n v="0.252"/>
    <n v="0.1065"/>
    <n v="5.9499999999999997E-2"/>
    <n v="7.3999999999999996E-2"/>
    <n v="8"/>
    <n v="8"/>
    <s v="Kali"/>
    <s v="Metcalfe"/>
    <s v="Mote Marine Laboratory"/>
    <x v="8"/>
    <x v="8"/>
    <n v="14.1"/>
  </r>
  <r>
    <n v="1093"/>
    <s v="F"/>
    <n v="0.46"/>
    <n v="0.35"/>
    <n v="0.115"/>
    <n v="0.41549999999999998"/>
    <n v="0.18"/>
    <n v="9.8000000000000004E-2"/>
    <n v="0.11749999999999999"/>
    <n v="7"/>
    <n v="6"/>
    <s v="Martin"/>
    <s v="Gaines"/>
    <s v="San Diego State University"/>
    <x v="3"/>
    <x v="3"/>
    <n v="3.6"/>
  </r>
  <r>
    <n v="2887"/>
    <s v="F"/>
    <n v="0.505"/>
    <n v="0.36499999999999999"/>
    <n v="0.115"/>
    <n v="0.52100000000000002"/>
    <n v="0.25"/>
    <n v="9.6000000000000002E-2"/>
    <n v="0.15"/>
    <n v="8"/>
    <n v="3"/>
    <s v="Inaya"/>
    <s v="Bernard"/>
    <s v="Stanford University"/>
    <x v="1"/>
    <x v="1"/>
    <n v="2.5"/>
  </r>
  <r>
    <n v="4082"/>
    <s v="F"/>
    <n v="0.56000000000000005"/>
    <n v="0.45"/>
    <n v="0.14499999999999999"/>
    <n v="0.9355"/>
    <n v="0.42499999999999999"/>
    <n v="0.16450000000000001"/>
    <n v="0.27250000000000002"/>
    <n v="11"/>
    <n v="5"/>
    <s v="Haniya"/>
    <s v="Talley"/>
    <s v="Prince William Sound Science Center"/>
    <x v="7"/>
    <x v="7"/>
    <n v="12.8"/>
  </r>
  <r>
    <n v="3208"/>
    <s v="F"/>
    <n v="0.48"/>
    <n v="0.38"/>
    <n v="0.125"/>
    <n v="0.52300000000000002"/>
    <n v="0.21049999999999999"/>
    <n v="0.1045"/>
    <n v="0.17499999999999999"/>
    <n v="15"/>
    <n v="8"/>
    <s v="Kali"/>
    <s v="Metcalfe"/>
    <s v="Mote Marine Laboratory"/>
    <x v="1"/>
    <x v="1"/>
    <n v="2.5"/>
  </r>
  <r>
    <n v="912"/>
    <s v="F"/>
    <n v="0.34"/>
    <n v="0.25"/>
    <n v="7.0000000000000007E-2"/>
    <n v="0.2225"/>
    <n v="0.104"/>
    <n v="4.2500000000000003E-2"/>
    <n v="5.5E-2"/>
    <n v="7"/>
    <n v="10"/>
    <s v="Hazel"/>
    <s v="Villa"/>
    <s v="University of Minnesota"/>
    <x v="7"/>
    <x v="7"/>
    <n v="12.8"/>
  </r>
  <r>
    <n v="989"/>
    <s v="F"/>
    <n v="0.56999999999999995"/>
    <n v="0.46"/>
    <n v="0.17"/>
    <n v="0.90349999999999997"/>
    <n v="0.40749999999999997"/>
    <n v="0.19350000000000001"/>
    <n v="0.214"/>
    <n v="7"/>
    <n v="4"/>
    <s v="Nate"/>
    <s v="Craig"/>
    <s v="NOAA Fisheries"/>
    <x v="7"/>
    <x v="7"/>
    <n v="12.8"/>
  </r>
  <r>
    <n v="1145"/>
    <s v="F"/>
    <n v="0.57999999999999996"/>
    <n v="0.45500000000000002"/>
    <n v="0.15"/>
    <n v="1.1140000000000001"/>
    <n v="0.47649999999999998"/>
    <n v="0.2155"/>
    <n v="0.26500000000000001"/>
    <n v="8"/>
    <n v="5"/>
    <s v="Haniya"/>
    <s v="Talley"/>
    <s v="Prince William Sound Science Center"/>
    <x v="5"/>
    <x v="5"/>
    <n v="6.1"/>
  </r>
  <r>
    <n v="3271"/>
    <s v="F"/>
    <n v="0.625"/>
    <n v="0.47499999999999998"/>
    <n v="0.13"/>
    <n v="0.85950000000000004"/>
    <n v="0.31950000000000001"/>
    <n v="0.17749999999999999"/>
    <n v="0.24"/>
    <n v="13"/>
    <n v="3"/>
    <s v="Inaya"/>
    <s v="Bernard"/>
    <s v="Stanford University"/>
    <x v="0"/>
    <x v="0"/>
    <n v="1.9"/>
  </r>
  <r>
    <n v="2093"/>
    <s v="F"/>
    <n v="0.53"/>
    <n v="0.42499999999999999"/>
    <n v="0.13"/>
    <n v="0.74550000000000005"/>
    <n v="0.29949999999999999"/>
    <n v="0.13550000000000001"/>
    <n v="0.245"/>
    <n v="10"/>
    <n v="14"/>
    <s v="Jose"/>
    <s v="Vaughan"/>
    <s v="Ohio State University_x0009_"/>
    <x v="8"/>
    <x v="8"/>
    <n v="14.1"/>
  </r>
  <r>
    <n v="3269"/>
    <s v="F"/>
    <n v="0.41"/>
    <n v="0.31"/>
    <n v="0.125"/>
    <n v="0.35949999999999999"/>
    <n v="0.14149999999999999"/>
    <n v="8.8499999999999995E-2"/>
    <n v="0.115"/>
    <n v="11"/>
    <n v="11"/>
    <s v="Naima"/>
    <s v="Reyes"/>
    <s v="University of Houston"/>
    <x v="0"/>
    <x v="0"/>
    <n v="1.9"/>
  </r>
  <r>
    <n v="3847"/>
    <s v="F"/>
    <n v="0.37"/>
    <n v="0.27500000000000002"/>
    <n v="8.5000000000000006E-2"/>
    <n v="0.20449999999999999"/>
    <n v="9.6000000000000002E-2"/>
    <n v="5.6000000000000001E-2"/>
    <n v="0.08"/>
    <n v="6"/>
    <n v="9"/>
    <s v="Danica"/>
    <s v="Tyler"/>
    <s v="University of Florida_x0009_"/>
    <x v="6"/>
    <x v="6"/>
    <n v="22.1"/>
  </r>
  <r>
    <n v="1842"/>
    <s v="F"/>
    <n v="0.435"/>
    <n v="0.33500000000000002"/>
    <n v="0.1"/>
    <n v="0.32450000000000001"/>
    <n v="0.13500000000000001"/>
    <n v="7.85E-2"/>
    <n v="9.8000000000000004E-2"/>
    <n v="7"/>
    <n v="11"/>
    <s v="Naima"/>
    <s v="Reyes"/>
    <s v="University of Houston"/>
    <x v="9"/>
    <x v="9"/>
    <n v="24.1"/>
  </r>
  <r>
    <n v="971"/>
    <s v="F"/>
    <n v="0.51500000000000001"/>
    <n v="0.43"/>
    <n v="0.14000000000000001"/>
    <n v="0.83399999999999996"/>
    <n v="0.36699999999999999"/>
    <n v="0.2"/>
    <n v="0.23"/>
    <n v="8"/>
    <n v="15"/>
    <s v="Conan"/>
    <s v="Dalton"/>
    <s v="University of Houston"/>
    <x v="4"/>
    <x v="4"/>
    <n v="18"/>
  </r>
  <r>
    <n v="1928"/>
    <s v="F"/>
    <n v="0.61499999999999999"/>
    <n v="0.47"/>
    <n v="0.15"/>
    <n v="1.0874999999999999"/>
    <n v="0.4975"/>
    <n v="0.28299999999999997"/>
    <n v="0.26850000000000002"/>
    <n v="9"/>
    <n v="11"/>
    <s v="Naima"/>
    <s v="Reyes"/>
    <s v="University of Houston"/>
    <x v="4"/>
    <x v="4"/>
    <n v="18"/>
  </r>
  <r>
    <n v="427"/>
    <s v="F"/>
    <n v="0.61"/>
    <n v="0.48499999999999999"/>
    <n v="0.16500000000000001"/>
    <n v="1.0914999999999999"/>
    <n v="0.39350000000000002"/>
    <n v="0.24349999999999999"/>
    <n v="0.33"/>
    <n v="18"/>
    <n v="11"/>
    <s v="Naima"/>
    <s v="Reyes"/>
    <s v="University of Houston"/>
    <x v="1"/>
    <x v="1"/>
    <n v="2.5"/>
  </r>
  <r>
    <n v="3572"/>
    <s v="F"/>
    <n v="0.58499999999999996"/>
    <n v="0.46500000000000002"/>
    <n v="0.16500000000000001"/>
    <n v="0.9355"/>
    <n v="0.40350000000000003"/>
    <n v="0.22750000000000001"/>
    <n v="0.25900000000000001"/>
    <n v="9"/>
    <n v="8"/>
    <s v="Kali"/>
    <s v="Metcalfe"/>
    <s v="Mote Marine Laboratory"/>
    <x v="8"/>
    <x v="8"/>
    <n v="14.1"/>
  </r>
  <r>
    <n v="713"/>
    <s v="F"/>
    <n v="0.28000000000000003"/>
    <n v="0.20499999999999999"/>
    <n v="5.5E-2"/>
    <n v="0.1135"/>
    <n v="4.4999999999999998E-2"/>
    <n v="2.75E-2"/>
    <n v="3.3500000000000002E-2"/>
    <n v="7"/>
    <n v="11"/>
    <s v="Naima"/>
    <s v="Reyes"/>
    <s v="University of Houston"/>
    <x v="7"/>
    <x v="7"/>
    <n v="12.8"/>
  </r>
  <r>
    <n v="3579"/>
    <s v="F"/>
    <n v="0.6"/>
    <n v="0.47499999999999998"/>
    <n v="0.17"/>
    <n v="1.0880000000000001"/>
    <n v="0.49049999999999999"/>
    <n v="0.2475"/>
    <n v="0.31"/>
    <n v="10"/>
    <n v="9"/>
    <s v="Danica"/>
    <s v="Tyler"/>
    <s v="University of Florida_x0009_"/>
    <x v="3"/>
    <x v="3"/>
    <n v="3.6"/>
  </r>
  <r>
    <n v="1235"/>
    <s v="F"/>
    <n v="0.375"/>
    <n v="0.28999999999999998"/>
    <n v="9.5000000000000001E-2"/>
    <n v="0.21299999999999999"/>
    <n v="9.6000000000000002E-2"/>
    <n v="4.1000000000000002E-2"/>
    <n v="6.0999999999999999E-2"/>
    <n v="5"/>
    <n v="1"/>
    <s v="Jan"/>
    <s v="Odom"/>
    <s v="University of Houston"/>
    <x v="3"/>
    <x v="3"/>
    <n v="3.6"/>
  </r>
  <r>
    <n v="1557"/>
    <s v="F"/>
    <n v="0.41499999999999998"/>
    <n v="0.32500000000000001"/>
    <n v="0.1"/>
    <n v="0.313"/>
    <n v="0.13900000000000001"/>
    <n v="6.25E-2"/>
    <n v="9.6500000000000002E-2"/>
    <n v="7"/>
    <n v="10"/>
    <s v="Hazel"/>
    <s v="Villa"/>
    <s v="University of Minnesota"/>
    <x v="4"/>
    <x v="4"/>
    <n v="18"/>
  </r>
  <r>
    <n v="491"/>
    <s v="F"/>
    <n v="0.59"/>
    <n v="0.45500000000000002"/>
    <n v="0.14499999999999999"/>
    <n v="1.073"/>
    <n v="0.47499999999999998"/>
    <n v="0.19"/>
    <n v="0.28499999999999998"/>
    <n v="14"/>
    <n v="6"/>
    <s v="Martin"/>
    <s v="Gaines"/>
    <s v="San Diego State University"/>
    <x v="1"/>
    <x v="1"/>
    <n v="2.5"/>
  </r>
  <r>
    <n v="2567"/>
    <s v="F"/>
    <n v="0.45500000000000002"/>
    <n v="0.35"/>
    <n v="0.12"/>
    <n v="0.45550000000000002"/>
    <n v="0.19450000000000001"/>
    <n v="0.1045"/>
    <n v="0.13750000000000001"/>
    <n v="7"/>
    <n v="1"/>
    <s v="Jan"/>
    <s v="Odom"/>
    <s v="University of Houston"/>
    <x v="3"/>
    <x v="3"/>
    <n v="3.6"/>
  </r>
  <r>
    <n v="3937"/>
    <s v="F"/>
    <n v="0.47499999999999998"/>
    <n v="0.4"/>
    <n v="0.115"/>
    <n v="0.54100000000000004"/>
    <n v="0.186"/>
    <n v="0.10249999999999999"/>
    <n v="0.21"/>
    <n v="13"/>
    <n v="2"/>
    <s v="Tiegan"/>
    <s v="Davie"/>
    <s v="University of California, Davis"/>
    <x v="4"/>
    <x v="4"/>
    <n v="18"/>
  </r>
  <r>
    <n v="2605"/>
    <s v="F"/>
    <n v="0.62"/>
    <n v="0.48499999999999999"/>
    <n v="0.17499999999999999"/>
    <n v="1.2155"/>
    <n v="0.54500000000000004"/>
    <n v="0.253"/>
    <n v="0.34499999999999997"/>
    <n v="10"/>
    <n v="5"/>
    <s v="Haniya"/>
    <s v="Talley"/>
    <s v="Prince William Sound Science Center"/>
    <x v="7"/>
    <x v="7"/>
    <n v="12.8"/>
  </r>
  <r>
    <n v="729"/>
    <s v="F"/>
    <n v="0.505"/>
    <n v="0.4"/>
    <n v="0.125"/>
    <n v="0.77"/>
    <n v="0.27350000000000002"/>
    <n v="0.159"/>
    <n v="0.255"/>
    <n v="13"/>
    <n v="11"/>
    <s v="Naima"/>
    <s v="Reyes"/>
    <s v="University of Houston"/>
    <x v="7"/>
    <x v="7"/>
    <n v="12.8"/>
  </r>
  <r>
    <n v="841"/>
    <s v="F"/>
    <n v="0.49"/>
    <n v="0.38500000000000001"/>
    <n v="0.125"/>
    <n v="0.60899999999999999"/>
    <n v="0.30649999999999999"/>
    <n v="9.6000000000000002E-2"/>
    <n v="0.17749999999999999"/>
    <n v="8"/>
    <n v="9"/>
    <s v="Danica"/>
    <s v="Tyler"/>
    <s v="University of Florida_x0009_"/>
    <x v="8"/>
    <x v="8"/>
    <n v="14.1"/>
  </r>
  <r>
    <n v="1901"/>
    <s v="F"/>
    <n v="0.57499999999999996"/>
    <n v="0.45"/>
    <n v="0.155"/>
    <n v="0.97650000000000003"/>
    <n v="0.495"/>
    <n v="0.2145"/>
    <n v="0.23499999999999999"/>
    <n v="9"/>
    <n v="11"/>
    <s v="Naima"/>
    <s v="Reyes"/>
    <s v="University of Houston"/>
    <x v="9"/>
    <x v="9"/>
    <n v="24.1"/>
  </r>
  <r>
    <n v="172"/>
    <s v="F"/>
    <n v="0.53"/>
    <n v="0.39500000000000002"/>
    <n v="0.14499999999999999"/>
    <n v="0.77500000000000002"/>
    <n v="0.308"/>
    <n v="0.16900000000000001"/>
    <n v="0.255"/>
    <n v="7"/>
    <n v="8"/>
    <s v="Kali"/>
    <s v="Metcalfe"/>
    <s v="Mote Marine Laboratory"/>
    <x v="3"/>
    <x v="3"/>
    <n v="3.6"/>
  </r>
  <r>
    <n v="3826"/>
    <s v="F"/>
    <n v="0.625"/>
    <n v="0.47"/>
    <n v="0.17"/>
    <n v="1.1665000000000001"/>
    <n v="0.46050000000000002"/>
    <n v="0.25650000000000001"/>
    <n v="0.39450000000000002"/>
    <n v="11"/>
    <n v="12"/>
    <s v="Rebecca"/>
    <s v="Bennett"/>
    <s v="University of Houston"/>
    <x v="8"/>
    <x v="8"/>
    <n v="14.1"/>
  </r>
  <r>
    <n v="2257"/>
    <s v="F"/>
    <n v="0.52"/>
    <n v="0.38"/>
    <n v="0.13500000000000001"/>
    <n v="0.58250000000000002"/>
    <n v="0.2505"/>
    <n v="0.1565"/>
    <n v="0.17499999999999999"/>
    <n v="8"/>
    <n v="2"/>
    <s v="Tiegan"/>
    <s v="Davie"/>
    <s v="University of California, Davis"/>
    <x v="6"/>
    <x v="6"/>
    <n v="22.1"/>
  </r>
  <r>
    <n v="3495"/>
    <s v="F"/>
    <n v="0.55500000000000005"/>
    <n v="0.43"/>
    <n v="0.13500000000000001"/>
    <n v="0.81200000000000006"/>
    <n v="0.40550000000000003"/>
    <n v="0.16300000000000001"/>
    <n v="0.2215"/>
    <n v="9"/>
    <n v="11"/>
    <s v="Naima"/>
    <s v="Reyes"/>
    <s v="University of Houston"/>
    <x v="1"/>
    <x v="1"/>
    <n v="2.5"/>
  </r>
  <r>
    <n v="1309"/>
    <s v="F"/>
    <n v="0.54500000000000004"/>
    <n v="0.44500000000000001"/>
    <n v="0.15"/>
    <n v="0.8"/>
    <n v="0.35349999999999998"/>
    <n v="0.16300000000000001"/>
    <n v="0.20699999999999999"/>
    <n v="9"/>
    <n v="14"/>
    <s v="Jose"/>
    <s v="Vaughan"/>
    <s v="Ohio State University_x0009_"/>
    <x v="5"/>
    <x v="5"/>
    <n v="6.1"/>
  </r>
  <r>
    <n v="3215"/>
    <s v="F"/>
    <n v="0.56999999999999995"/>
    <n v="0.495"/>
    <n v="0.16"/>
    <n v="1.0914999999999999"/>
    <n v="0.45200000000000001"/>
    <n v="0.27500000000000002"/>
    <n v="0.315"/>
    <n v="14"/>
    <n v="8"/>
    <s v="Kali"/>
    <s v="Metcalfe"/>
    <s v="Mote Marine Laboratory"/>
    <x v="5"/>
    <x v="5"/>
    <n v="6.1"/>
  </r>
  <r>
    <n v="1807"/>
    <s v="F"/>
    <n v="0.625"/>
    <n v="0.49"/>
    <n v="0.185"/>
    <n v="1.169"/>
    <n v="0.52749999999999997"/>
    <n v="0.2535"/>
    <n v="0.34399999999999997"/>
    <n v="11"/>
    <n v="7"/>
    <s v="Iona"/>
    <s v="Connolly"/>
    <s v="Florida Atlantic University"/>
    <x v="6"/>
    <x v="6"/>
    <n v="22.1"/>
  </r>
  <r>
    <n v="1287"/>
    <s v="F"/>
    <n v="0.5"/>
    <n v="0.39500000000000002"/>
    <n v="0.14000000000000001"/>
    <n v="0.62150000000000005"/>
    <n v="0.29249999999999998"/>
    <n v="0.1205"/>
    <n v="0.19500000000000001"/>
    <n v="9"/>
    <n v="8"/>
    <s v="Kali"/>
    <s v="Metcalfe"/>
    <s v="Mote Marine Laboratory"/>
    <x v="3"/>
    <x v="3"/>
    <n v="3.6"/>
  </r>
  <r>
    <n v="2153"/>
    <s v="F"/>
    <n v="0.4"/>
    <n v="0.3"/>
    <n v="0.115"/>
    <n v="0.30249999999999999"/>
    <n v="0.13350000000000001"/>
    <n v="4.65E-2"/>
    <n v="9.35E-2"/>
    <n v="8"/>
    <n v="4"/>
    <s v="Nate"/>
    <s v="Craig"/>
    <s v="NOAA Fisheries"/>
    <x v="3"/>
    <x v="3"/>
    <n v="3.6"/>
  </r>
  <r>
    <n v="1640"/>
    <s v="F"/>
    <n v="0.57499999999999996"/>
    <n v="0.45"/>
    <n v="0.13500000000000001"/>
    <n v="0.80700000000000005"/>
    <n v="0.36149999999999999"/>
    <n v="0.17599999999999999"/>
    <n v="0.254"/>
    <n v="10"/>
    <n v="3"/>
    <s v="Inaya"/>
    <s v="Bernard"/>
    <s v="Stanford University"/>
    <x v="1"/>
    <x v="1"/>
    <n v="2.5"/>
  </r>
  <r>
    <n v="4166"/>
    <s v="F"/>
    <n v="0.40500000000000003"/>
    <n v="0.3"/>
    <n v="8.5000000000000006E-2"/>
    <n v="0.30349999999999999"/>
    <n v="0.15"/>
    <n v="5.0500000000000003E-2"/>
    <n v="8.7999999999999995E-2"/>
    <n v="7"/>
    <n v="15"/>
    <s v="Conan"/>
    <s v="Dalton"/>
    <s v="University of Houston"/>
    <x v="3"/>
    <x v="3"/>
    <n v="3.6"/>
  </r>
  <r>
    <n v="443"/>
    <s v="F"/>
    <n v="0.505"/>
    <n v="0.42499999999999999"/>
    <n v="0.14000000000000001"/>
    <n v="0.85"/>
    <n v="0.27500000000000002"/>
    <n v="0.16250000000000001"/>
    <n v="0.28499999999999998"/>
    <n v="19"/>
    <n v="6"/>
    <s v="Martin"/>
    <s v="Gaines"/>
    <s v="San Diego State University"/>
    <x v="1"/>
    <x v="1"/>
    <n v="2.5"/>
  </r>
  <r>
    <n v="1570"/>
    <s v="F"/>
    <n v="0.47499999999999998"/>
    <n v="0.36"/>
    <n v="0.14499999999999999"/>
    <n v="0.63249999999999995"/>
    <n v="0.28249999999999997"/>
    <n v="0.13700000000000001"/>
    <n v="0.19"/>
    <n v="8"/>
    <n v="5"/>
    <s v="Haniya"/>
    <s v="Talley"/>
    <s v="Prince William Sound Science Center"/>
    <x v="1"/>
    <x v="1"/>
    <n v="2.5"/>
  </r>
  <r>
    <n v="1271"/>
    <s v="F"/>
    <n v="0.47"/>
    <n v="0.35499999999999998"/>
    <n v="0.18"/>
    <n v="0.48"/>
    <n v="0.20549999999999999"/>
    <n v="0.105"/>
    <n v="0.15049999999999999"/>
    <n v="8"/>
    <n v="7"/>
    <s v="Iona"/>
    <s v="Connolly"/>
    <s v="Florida Atlantic University"/>
    <x v="6"/>
    <x v="6"/>
    <n v="22.1"/>
  </r>
  <r>
    <n v="2041"/>
    <s v="F"/>
    <n v="0.32"/>
    <n v="0.255"/>
    <n v="8.5000000000000006E-2"/>
    <n v="0.17449999999999999"/>
    <n v="7.1999999999999995E-2"/>
    <n v="3.3000000000000002E-2"/>
    <n v="5.7000000000000002E-2"/>
    <n v="8"/>
    <n v="4"/>
    <s v="Nate"/>
    <s v="Craig"/>
    <s v="NOAA Fisheries"/>
    <x v="7"/>
    <x v="7"/>
    <n v="12.8"/>
  </r>
  <r>
    <n v="103"/>
    <s v="F"/>
    <n v="0.53"/>
    <n v="0.435"/>
    <n v="0.16"/>
    <n v="0.88300000000000001"/>
    <n v="0.316"/>
    <n v="0.16400000000000001"/>
    <n v="0.33500000000000002"/>
    <n v="15"/>
    <n v="10"/>
    <s v="Hazel"/>
    <s v="Villa"/>
    <s v="University of Minnesota"/>
    <x v="3"/>
    <x v="3"/>
    <n v="3.6"/>
  </r>
  <r>
    <n v="1612"/>
    <s v="F"/>
    <n v="0.55000000000000004"/>
    <n v="0.435"/>
    <n v="0.14000000000000001"/>
    <n v="0.76249999999999996"/>
    <n v="0.32700000000000001"/>
    <n v="0.16850000000000001"/>
    <n v="0.25900000000000001"/>
    <n v="10"/>
    <n v="1"/>
    <s v="Jan"/>
    <s v="Odom"/>
    <s v="University of Houston"/>
    <x v="9"/>
    <x v="9"/>
    <n v="24.1"/>
  </r>
  <r>
    <n v="3910"/>
    <s v="F"/>
    <n v="0.45500000000000002"/>
    <n v="0.375"/>
    <n v="0.125"/>
    <n v="0.45800000000000002"/>
    <n v="0.19850000000000001"/>
    <n v="0.111"/>
    <n v="0.12"/>
    <n v="10"/>
    <n v="9"/>
    <s v="Danica"/>
    <s v="Tyler"/>
    <s v="University of Florida_x0009_"/>
    <x v="4"/>
    <x v="4"/>
    <n v="18"/>
  </r>
  <r>
    <n v="3295"/>
    <s v="F"/>
    <n v="0.63"/>
    <n v="0.5"/>
    <n v="0.16"/>
    <n v="1.22"/>
    <n v="0.49049999999999999"/>
    <n v="0.3"/>
    <n v="0.34499999999999997"/>
    <n v="14"/>
    <n v="6"/>
    <s v="Martin"/>
    <s v="Gaines"/>
    <s v="San Diego State University"/>
    <x v="7"/>
    <x v="7"/>
    <n v="12.8"/>
  </r>
  <r>
    <n v="3356"/>
    <s v="F"/>
    <n v="0.435"/>
    <n v="0.34"/>
    <n v="0.11"/>
    <n v="0.40699999999999997"/>
    <n v="0.16850000000000001"/>
    <n v="7.2999999999999995E-2"/>
    <n v="0.13"/>
    <n v="10"/>
    <n v="2"/>
    <s v="Tiegan"/>
    <s v="Davie"/>
    <s v="University of California, Davis"/>
    <x v="6"/>
    <x v="6"/>
    <n v="22.1"/>
  </r>
  <r>
    <n v="2785"/>
    <s v="F"/>
    <n v="0.6"/>
    <n v="0.45"/>
    <n v="0.14499999999999999"/>
    <n v="0.877"/>
    <n v="0.4325"/>
    <n v="0.155"/>
    <n v="0.24"/>
    <n v="9"/>
    <n v="12"/>
    <s v="Rebecca"/>
    <s v="Bennett"/>
    <s v="University of Houston"/>
    <x v="5"/>
    <x v="5"/>
    <n v="6.1"/>
  </r>
  <r>
    <n v="2063"/>
    <s v="F"/>
    <n v="0.505"/>
    <n v="0.38500000000000001"/>
    <n v="0.13"/>
    <n v="0.64349999999999996"/>
    <n v="0.3135"/>
    <n v="0.14899999999999999"/>
    <n v="0.1515"/>
    <n v="7"/>
    <n v="6"/>
    <s v="Martin"/>
    <s v="Gaines"/>
    <s v="San Diego State University"/>
    <x v="1"/>
    <x v="1"/>
    <n v="2.5"/>
  </r>
  <r>
    <n v="2165"/>
    <s v="F"/>
    <n v="0.375"/>
    <n v="0.30499999999999999"/>
    <n v="0.09"/>
    <n v="0.32450000000000001"/>
    <n v="0.13950000000000001"/>
    <n v="5.6500000000000002E-2"/>
    <n v="9.5000000000000001E-2"/>
    <n v="5"/>
    <n v="15"/>
    <s v="Conan"/>
    <s v="Dalton"/>
    <s v="University of Houston"/>
    <x v="0"/>
    <x v="0"/>
    <n v="1.9"/>
  </r>
  <r>
    <n v="714"/>
    <s v="F"/>
    <n v="0.35499999999999998"/>
    <n v="0.26500000000000001"/>
    <n v="8.5000000000000006E-2"/>
    <n v="0.20100000000000001"/>
    <n v="6.9000000000000006E-2"/>
    <n v="5.2999999999999999E-2"/>
    <n v="6.9500000000000006E-2"/>
    <n v="8"/>
    <n v="12"/>
    <s v="Rebecca"/>
    <s v="Bennett"/>
    <s v="University of Houston"/>
    <x v="9"/>
    <x v="9"/>
    <n v="24.1"/>
  </r>
  <r>
    <n v="1008"/>
    <s v="F"/>
    <n v="0.61"/>
    <n v="0.47"/>
    <n v="0.15"/>
    <n v="1.1625000000000001"/>
    <n v="0.56499999999999995"/>
    <n v="0.25800000000000001"/>
    <n v="0.3085"/>
    <n v="11"/>
    <n v="6"/>
    <s v="Martin"/>
    <s v="Gaines"/>
    <s v="San Diego State University"/>
    <x v="0"/>
    <x v="0"/>
    <n v="1.9"/>
  </r>
  <r>
    <n v="2263"/>
    <s v="F"/>
    <n v="0.57999999999999996"/>
    <n v="0.45500000000000002"/>
    <n v="0.16"/>
    <n v="0.92149999999999999"/>
    <n v="0.312"/>
    <n v="0.19600000000000001"/>
    <n v="0.3"/>
    <n v="17"/>
    <n v="13"/>
    <s v="Betty"/>
    <s v="Berg"/>
    <s v="University of Houston"/>
    <x v="9"/>
    <x v="9"/>
    <n v="24.1"/>
  </r>
  <r>
    <n v="677"/>
    <s v="F"/>
    <n v="0.54"/>
    <n v="0.41499999999999998"/>
    <n v="0.14499999999999999"/>
    <n v="0.74"/>
    <n v="0.26350000000000001"/>
    <n v="0.16800000000000001"/>
    <n v="0.245"/>
    <n v="12"/>
    <n v="9"/>
    <s v="Danica"/>
    <s v="Tyler"/>
    <s v="University of Florida_x0009_"/>
    <x v="7"/>
    <x v="7"/>
    <n v="12.8"/>
  </r>
  <r>
    <n v="2896"/>
    <s v="F"/>
    <n v="0.54"/>
    <n v="0.41499999999999998"/>
    <n v="0.11"/>
    <n v="0.61899999999999999"/>
    <n v="0.27550000000000002"/>
    <n v="0.15"/>
    <n v="0.17649999999999999"/>
    <n v="10"/>
    <n v="1"/>
    <s v="Jan"/>
    <s v="Odom"/>
    <s v="University of Houston"/>
    <x v="0"/>
    <x v="0"/>
    <n v="1.9"/>
  </r>
  <r>
    <n v="2715"/>
    <s v="F"/>
    <n v="0.28999999999999998"/>
    <n v="0.215"/>
    <n v="6.5000000000000002E-2"/>
    <n v="9.8500000000000004E-2"/>
    <n v="4.2500000000000003E-2"/>
    <n v="2.1000000000000001E-2"/>
    <n v="3.1E-2"/>
    <n v="5"/>
    <n v="8"/>
    <s v="Kali"/>
    <s v="Metcalfe"/>
    <s v="Mote Marine Laboratory"/>
    <x v="9"/>
    <x v="9"/>
    <n v="24.1"/>
  </r>
  <r>
    <n v="3312"/>
    <s v="F"/>
    <n v="0.48"/>
    <n v="0.38"/>
    <n v="0.13500000000000001"/>
    <n v="0.50700000000000001"/>
    <n v="0.1915"/>
    <n v="0.13650000000000001"/>
    <n v="0.155"/>
    <n v="12"/>
    <n v="15"/>
    <s v="Conan"/>
    <s v="Dalton"/>
    <s v="University of Houston"/>
    <x v="7"/>
    <x v="7"/>
    <n v="12.8"/>
  </r>
  <r>
    <n v="9"/>
    <s v="F"/>
    <n v="0.47499999999999998"/>
    <n v="0.37"/>
    <n v="0.125"/>
    <n v="0.50949999999999995"/>
    <n v="0.2165"/>
    <n v="0.1125"/>
    <n v="0.16500000000000001"/>
    <n v="9"/>
    <n v="2"/>
    <s v="Tiegan"/>
    <s v="Davie"/>
    <s v="University of California, Davis"/>
    <x v="3"/>
    <x v="3"/>
    <n v="3.6"/>
  </r>
  <r>
    <n v="2556"/>
    <s v="F"/>
    <n v="0.37"/>
    <n v="0.28999999999999998"/>
    <n v="0.08"/>
    <n v="0.2545"/>
    <n v="0.108"/>
    <n v="5.6500000000000002E-2"/>
    <n v="7.0000000000000007E-2"/>
    <n v="6"/>
    <n v="15"/>
    <s v="Conan"/>
    <s v="Dalton"/>
    <s v="University of Houston"/>
    <x v="7"/>
    <x v="7"/>
    <n v="12.8"/>
  </r>
  <r>
    <n v="3872"/>
    <s v="F"/>
    <n v="0.45"/>
    <n v="0.36"/>
    <n v="0.11"/>
    <n v="0.44700000000000001"/>
    <n v="0.20300000000000001"/>
    <n v="8.2000000000000003E-2"/>
    <n v="0.13"/>
    <n v="12"/>
    <n v="13"/>
    <s v="Betty"/>
    <s v="Berg"/>
    <s v="University of Houston"/>
    <x v="9"/>
    <x v="9"/>
    <n v="24.1"/>
  </r>
  <r>
    <n v="2521"/>
    <s v="F"/>
    <n v="0.52500000000000002"/>
    <n v="0.42499999999999999"/>
    <n v="0.19"/>
    <n v="0.872"/>
    <n v="0.46250000000000002"/>
    <n v="0.17249999999999999"/>
    <n v="0.19900000000000001"/>
    <n v="9"/>
    <n v="8"/>
    <s v="Kali"/>
    <s v="Metcalfe"/>
    <s v="Mote Marine Laboratory"/>
    <x v="0"/>
    <x v="0"/>
    <n v="1.9"/>
  </r>
  <r>
    <n v="3507"/>
    <s v="F"/>
    <n v="0.625"/>
    <n v="0.47"/>
    <n v="0.17499999999999999"/>
    <n v="1.179"/>
    <n v="0.60499999999999998"/>
    <n v="0.25800000000000001"/>
    <n v="0.27100000000000002"/>
    <n v="9"/>
    <n v="12"/>
    <s v="Rebecca"/>
    <s v="Bennett"/>
    <s v="University of Houston"/>
    <x v="3"/>
    <x v="3"/>
    <n v="3.6"/>
  </r>
  <r>
    <n v="3361"/>
    <s v="F"/>
    <n v="0.57999999999999996"/>
    <n v="0.44"/>
    <n v="0.17499999999999999"/>
    <n v="1.073"/>
    <n v="0.40050000000000002"/>
    <n v="0.23449999999999999"/>
    <n v="0.33500000000000002"/>
    <n v="19"/>
    <n v="1"/>
    <s v="Jan"/>
    <s v="Odom"/>
    <s v="University of Houston"/>
    <x v="2"/>
    <x v="2"/>
    <n v="12.3"/>
  </r>
  <r>
    <n v="821"/>
    <s v="F"/>
    <n v="0.36499999999999999"/>
    <n v="0.27500000000000002"/>
    <n v="0.13500000000000001"/>
    <n v="0.24"/>
    <n v="0.108"/>
    <n v="4.4499999999999998E-2"/>
    <n v="7.3499999999999996E-2"/>
    <n v="7"/>
    <n v="10"/>
    <s v="Hazel"/>
    <s v="Villa"/>
    <s v="University of Minnesota"/>
    <x v="4"/>
    <x v="4"/>
    <n v="18"/>
  </r>
  <r>
    <n v="2007"/>
    <s v="F"/>
    <n v="0.40500000000000003"/>
    <n v="0.25"/>
    <n v="0.09"/>
    <n v="0.28749999999999998"/>
    <n v="0.128"/>
    <n v="6.3E-2"/>
    <n v="8.0500000000000002E-2"/>
    <n v="7"/>
    <n v="11"/>
    <s v="Naima"/>
    <s v="Reyes"/>
    <s v="University of Houston"/>
    <x v="7"/>
    <x v="7"/>
    <n v="12.8"/>
  </r>
  <r>
    <n v="619"/>
    <s v="F"/>
    <n v="0.31"/>
    <n v="0.22500000000000001"/>
    <n v="7.4999999999999997E-2"/>
    <n v="0.1295"/>
    <n v="4.5499999999999999E-2"/>
    <n v="3.3500000000000002E-2"/>
    <n v="4.3999999999999997E-2"/>
    <n v="9"/>
    <n v="7"/>
    <s v="Iona"/>
    <s v="Connolly"/>
    <s v="Florida Atlantic University"/>
    <x v="4"/>
    <x v="4"/>
    <n v="18"/>
  </r>
  <r>
    <n v="2341"/>
    <s v="F"/>
    <n v="0.59"/>
    <n v="0.47"/>
    <n v="0.17"/>
    <n v="0.9"/>
    <n v="0.35499999999999998"/>
    <n v="0.1905"/>
    <n v="0.25"/>
    <n v="11"/>
    <n v="7"/>
    <s v="Iona"/>
    <s v="Connolly"/>
    <s v="Florida Atlantic University"/>
    <x v="6"/>
    <x v="6"/>
    <n v="22.1"/>
  </r>
  <r>
    <n v="819"/>
    <s v="F"/>
    <n v="0.35"/>
    <n v="0.25"/>
    <n v="7.0000000000000007E-2"/>
    <n v="0.18"/>
    <n v="6.5500000000000003E-2"/>
    <n v="4.8000000000000001E-2"/>
    <n v="5.3999999999999999E-2"/>
    <n v="6"/>
    <n v="12"/>
    <s v="Rebecca"/>
    <s v="Bennett"/>
    <s v="University of Houston"/>
    <x v="2"/>
    <x v="2"/>
    <n v="12.3"/>
  </r>
  <r>
    <n v="404"/>
    <s v="F"/>
    <n v="0.51500000000000001"/>
    <n v="0.41499999999999998"/>
    <n v="0.14000000000000001"/>
    <n v="0.69350000000000001"/>
    <n v="0.3115"/>
    <n v="0.152"/>
    <n v="0.2"/>
    <n v="10"/>
    <n v="13"/>
    <s v="Betty"/>
    <s v="Berg"/>
    <s v="University of Houston"/>
    <x v="6"/>
    <x v="6"/>
    <n v="22.1"/>
  </r>
  <r>
    <n v="3259"/>
    <s v="F"/>
    <n v="0.45500000000000002"/>
    <n v="0.375"/>
    <n v="0.125"/>
    <n v="0.48399999999999999"/>
    <n v="0.2155"/>
    <n v="0.10199999999999999"/>
    <n v="0.16500000000000001"/>
    <n v="7"/>
    <n v="14"/>
    <s v="Jose"/>
    <s v="Vaughan"/>
    <s v="Ohio State University_x0009_"/>
    <x v="0"/>
    <x v="0"/>
    <n v="1.9"/>
  </r>
  <r>
    <n v="126"/>
    <s v="F"/>
    <n v="0.27"/>
    <n v="0.19500000000000001"/>
    <n v="0.06"/>
    <n v="7.2999999999999995E-2"/>
    <n v="2.8500000000000001E-2"/>
    <n v="2.35E-2"/>
    <n v="0.03"/>
    <n v="5"/>
    <n v="12"/>
    <s v="Rebecca"/>
    <s v="Bennett"/>
    <s v="University of Houston"/>
    <x v="9"/>
    <x v="9"/>
    <n v="24.1"/>
  </r>
  <r>
    <n v="961"/>
    <s v="F"/>
    <n v="0.5"/>
    <n v="0.4"/>
    <n v="0.125"/>
    <n v="0.67249999999999999"/>
    <n v="0.33600000000000002"/>
    <n v="0.12"/>
    <n v="0.1825"/>
    <n v="7"/>
    <n v="9"/>
    <s v="Danica"/>
    <s v="Tyler"/>
    <s v="University of Florida_x0009_"/>
    <x v="5"/>
    <x v="5"/>
    <n v="6.1"/>
  </r>
  <r>
    <n v="3861"/>
    <s v="F"/>
    <n v="0.55000000000000004"/>
    <n v="0.46500000000000002"/>
    <n v="0.15"/>
    <n v="1.0820000000000001"/>
    <n v="0.35749999999999998"/>
    <n v="0.19400000000000001"/>
    <n v="0.19"/>
    <n v="14"/>
    <n v="12"/>
    <s v="Rebecca"/>
    <s v="Bennett"/>
    <s v="University of Houston"/>
    <x v="8"/>
    <x v="8"/>
    <n v="14.1"/>
  </r>
  <r>
    <n v="1267"/>
    <s v="F"/>
    <n v="0.46"/>
    <n v="0.35"/>
    <n v="0.105"/>
    <n v="0.3705"/>
    <n v="0.1575"/>
    <n v="7.6999999999999999E-2"/>
    <n v="0.114"/>
    <n v="9"/>
    <n v="1"/>
    <s v="Jan"/>
    <s v="Odom"/>
    <s v="University of Houston"/>
    <x v="3"/>
    <x v="3"/>
    <n v="3.6"/>
  </r>
  <r>
    <n v="2504"/>
    <s v="F"/>
    <n v="0.3"/>
    <n v="0.23"/>
    <n v="7.4999999999999997E-2"/>
    <n v="0.127"/>
    <n v="5.1999999999999998E-2"/>
    <n v="0.03"/>
    <n v="3.4500000000000003E-2"/>
    <n v="6"/>
    <n v="8"/>
    <s v="Kali"/>
    <s v="Metcalfe"/>
    <s v="Mote Marine Laboratory"/>
    <x v="0"/>
    <x v="0"/>
    <n v="1.9"/>
  </r>
  <r>
    <n v="1126"/>
    <s v="F"/>
    <n v="0.55000000000000004"/>
    <n v="0.42499999999999999"/>
    <n v="0.15"/>
    <n v="0.83150000000000002"/>
    <n v="0.41099999999999998"/>
    <n v="0.17649999999999999"/>
    <n v="0.2165"/>
    <n v="10"/>
    <n v="10"/>
    <s v="Hazel"/>
    <s v="Villa"/>
    <s v="University of Minnesota"/>
    <x v="1"/>
    <x v="1"/>
    <n v="2.5"/>
  </r>
  <r>
    <n v="4075"/>
    <s v="F"/>
    <n v="0.52"/>
    <n v="0.4"/>
    <n v="0.14000000000000001"/>
    <n v="0.622"/>
    <n v="0.27800000000000002"/>
    <n v="0.14549999999999999"/>
    <n v="0.16900000000000001"/>
    <n v="8"/>
    <n v="2"/>
    <s v="Tiegan"/>
    <s v="Davie"/>
    <s v="University of California, Davis"/>
    <x v="2"/>
    <x v="2"/>
    <n v="12.3"/>
  </r>
  <r>
    <n v="1339"/>
    <s v="F"/>
    <n v="0.57999999999999996"/>
    <n v="0.45500000000000002"/>
    <n v="0.13500000000000001"/>
    <n v="0.79549999999999998"/>
    <n v="0.40500000000000003"/>
    <n v="0.16700000000000001"/>
    <n v="0.20399999999999999"/>
    <n v="10"/>
    <n v="12"/>
    <s v="Rebecca"/>
    <s v="Bennett"/>
    <s v="University of Houston"/>
    <x v="5"/>
    <x v="5"/>
    <n v="6.1"/>
  </r>
  <r>
    <n v="3200"/>
    <s v="F"/>
    <n v="0.49"/>
    <n v="0.38"/>
    <n v="0.155"/>
    <n v="0.57799999999999996"/>
    <n v="0.23949999999999999"/>
    <n v="0.1255"/>
    <n v="0.18"/>
    <n v="9"/>
    <n v="12"/>
    <s v="Rebecca"/>
    <s v="Bennett"/>
    <s v="University of Houston"/>
    <x v="6"/>
    <x v="6"/>
    <n v="22.1"/>
  </r>
  <r>
    <n v="2392"/>
    <s v="F"/>
    <n v="0.37"/>
    <n v="0.28999999999999998"/>
    <n v="0.09"/>
    <n v="0.24099999999999999"/>
    <n v="0.11"/>
    <n v="4.4999999999999998E-2"/>
    <n v="6.9000000000000006E-2"/>
    <n v="10"/>
    <n v="2"/>
    <s v="Tiegan"/>
    <s v="Davie"/>
    <s v="University of California, Davis"/>
    <x v="7"/>
    <x v="7"/>
    <n v="12.8"/>
  </r>
  <r>
    <n v="1810"/>
    <s v="F"/>
    <n v="0.64"/>
    <n v="0.47499999999999998"/>
    <n v="0.14000000000000001"/>
    <n v="1.0725"/>
    <n v="0.48949999999999999"/>
    <n v="0.22950000000000001"/>
    <n v="0.31"/>
    <n v="8"/>
    <n v="3"/>
    <s v="Inaya"/>
    <s v="Bernard"/>
    <s v="Stanford University"/>
    <x v="1"/>
    <x v="1"/>
    <n v="2.5"/>
  </r>
  <r>
    <n v="3036"/>
    <s v="F"/>
    <n v="0.55000000000000004"/>
    <n v="0.40500000000000003"/>
    <n v="0.15"/>
    <n v="0.67549999999999999"/>
    <n v="0.30149999999999999"/>
    <n v="0.14649999999999999"/>
    <n v="0.21"/>
    <n v="10"/>
    <n v="12"/>
    <s v="Rebecca"/>
    <s v="Bennett"/>
    <s v="University of Houston"/>
    <x v="0"/>
    <x v="0"/>
    <n v="1.9"/>
  </r>
  <r>
    <n v="314"/>
    <s v="F"/>
    <n v="0.62"/>
    <n v="0.47"/>
    <n v="0.2"/>
    <n v="1.2255"/>
    <n v="0.38100000000000001"/>
    <n v="0.27"/>
    <n v="0.435"/>
    <n v="23"/>
    <n v="9"/>
    <s v="Danica"/>
    <s v="Tyler"/>
    <s v="University of Florida_x0009_"/>
    <x v="8"/>
    <x v="8"/>
    <n v="14.1"/>
  </r>
  <r>
    <n v="1532"/>
    <s v="F"/>
    <n v="0.21"/>
    <n v="0.17"/>
    <n v="4.4999999999999998E-2"/>
    <n v="4.7500000000000001E-2"/>
    <n v="1.9E-2"/>
    <n v="1.0999999999999999E-2"/>
    <n v="1.2999999999999999E-2"/>
    <n v="5"/>
    <n v="11"/>
    <s v="Naima"/>
    <s v="Reyes"/>
    <s v="University of Houston"/>
    <x v="1"/>
    <x v="1"/>
    <n v="2.5"/>
  </r>
  <r>
    <n v="2344"/>
    <s v="F"/>
    <n v="0.17"/>
    <n v="0.125"/>
    <n v="5.5E-2"/>
    <n v="2.35E-2"/>
    <n v="8.9999999999999993E-3"/>
    <n v="5.4999999999999997E-3"/>
    <n v="8.0000000000000002E-3"/>
    <n v="6"/>
    <n v="13"/>
    <s v="Betty"/>
    <s v="Berg"/>
    <s v="University of Houston"/>
    <x v="2"/>
    <x v="2"/>
    <n v="12.3"/>
  </r>
  <r>
    <n v="1165"/>
    <s v="F"/>
    <n v="0.61499999999999999"/>
    <n v="0.46"/>
    <n v="0.17"/>
    <n v="1.0565"/>
    <n v="0.48149999999999998"/>
    <n v="0.27200000000000002"/>
    <n v="0.27"/>
    <n v="10"/>
    <n v="14"/>
    <s v="Jose"/>
    <s v="Vaughan"/>
    <s v="Ohio State University_x0009_"/>
    <x v="0"/>
    <x v="0"/>
    <n v="1.9"/>
  </r>
  <r>
    <n v="1009"/>
    <s v="F"/>
    <n v="0.61"/>
    <n v="0.47499999999999998"/>
    <n v="0.155"/>
    <n v="1.1679999999999999"/>
    <n v="0.55400000000000005"/>
    <n v="0.23899999999999999"/>
    <n v="0.32950000000000002"/>
    <n v="10"/>
    <n v="10"/>
    <s v="Hazel"/>
    <s v="Villa"/>
    <s v="University of Minnesota"/>
    <x v="3"/>
    <x v="3"/>
    <n v="3.6"/>
  </r>
  <r>
    <n v="735"/>
    <s v="F"/>
    <n v="0.52500000000000002"/>
    <n v="0.42499999999999999"/>
    <n v="0.12"/>
    <n v="0.86650000000000005"/>
    <n v="0.28249999999999997"/>
    <n v="0.17599999999999999"/>
    <n v="0.28999999999999998"/>
    <n v="18"/>
    <n v="8"/>
    <s v="Kali"/>
    <s v="Metcalfe"/>
    <s v="Mote Marine Laboratory"/>
    <x v="1"/>
    <x v="1"/>
    <n v="2.5"/>
  </r>
  <r>
    <n v="3889"/>
    <s v="F"/>
    <n v="0.57499999999999996"/>
    <n v="0.45"/>
    <n v="0.1"/>
    <n v="0.93149999999999999"/>
    <n v="0.43099999999999999"/>
    <n v="0.222"/>
    <n v="0.23499999999999999"/>
    <n v="12"/>
    <n v="6"/>
    <s v="Martin"/>
    <s v="Gaines"/>
    <s v="San Diego State University"/>
    <x v="4"/>
    <x v="4"/>
    <n v="18"/>
  </r>
  <r>
    <n v="3722"/>
    <s v="F"/>
    <n v="0.43"/>
    <n v="0.31"/>
    <n v="0.13"/>
    <n v="0.64849999999999997"/>
    <n v="0.27350000000000002"/>
    <n v="0.16300000000000001"/>
    <n v="0.184"/>
    <n v="9"/>
    <n v="15"/>
    <s v="Conan"/>
    <s v="Dalton"/>
    <s v="University of Houston"/>
    <x v="9"/>
    <x v="9"/>
    <n v="24.1"/>
  </r>
  <r>
    <n v="2583"/>
    <s v="F"/>
    <n v="0.53"/>
    <n v="0.41"/>
    <n v="0.14000000000000001"/>
    <n v="0.68100000000000005"/>
    <n v="0.3095"/>
    <n v="0.14149999999999999"/>
    <n v="0.1835"/>
    <n v="6"/>
    <n v="13"/>
    <s v="Betty"/>
    <s v="Berg"/>
    <s v="University of Houston"/>
    <x v="8"/>
    <x v="8"/>
    <n v="14.1"/>
  </r>
  <r>
    <n v="1215"/>
    <s v="F"/>
    <n v="0.27500000000000002"/>
    <n v="0.19500000000000001"/>
    <n v="0.09"/>
    <n v="0.1125"/>
    <n v="5.45E-2"/>
    <n v="2.9499999999999998E-2"/>
    <n v="3.5499999999999997E-2"/>
    <n v="6"/>
    <n v="4"/>
    <s v="Nate"/>
    <s v="Craig"/>
    <s v="NOAA Fisheries"/>
    <x v="4"/>
    <x v="4"/>
    <n v="18"/>
  </r>
  <r>
    <n v="814"/>
    <s v="F"/>
    <n v="0.255"/>
    <n v="0.185"/>
    <n v="0.06"/>
    <n v="8.7999999999999995E-2"/>
    <n v="3.6499999999999998E-2"/>
    <n v="2.1000000000000001E-2"/>
    <n v="2.3E-2"/>
    <n v="5"/>
    <n v="14"/>
    <s v="Jose"/>
    <s v="Vaughan"/>
    <s v="Ohio State University_x0009_"/>
    <x v="1"/>
    <x v="1"/>
    <n v="2.5"/>
  </r>
  <r>
    <n v="908"/>
    <s v="F"/>
    <n v="0.33"/>
    <n v="0.26500000000000001"/>
    <n v="8.5000000000000006E-2"/>
    <n v="0.19600000000000001"/>
    <n v="7.7499999999999999E-2"/>
    <n v="3.0499999999999999E-2"/>
    <n v="4.4499999999999998E-2"/>
    <n v="6"/>
    <n v="1"/>
    <s v="Jan"/>
    <s v="Odom"/>
    <s v="University of Houston"/>
    <x v="6"/>
    <x v="6"/>
    <n v="22.1"/>
  </r>
  <r>
    <n v="1606"/>
    <s v="F"/>
    <n v="0.54"/>
    <n v="0.42"/>
    <n v="0.14000000000000001"/>
    <n v="0.62749999999999995"/>
    <n v="0.2505"/>
    <n v="0.11749999999999999"/>
    <n v="0.23499999999999999"/>
    <n v="9"/>
    <n v="5"/>
    <s v="Haniya"/>
    <s v="Talley"/>
    <s v="Prince William Sound Science Center"/>
    <x v="1"/>
    <x v="1"/>
    <n v="2.5"/>
  </r>
  <r>
    <n v="2298"/>
    <s v="F"/>
    <n v="0.47499999999999998"/>
    <n v="0.36"/>
    <n v="0.12"/>
    <n v="0.57799999999999996"/>
    <n v="0.28249999999999997"/>
    <n v="0.12"/>
    <n v="0.17"/>
    <n v="8"/>
    <n v="1"/>
    <s v="Jan"/>
    <s v="Odom"/>
    <s v="University of Houston"/>
    <x v="2"/>
    <x v="2"/>
    <n v="12.3"/>
  </r>
  <r>
    <n v="710"/>
    <s v="F"/>
    <n v="0.29499999999999998"/>
    <n v="0.22500000000000001"/>
    <n v="0.09"/>
    <n v="0.1105"/>
    <n v="4.0500000000000001E-2"/>
    <n v="2.4500000000000001E-2"/>
    <n v="3.2000000000000001E-2"/>
    <n v="7"/>
    <n v="13"/>
    <s v="Betty"/>
    <s v="Berg"/>
    <s v="University of Houston"/>
    <x v="1"/>
    <x v="1"/>
    <n v="2.5"/>
  </r>
  <r>
    <n v="551"/>
    <s v="F"/>
    <n v="0.65"/>
    <n v="0.51500000000000001"/>
    <n v="0.16"/>
    <n v="1.1625000000000001"/>
    <n v="0.495"/>
    <n v="0.20300000000000001"/>
    <n v="0.33"/>
    <n v="17"/>
    <n v="1"/>
    <s v="Jan"/>
    <s v="Odom"/>
    <s v="University of Houston"/>
    <x v="8"/>
    <x v="8"/>
    <n v="14.1"/>
  </r>
  <r>
    <n v="4102"/>
    <s v="F"/>
    <n v="0.67500000000000004"/>
    <n v="0.51"/>
    <n v="0.15"/>
    <n v="1.1964999999999999"/>
    <n v="0.47499999999999998"/>
    <n v="0.30399999999999999"/>
    <n v="0.38600000000000001"/>
    <n v="11"/>
    <n v="6"/>
    <s v="Martin"/>
    <s v="Gaines"/>
    <s v="San Diego State University"/>
    <x v="9"/>
    <x v="9"/>
    <n v="24.1"/>
  </r>
  <r>
    <n v="3843"/>
    <s v="F"/>
    <n v="0.61499999999999999"/>
    <n v="0.47499999999999998"/>
    <n v="0.14499999999999999"/>
    <n v="0.95250000000000001"/>
    <n v="0.39150000000000001"/>
    <n v="0.19500000000000001"/>
    <n v="0.32"/>
    <n v="9"/>
    <n v="14"/>
    <s v="Jose"/>
    <s v="Vaughan"/>
    <s v="Ohio State University_x0009_"/>
    <x v="8"/>
    <x v="8"/>
    <n v="14.1"/>
  </r>
  <r>
    <n v="22"/>
    <s v="F"/>
    <n v="0.38"/>
    <n v="0.27500000000000002"/>
    <n v="0.1"/>
    <n v="0.22550000000000001"/>
    <n v="0.08"/>
    <n v="4.9000000000000002E-2"/>
    <n v="8.5000000000000006E-2"/>
    <n v="10"/>
    <n v="2"/>
    <s v="Tiegan"/>
    <s v="Davie"/>
    <s v="University of California, Davis"/>
    <x v="2"/>
    <x v="2"/>
    <n v="12.3"/>
  </r>
  <r>
    <n v="157"/>
    <s v="F"/>
    <n v="0.57499999999999996"/>
    <n v="0.46"/>
    <n v="0.19"/>
    <n v="0.99399999999999999"/>
    <n v="0.39200000000000002"/>
    <n v="0.24249999999999999"/>
    <n v="0.34"/>
    <n v="13"/>
    <n v="14"/>
    <s v="Jose"/>
    <s v="Vaughan"/>
    <s v="Ohio State University_x0009_"/>
    <x v="3"/>
    <x v="3"/>
    <n v="3.6"/>
  </r>
  <r>
    <n v="2501"/>
    <s v="F"/>
    <n v="0.48"/>
    <n v="0.39"/>
    <n v="0.125"/>
    <n v="0.6905"/>
    <n v="0.219"/>
    <n v="0.155"/>
    <n v="0.2"/>
    <n v="12"/>
    <n v="12"/>
    <s v="Rebecca"/>
    <s v="Bennett"/>
    <s v="University of Houston"/>
    <x v="6"/>
    <x v="6"/>
    <n v="22.1"/>
  </r>
  <r>
    <n v="2226"/>
    <s v="F"/>
    <n v="0.59"/>
    <n v="0.47499999999999998"/>
    <n v="0.155"/>
    <n v="0.85699999999999998"/>
    <n v="0.35599999999999998"/>
    <n v="0.17399999999999999"/>
    <n v="0.28000000000000003"/>
    <n v="13"/>
    <n v="13"/>
    <s v="Betty"/>
    <s v="Berg"/>
    <s v="University of Houston"/>
    <x v="7"/>
    <x v="7"/>
    <n v="12.8"/>
  </r>
  <r>
    <n v="2763"/>
    <s v="F"/>
    <n v="0.55000000000000004"/>
    <n v="0.42"/>
    <n v="0.155"/>
    <n v="0.91200000000000003"/>
    <n v="0.495"/>
    <n v="0.18049999999999999"/>
    <n v="0.20499999999999999"/>
    <n v="9"/>
    <n v="2"/>
    <s v="Tiegan"/>
    <s v="Davie"/>
    <s v="University of California, Davis"/>
    <x v="9"/>
    <x v="9"/>
    <n v="24.1"/>
  </r>
  <r>
    <n v="3723"/>
    <s v="F"/>
    <n v="0.46500000000000002"/>
    <n v="0.36"/>
    <n v="0.105"/>
    <n v="0.45200000000000001"/>
    <n v="0.22"/>
    <n v="0.159"/>
    <n v="0.10349999999999999"/>
    <n v="9"/>
    <n v="4"/>
    <s v="Nate"/>
    <s v="Craig"/>
    <s v="NOAA Fisheries"/>
    <x v="4"/>
    <x v="4"/>
    <n v="18"/>
  </r>
  <r>
    <n v="3494"/>
    <s v="F"/>
    <n v="0.55500000000000005"/>
    <n v="0.44"/>
    <n v="0.15"/>
    <n v="0.83799999999999997"/>
    <n v="0.41549999999999998"/>
    <n v="0.14599999999999999"/>
    <n v="0.23"/>
    <n v="8"/>
    <n v="1"/>
    <s v="Jan"/>
    <s v="Odom"/>
    <s v="University of Houston"/>
    <x v="4"/>
    <x v="4"/>
    <n v="18"/>
  </r>
  <r>
    <n v="1337"/>
    <s v="F"/>
    <n v="0.57499999999999996"/>
    <n v="0.46"/>
    <n v="0.155"/>
    <n v="0.89200000000000002"/>
    <n v="0.4415"/>
    <n v="0.17599999999999999"/>
    <n v="0.22"/>
    <n v="10"/>
    <n v="4"/>
    <s v="Nate"/>
    <s v="Craig"/>
    <s v="NOAA Fisheries"/>
    <x v="5"/>
    <x v="5"/>
    <n v="6.1"/>
  </r>
  <r>
    <n v="1949"/>
    <s v="F"/>
    <n v="0.63500000000000001"/>
    <n v="0.51500000000000001"/>
    <n v="0.16500000000000001"/>
    <n v="1.2290000000000001"/>
    <n v="0.50549999999999995"/>
    <n v="0.29749999999999999"/>
    <n v="0.35349999999999998"/>
    <n v="10"/>
    <n v="13"/>
    <s v="Betty"/>
    <s v="Berg"/>
    <s v="University of Houston"/>
    <x v="5"/>
    <x v="5"/>
    <n v="6.1"/>
  </r>
  <r>
    <n v="378"/>
    <s v="F"/>
    <n v="0.58499999999999996"/>
    <n v="0.45"/>
    <n v="0.16"/>
    <n v="1.077"/>
    <n v="0.4995"/>
    <n v="0.28749999999999998"/>
    <n v="0.25"/>
    <n v="10"/>
    <n v="8"/>
    <s v="Kali"/>
    <s v="Metcalfe"/>
    <s v="Mote Marine Laboratory"/>
    <x v="2"/>
    <x v="2"/>
    <n v="12.3"/>
  </r>
  <r>
    <n v="2559"/>
    <s v="F"/>
    <n v="0.40500000000000003"/>
    <n v="0.31"/>
    <n v="6.5000000000000002E-2"/>
    <n v="0.32050000000000001"/>
    <n v="0.1575"/>
    <n v="6.6000000000000003E-2"/>
    <n v="8.7999999999999995E-2"/>
    <n v="6"/>
    <n v="7"/>
    <s v="Iona"/>
    <s v="Connolly"/>
    <s v="Florida Atlantic University"/>
    <x v="6"/>
    <x v="6"/>
    <n v="22.1"/>
  </r>
  <r>
    <n v="331"/>
    <s v="F"/>
    <n v="0.5"/>
    <n v="0.38"/>
    <n v="0.155"/>
    <n v="0.59550000000000003"/>
    <n v="0.2135"/>
    <n v="0.161"/>
    <n v="0.2"/>
    <n v="12"/>
    <n v="15"/>
    <s v="Conan"/>
    <s v="Dalton"/>
    <s v="University of Houston"/>
    <x v="5"/>
    <x v="5"/>
    <n v="6.1"/>
  </r>
  <r>
    <n v="1229"/>
    <s v="F"/>
    <n v="0.36"/>
    <n v="0.27"/>
    <n v="8.5000000000000006E-2"/>
    <n v="0.19600000000000001"/>
    <n v="8.7499999999999994E-2"/>
    <n v="3.5000000000000003E-2"/>
    <n v="6.4000000000000001E-2"/>
    <n v="4"/>
    <n v="1"/>
    <s v="Jan"/>
    <s v="Odom"/>
    <s v="University of Houston"/>
    <x v="3"/>
    <x v="3"/>
    <n v="3.6"/>
  </r>
  <r>
    <n v="6"/>
    <s v="F"/>
    <n v="0.42499999999999999"/>
    <n v="0.3"/>
    <n v="9.5000000000000001E-2"/>
    <n v="0.35149999999999998"/>
    <n v="0.14099999999999999"/>
    <n v="7.7499999999999999E-2"/>
    <n v="0.12"/>
    <n v="8"/>
    <n v="9"/>
    <s v="Danica"/>
    <s v="Tyler"/>
    <s v="University of Florida_x0009_"/>
    <x v="3"/>
    <x v="3"/>
    <n v="3.6"/>
  </r>
  <r>
    <n v="2514"/>
    <s v="F"/>
    <n v="0.46500000000000002"/>
    <n v="0.35"/>
    <n v="0.13500000000000001"/>
    <n v="0.62649999999999995"/>
    <n v="0.25900000000000001"/>
    <n v="0.14449999999999999"/>
    <n v="0.17499999999999999"/>
    <n v="8"/>
    <n v="3"/>
    <s v="Inaya"/>
    <s v="Bernard"/>
    <s v="Stanford University"/>
    <x v="8"/>
    <x v="8"/>
    <n v="14.1"/>
  </r>
  <r>
    <n v="1333"/>
    <s v="F"/>
    <n v="0.56999999999999995"/>
    <n v="0.44"/>
    <n v="0.13"/>
    <n v="0.76649999999999996"/>
    <n v="0.34699999999999998"/>
    <n v="0.17849999999999999"/>
    <n v="0.20200000000000001"/>
    <n v="10"/>
    <n v="14"/>
    <s v="Jose"/>
    <s v="Vaughan"/>
    <s v="Ohio State University_x0009_"/>
    <x v="3"/>
    <x v="3"/>
    <n v="3.6"/>
  </r>
  <r>
    <n v="3894"/>
    <s v="F"/>
    <n v="0.435"/>
    <n v="0.35499999999999998"/>
    <n v="0.125"/>
    <n v="0.40749999999999997"/>
    <n v="0.1535"/>
    <n v="7.3999999999999996E-2"/>
    <n v="0.16500000000000001"/>
    <n v="9"/>
    <n v="9"/>
    <s v="Danica"/>
    <s v="Tyler"/>
    <s v="University of Florida_x0009_"/>
    <x v="7"/>
    <x v="7"/>
    <n v="12.8"/>
  </r>
  <r>
    <n v="2875"/>
    <s v="F"/>
    <n v="0.42499999999999999"/>
    <n v="0.34"/>
    <n v="0.1"/>
    <n v="0.371"/>
    <n v="0.15"/>
    <n v="8.6499999999999994E-2"/>
    <n v="0.115"/>
    <n v="8"/>
    <n v="7"/>
    <s v="Iona"/>
    <s v="Connolly"/>
    <s v="Florida Atlantic University"/>
    <x v="5"/>
    <x v="5"/>
    <n v="6.1"/>
  </r>
  <r>
    <n v="1382"/>
    <s v="F"/>
    <n v="0.625"/>
    <n v="0.505"/>
    <n v="0.17499999999999999"/>
    <n v="1.1499999999999999"/>
    <n v="0.54749999999999999"/>
    <n v="0.25600000000000001"/>
    <n v="0.30449999999999999"/>
    <n v="11"/>
    <n v="7"/>
    <s v="Iona"/>
    <s v="Connolly"/>
    <s v="Florida Atlantic University"/>
    <x v="1"/>
    <x v="1"/>
    <n v="2.5"/>
  </r>
  <r>
    <n v="3118"/>
    <s v="F"/>
    <n v="0.47"/>
    <n v="0.36"/>
    <n v="0.1"/>
    <n v="0.47049999999999997"/>
    <n v="0.16350000000000001"/>
    <n v="8.8999999999999996E-2"/>
    <n v="0.13850000000000001"/>
    <n v="8"/>
    <n v="13"/>
    <s v="Betty"/>
    <s v="Berg"/>
    <s v="University of Houston"/>
    <x v="7"/>
    <x v="7"/>
    <n v="12.8"/>
  </r>
  <r>
    <n v="3308"/>
    <s v="F"/>
    <n v="0.45"/>
    <n v="0.32500000000000001"/>
    <n v="0.13500000000000001"/>
    <n v="0.438"/>
    <n v="0.18049999999999999"/>
    <n v="0.11650000000000001"/>
    <n v="0.11"/>
    <n v="9"/>
    <n v="2"/>
    <s v="Tiegan"/>
    <s v="Davie"/>
    <s v="University of California, Davis"/>
    <x v="5"/>
    <x v="5"/>
    <n v="6.1"/>
  </r>
  <r>
    <n v="3952"/>
    <s v="F"/>
    <n v="0.46500000000000002"/>
    <n v="0.39"/>
    <n v="0.11"/>
    <n v="0.63549999999999995"/>
    <n v="0.18149999999999999"/>
    <n v="0.157"/>
    <n v="0.22500000000000001"/>
    <n v="13"/>
    <n v="10"/>
    <s v="Hazel"/>
    <s v="Villa"/>
    <s v="University of Minnesota"/>
    <x v="1"/>
    <x v="1"/>
    <n v="2.5"/>
  </r>
  <r>
    <n v="1904"/>
    <s v="F"/>
    <n v="0.57499999999999996"/>
    <n v="0.44500000000000001"/>
    <n v="0.14499999999999999"/>
    <n v="0.876"/>
    <n v="0.3795"/>
    <n v="0.1615"/>
    <n v="0.27"/>
    <n v="10"/>
    <n v="12"/>
    <s v="Rebecca"/>
    <s v="Bennett"/>
    <s v="University of Houston"/>
    <x v="4"/>
    <x v="4"/>
    <n v="18"/>
  </r>
  <r>
    <n v="3980"/>
    <s v="F"/>
    <n v="0.495"/>
    <n v="0.375"/>
    <n v="0.115"/>
    <n v="0.62450000000000006"/>
    <n v="0.28199999999999997"/>
    <n v="0.14299999999999999"/>
    <n v="0.155"/>
    <n v="6"/>
    <n v="13"/>
    <s v="Betty"/>
    <s v="Berg"/>
    <s v="University of Houston"/>
    <x v="4"/>
    <x v="4"/>
    <n v="18"/>
  </r>
  <r>
    <n v="2104"/>
    <s v="F"/>
    <n v="0.375"/>
    <n v="0.28999999999999998"/>
    <n v="0.1"/>
    <n v="0.27600000000000002"/>
    <n v="0.11749999999999999"/>
    <n v="5.6500000000000002E-2"/>
    <n v="8.5000000000000006E-2"/>
    <n v="9"/>
    <n v="3"/>
    <s v="Inaya"/>
    <s v="Bernard"/>
    <s v="Stanford University"/>
    <x v="4"/>
    <x v="4"/>
    <n v="18"/>
  </r>
  <r>
    <n v="1467"/>
    <s v="F"/>
    <n v="0.51500000000000001"/>
    <n v="0.42499999999999999"/>
    <n v="0.14499999999999999"/>
    <n v="0.9365"/>
    <n v="0.497"/>
    <n v="0.18099999999999999"/>
    <n v="0.2185"/>
    <n v="8"/>
    <n v="15"/>
    <s v="Conan"/>
    <s v="Dalton"/>
    <s v="University of Houston"/>
    <x v="0"/>
    <x v="0"/>
    <n v="1.9"/>
  </r>
  <r>
    <n v="978"/>
    <s v="F"/>
    <n v="0.53500000000000003"/>
    <n v="0.4"/>
    <n v="0.13500000000000001"/>
    <n v="0.82150000000000001"/>
    <n v="0.39350000000000002"/>
    <n v="0.19600000000000001"/>
    <n v="0.20499999999999999"/>
    <n v="8"/>
    <n v="2"/>
    <s v="Tiegan"/>
    <s v="Davie"/>
    <s v="University of California, Davis"/>
    <x v="1"/>
    <x v="1"/>
    <n v="2.5"/>
  </r>
  <r>
    <n v="3146"/>
    <s v="F"/>
    <n v="0.55000000000000004"/>
    <n v="0.42"/>
    <n v="0.17"/>
    <n v="0.84650000000000003"/>
    <n v="0.33600000000000002"/>
    <n v="0.24049999999999999"/>
    <n v="0.245"/>
    <n v="13"/>
    <n v="8"/>
    <s v="Kali"/>
    <s v="Metcalfe"/>
    <s v="Mote Marine Laboratory"/>
    <x v="4"/>
    <x v="4"/>
    <n v="18"/>
  </r>
  <r>
    <n v="2244"/>
    <s v="F"/>
    <n v="0.46500000000000002"/>
    <n v="0.36"/>
    <n v="0.13"/>
    <n v="0.52649999999999997"/>
    <n v="0.21049999999999999"/>
    <n v="0.11849999999999999"/>
    <n v="0.16500000000000001"/>
    <n v="10"/>
    <n v="3"/>
    <s v="Inaya"/>
    <s v="Bernard"/>
    <s v="Stanford University"/>
    <x v="9"/>
    <x v="9"/>
    <n v="24.1"/>
  </r>
  <r>
    <n v="2793"/>
    <s v="F"/>
    <n v="0.625"/>
    <n v="0.49"/>
    <n v="0.16500000000000001"/>
    <n v="1.2050000000000001"/>
    <n v="0.51749999999999996"/>
    <n v="0.3105"/>
    <n v="0.34649999999999997"/>
    <n v="10"/>
    <n v="4"/>
    <s v="Nate"/>
    <s v="Craig"/>
    <s v="NOAA Fisheries"/>
    <x v="1"/>
    <x v="1"/>
    <n v="2.5"/>
  </r>
  <r>
    <n v="829"/>
    <s v="F"/>
    <n v="0.41"/>
    <n v="0.32500000000000001"/>
    <n v="0.1"/>
    <n v="0.39400000000000002"/>
    <n v="0.20799999999999999"/>
    <n v="6.5500000000000003E-2"/>
    <n v="0.106"/>
    <n v="6"/>
    <n v="1"/>
    <s v="Jan"/>
    <s v="Odom"/>
    <s v="University of Houston"/>
    <x v="7"/>
    <x v="7"/>
    <n v="12.8"/>
  </r>
  <r>
    <n v="2310"/>
    <s v="F"/>
    <n v="0.47"/>
    <n v="0.375"/>
    <n v="0.13"/>
    <n v="0.57950000000000002"/>
    <n v="0.2145"/>
    <n v="0.16400000000000001"/>
    <n v="0.19500000000000001"/>
    <n v="13"/>
    <n v="12"/>
    <s v="Rebecca"/>
    <s v="Bennett"/>
    <s v="University of Houston"/>
    <x v="2"/>
    <x v="2"/>
    <n v="12.3"/>
  </r>
  <r>
    <n v="1453"/>
    <s v="F"/>
    <n v="0.47"/>
    <n v="0.34499999999999997"/>
    <n v="0.14000000000000001"/>
    <n v="0.46150000000000002"/>
    <n v="0.22900000000000001"/>
    <n v="0.1105"/>
    <n v="0.11600000000000001"/>
    <n v="9"/>
    <n v="11"/>
    <s v="Naima"/>
    <s v="Reyes"/>
    <s v="University of Houston"/>
    <x v="5"/>
    <x v="5"/>
    <n v="6.1"/>
  </r>
  <r>
    <n v="3549"/>
    <s v="F"/>
    <n v="0.495"/>
    <n v="0.37"/>
    <n v="0.12"/>
    <n v="0.59399999999999997"/>
    <n v="0.28000000000000003"/>
    <n v="0.11"/>
    <n v="0.13750000000000001"/>
    <n v="7"/>
    <n v="12"/>
    <s v="Rebecca"/>
    <s v="Bennett"/>
    <s v="University of Houston"/>
    <x v="7"/>
    <x v="7"/>
    <n v="12.8"/>
  </r>
  <r>
    <n v="794"/>
    <s v="F"/>
    <n v="0.57499999999999996"/>
    <n v="0.45"/>
    <n v="0.16500000000000001"/>
    <n v="0.92149999999999999"/>
    <n v="0.32750000000000001"/>
    <n v="0.22500000000000001"/>
    <n v="0.25600000000000001"/>
    <n v="12"/>
    <n v="14"/>
    <s v="Jose"/>
    <s v="Vaughan"/>
    <s v="Ohio State University_x0009_"/>
    <x v="6"/>
    <x v="6"/>
    <n v="22.1"/>
  </r>
  <r>
    <n v="1251"/>
    <s v="F"/>
    <n v="0.4"/>
    <n v="0.28999999999999998"/>
    <n v="0.1"/>
    <n v="0.26750000000000002"/>
    <n v="0.1205"/>
    <n v="6.0499999999999998E-2"/>
    <n v="7.6499999999999999E-2"/>
    <n v="5"/>
    <n v="14"/>
    <s v="Jose"/>
    <s v="Vaughan"/>
    <s v="Ohio State University_x0009_"/>
    <x v="1"/>
    <x v="1"/>
    <n v="2.5"/>
  </r>
  <r>
    <n v="2496"/>
    <s v="F"/>
    <n v="0.45"/>
    <n v="0.36"/>
    <n v="0.16"/>
    <n v="0.56699999999999995"/>
    <n v="0.17399999999999999"/>
    <n v="0.1245"/>
    <n v="0.22500000000000001"/>
    <n v="12"/>
    <n v="14"/>
    <s v="Jose"/>
    <s v="Vaughan"/>
    <s v="Ohio State University_x0009_"/>
    <x v="3"/>
    <x v="3"/>
    <n v="3.6"/>
  </r>
  <r>
    <n v="2446"/>
    <s v="F"/>
    <n v="0.5"/>
    <n v="0.38"/>
    <n v="0.13500000000000001"/>
    <n v="0.58350000000000002"/>
    <n v="0.22950000000000001"/>
    <n v="0.1265"/>
    <n v="0.18"/>
    <n v="12"/>
    <n v="11"/>
    <s v="Naima"/>
    <s v="Reyes"/>
    <s v="University of Houston"/>
    <x v="8"/>
    <x v="8"/>
    <n v="14.1"/>
  </r>
  <r>
    <n v="2124"/>
    <s v="F"/>
    <n v="0.28999999999999998"/>
    <n v="0.21"/>
    <n v="7.4999999999999997E-2"/>
    <n v="0.27500000000000002"/>
    <n v="0.113"/>
    <n v="6.7500000000000004E-2"/>
    <n v="3.5000000000000003E-2"/>
    <n v="6"/>
    <n v="3"/>
    <s v="Inaya"/>
    <s v="Bernard"/>
    <s v="Stanford University"/>
    <x v="3"/>
    <x v="3"/>
    <n v="3.6"/>
  </r>
  <r>
    <n v="323"/>
    <s v="F"/>
    <n v="0.38500000000000001"/>
    <n v="0.31"/>
    <n v="0.1"/>
    <n v="0.28449999999999998"/>
    <n v="0.1065"/>
    <n v="7.4999999999999997E-2"/>
    <n v="0.1"/>
    <n v="11"/>
    <n v="5"/>
    <s v="Haniya"/>
    <s v="Talley"/>
    <s v="Prince William Sound Science Center"/>
    <x v="8"/>
    <x v="8"/>
    <n v="14.1"/>
  </r>
  <r>
    <n v="2575"/>
    <s v="F"/>
    <n v="0.48"/>
    <n v="0.37"/>
    <n v="0.1"/>
    <n v="0.51349999999999996"/>
    <n v="0.24299999999999999"/>
    <n v="0.10150000000000001"/>
    <n v="0.13500000000000001"/>
    <n v="8"/>
    <n v="14"/>
    <s v="Jose"/>
    <s v="Vaughan"/>
    <s v="Ohio State University_x0009_"/>
    <x v="0"/>
    <x v="0"/>
    <n v="1.9"/>
  </r>
  <r>
    <n v="1885"/>
    <s v="F"/>
    <n v="0.55500000000000005"/>
    <n v="0.4"/>
    <n v="0.13"/>
    <n v="0.70750000000000002"/>
    <n v="0.33200000000000002"/>
    <n v="0.1585"/>
    <n v="0.18"/>
    <n v="7"/>
    <n v="14"/>
    <s v="Jose"/>
    <s v="Vaughan"/>
    <s v="Ohio State University_x0009_"/>
    <x v="6"/>
    <x v="6"/>
    <n v="22.1"/>
  </r>
  <r>
    <n v="3502"/>
    <s v="F"/>
    <n v="0.6"/>
    <n v="0.47499999999999998"/>
    <n v="0.16"/>
    <n v="1.1639999999999999"/>
    <n v="0.50449999999999995"/>
    <n v="0.26350000000000001"/>
    <n v="0.33500000000000002"/>
    <n v="12"/>
    <n v="13"/>
    <s v="Betty"/>
    <s v="Berg"/>
    <s v="University of Houston"/>
    <x v="1"/>
    <x v="1"/>
    <n v="2.5"/>
  </r>
  <r>
    <n v="1613"/>
    <s v="F"/>
    <n v="0.55000000000000004"/>
    <n v="0.42499999999999999"/>
    <n v="0.15"/>
    <n v="0.63900000000000001"/>
    <n v="0.26900000000000002"/>
    <n v="0.13450000000000001"/>
    <n v="0.217"/>
    <n v="9"/>
    <n v="4"/>
    <s v="Nate"/>
    <s v="Craig"/>
    <s v="NOAA Fisheries"/>
    <x v="1"/>
    <x v="1"/>
    <n v="2.5"/>
  </r>
  <r>
    <n v="2096"/>
    <s v="F"/>
    <n v="0.41499999999999998"/>
    <n v="0.3"/>
    <n v="0.1"/>
    <n v="0.33550000000000002"/>
    <n v="0.1545"/>
    <n v="6.8500000000000005E-2"/>
    <n v="9.5000000000000001E-2"/>
    <n v="7"/>
    <n v="14"/>
    <s v="Jose"/>
    <s v="Vaughan"/>
    <s v="Ohio State University_x0009_"/>
    <x v="1"/>
    <x v="1"/>
    <n v="2.5"/>
  </r>
  <r>
    <n v="519"/>
    <s v="F"/>
    <n v="0.32500000000000001"/>
    <n v="0.23"/>
    <n v="0.09"/>
    <n v="0.14699999999999999"/>
    <n v="0.06"/>
    <n v="3.4000000000000002E-2"/>
    <n v="4.4999999999999998E-2"/>
    <n v="4"/>
    <n v="4"/>
    <s v="Nate"/>
    <s v="Craig"/>
    <s v="NOAA Fisheries"/>
    <x v="8"/>
    <x v="8"/>
    <n v="14.1"/>
  </r>
  <r>
    <n v="1106"/>
    <s v="F"/>
    <n v="0.51"/>
    <n v="0.4"/>
    <n v="0.125"/>
    <n v="0.54500000000000004"/>
    <n v="0.26100000000000001"/>
    <n v="0.115"/>
    <n v="0.13850000000000001"/>
    <n v="6"/>
    <n v="14"/>
    <s v="Jose"/>
    <s v="Vaughan"/>
    <s v="Ohio State University_x0009_"/>
    <x v="0"/>
    <x v="0"/>
    <n v="1.9"/>
  </r>
  <r>
    <n v="48"/>
    <s v="F"/>
    <n v="0.46"/>
    <n v="0.375"/>
    <n v="0.12"/>
    <n v="0.46050000000000002"/>
    <n v="0.17749999999999999"/>
    <n v="0.11"/>
    <n v="0.15"/>
    <n v="7"/>
    <n v="2"/>
    <s v="Tiegan"/>
    <s v="Davie"/>
    <s v="University of California, Davis"/>
    <x v="5"/>
    <x v="5"/>
    <n v="6.1"/>
  </r>
  <r>
    <n v="4156"/>
    <s v="F"/>
    <n v="0.44"/>
    <n v="0.35"/>
    <n v="0.11"/>
    <n v="0.3805"/>
    <n v="0.1575"/>
    <n v="8.9499999999999996E-2"/>
    <n v="0.115"/>
    <n v="6"/>
    <n v="9"/>
    <s v="Danica"/>
    <s v="Tyler"/>
    <s v="University of Florida_x0009_"/>
    <x v="4"/>
    <x v="4"/>
    <n v="18"/>
  </r>
  <r>
    <n v="2548"/>
    <s v="F"/>
    <n v="0.23"/>
    <n v="0.18"/>
    <n v="0.05"/>
    <n v="6.4000000000000001E-2"/>
    <n v="2.1499999999999998E-2"/>
    <n v="1.35E-2"/>
    <n v="0.02"/>
    <n v="5"/>
    <n v="7"/>
    <s v="Iona"/>
    <s v="Connolly"/>
    <s v="Florida Atlantic University"/>
    <x v="8"/>
    <x v="8"/>
    <n v="14.1"/>
  </r>
  <r>
    <n v="834"/>
    <s v="F"/>
    <n v="0.44500000000000001"/>
    <n v="0.33500000000000002"/>
    <n v="0.1"/>
    <n v="0.48949999999999999"/>
    <n v="0.27450000000000002"/>
    <n v="8.5999999999999993E-2"/>
    <n v="0.1105"/>
    <n v="7"/>
    <n v="6"/>
    <s v="Martin"/>
    <s v="Gaines"/>
    <s v="San Diego State University"/>
    <x v="6"/>
    <x v="6"/>
    <n v="22.1"/>
  </r>
  <r>
    <n v="896"/>
    <s v="F"/>
    <n v="0.255"/>
    <n v="0.19"/>
    <n v="0.05"/>
    <n v="8.3000000000000004E-2"/>
    <n v="2.9499999999999998E-2"/>
    <n v="2.1499999999999998E-2"/>
    <n v="2.7E-2"/>
    <n v="6"/>
    <n v="15"/>
    <s v="Conan"/>
    <s v="Dalton"/>
    <s v="University of Houston"/>
    <x v="5"/>
    <x v="5"/>
    <n v="6.1"/>
  </r>
  <r>
    <n v="4110"/>
    <s v="F"/>
    <n v="0.48"/>
    <n v="0.36499999999999999"/>
    <n v="0.13"/>
    <n v="0.53049999999999997"/>
    <n v="0.24049999999999999"/>
    <n v="0.127"/>
    <n v="0.13900000000000001"/>
    <n v="8"/>
    <n v="2"/>
    <s v="Tiegan"/>
    <s v="Davie"/>
    <s v="University of California, Davis"/>
    <x v="5"/>
    <x v="5"/>
    <n v="6.1"/>
  </r>
  <r>
    <n v="147"/>
    <s v="Gender"/>
    <n v="0.46"/>
    <n v="0.35"/>
    <n v="0.12"/>
    <n v="0.51500000000000001"/>
    <n v="0.224"/>
    <n v="0.108"/>
    <n v="0.1565"/>
    <n v="10"/>
    <n v="1"/>
    <s v="Jan"/>
    <s v="Odom"/>
    <s v="University of Houston"/>
    <x v="8"/>
    <x v="8"/>
    <n v="14.1"/>
  </r>
  <r>
    <n v="2023"/>
    <s v="I"/>
    <n v="0.53"/>
    <n v="0.43"/>
    <n v="0.15"/>
    <n v="0.74099999999999999"/>
    <n v="0.32500000000000001"/>
    <n v="0.1855"/>
    <n v="0.19600000000000001"/>
    <n v="9"/>
    <n v="4"/>
    <s v="Nate"/>
    <s v="Craig"/>
    <s v="NOAA Fisheries"/>
    <x v="3"/>
    <x v="3"/>
    <n v="3.6"/>
  </r>
  <r>
    <n v="2873"/>
    <s v="I"/>
    <n v="0.4"/>
    <n v="0.315"/>
    <n v="0.09"/>
    <n v="0.32450000000000001"/>
    <n v="0.151"/>
    <n v="7.2999999999999995E-2"/>
    <n v="8.7999999999999995E-2"/>
    <n v="8"/>
    <n v="3"/>
    <s v="Inaya"/>
    <s v="Bernard"/>
    <s v="Stanford University"/>
    <x v="7"/>
    <x v="7"/>
    <n v="12.8"/>
  </r>
  <r>
    <n v="3819"/>
    <s v="I"/>
    <n v="0.56499999999999995"/>
    <n v="0.44500000000000001"/>
    <n v="0.14000000000000001"/>
    <n v="0.83599999999999997"/>
    <n v="0.40600000000000003"/>
    <n v="0.1605"/>
    <n v="0.22450000000000001"/>
    <n v="9"/>
    <n v="12"/>
    <s v="Rebecca"/>
    <s v="Bennett"/>
    <s v="University of Houston"/>
    <x v="5"/>
    <x v="5"/>
    <n v="6.1"/>
  </r>
  <r>
    <n v="152"/>
    <s v="I"/>
    <n v="0.60499999999999998"/>
    <n v="0.5"/>
    <n v="0.185"/>
    <n v="1.1185"/>
    <n v="0.46899999999999997"/>
    <n v="0.25850000000000001"/>
    <n v="0.33500000000000002"/>
    <n v="9"/>
    <n v="12"/>
    <s v="Rebecca"/>
    <s v="Bennett"/>
    <s v="University of Houston"/>
    <x v="6"/>
    <x v="6"/>
    <n v="22.1"/>
  </r>
  <r>
    <n v="1537"/>
    <s v="I"/>
    <n v="0.33500000000000002"/>
    <n v="0.255"/>
    <n v="0.08"/>
    <n v="0.16800000000000001"/>
    <n v="7.9000000000000001E-2"/>
    <n v="3.5499999999999997E-2"/>
    <n v="0.05"/>
    <n v="5"/>
    <n v="14"/>
    <s v="Jose"/>
    <s v="Vaughan"/>
    <s v="Ohio State University_x0009_"/>
    <x v="6"/>
    <x v="6"/>
    <n v="22.1"/>
  </r>
  <r>
    <n v="4031"/>
    <s v="I"/>
    <n v="0.435"/>
    <n v="0.32500000000000001"/>
    <n v="0.1"/>
    <n v="0.36599999999999999"/>
    <n v="0.17399999999999999"/>
    <n v="7.2499999999999995E-2"/>
    <n v="0.109"/>
    <n v="7"/>
    <n v="12"/>
    <s v="Rebecca"/>
    <s v="Bennett"/>
    <s v="University of Houston"/>
    <x v="6"/>
    <x v="6"/>
    <n v="22.1"/>
  </r>
  <r>
    <n v="4115"/>
    <s v="I"/>
    <n v="0.56999999999999995"/>
    <n v="0.45"/>
    <n v="0.15"/>
    <n v="0.96450000000000002"/>
    <n v="0.53100000000000003"/>
    <n v="0.189"/>
    <n v="0.20899999999999999"/>
    <n v="9"/>
    <n v="5"/>
    <s v="Haniya"/>
    <s v="Talley"/>
    <s v="Prince William Sound Science Center"/>
    <x v="2"/>
    <x v="2"/>
    <n v="12.3"/>
  </r>
  <r>
    <n v="3222"/>
    <s v="I"/>
    <n v="0.38500000000000001"/>
    <n v="0.30499999999999999"/>
    <n v="0.09"/>
    <n v="0.27750000000000002"/>
    <n v="0.109"/>
    <n v="5.1499999999999997E-2"/>
    <n v="0.1"/>
    <n v="9"/>
    <n v="5"/>
    <s v="Haniya"/>
    <s v="Talley"/>
    <s v="Prince William Sound Science Center"/>
    <x v="1"/>
    <x v="1"/>
    <n v="2.5"/>
  </r>
  <r>
    <n v="1281"/>
    <s v="I"/>
    <n v="0.495"/>
    <n v="0.39500000000000002"/>
    <n v="0.12"/>
    <n v="0.55300000000000005"/>
    <n v="0.224"/>
    <n v="0.13750000000000001"/>
    <n v="0.16700000000000001"/>
    <n v="8"/>
    <n v="15"/>
    <s v="Conan"/>
    <s v="Dalton"/>
    <s v="University of Houston"/>
    <x v="8"/>
    <x v="8"/>
    <n v="14.1"/>
  </r>
  <r>
    <n v="1617"/>
    <s v="I"/>
    <n v="0.55500000000000005"/>
    <n v="0.39500000000000002"/>
    <n v="0.13"/>
    <n v="0.5585"/>
    <n v="0.222"/>
    <n v="0.1245"/>
    <n v="0.17"/>
    <n v="9"/>
    <n v="10"/>
    <s v="Hazel"/>
    <s v="Villa"/>
    <s v="University of Minnesota"/>
    <x v="0"/>
    <x v="0"/>
    <n v="1.9"/>
  </r>
  <r>
    <n v="3654"/>
    <s v="I"/>
    <n v="0.53"/>
    <n v="0.42499999999999999"/>
    <n v="0.13"/>
    <n v="0.78100000000000003"/>
    <n v="0.39050000000000001"/>
    <n v="0.20050000000000001"/>
    <n v="0.215"/>
    <n v="9"/>
    <n v="3"/>
    <s v="Inaya"/>
    <s v="Bernard"/>
    <s v="Stanford University"/>
    <x v="4"/>
    <x v="4"/>
    <n v="18"/>
  </r>
  <r>
    <n v="2024"/>
    <s v="I"/>
    <n v="0.53"/>
    <n v="0.40500000000000003"/>
    <n v="0.13"/>
    <n v="0.63549999999999995"/>
    <n v="0.26350000000000001"/>
    <n v="0.1565"/>
    <n v="0.185"/>
    <n v="9"/>
    <n v="14"/>
    <s v="Jose"/>
    <s v="Vaughan"/>
    <s v="Ohio State University_x0009_"/>
    <x v="4"/>
    <x v="4"/>
    <n v="18"/>
  </r>
  <r>
    <n v="3099"/>
    <s v="I"/>
    <n v="0.55000000000000004"/>
    <n v="0.43"/>
    <n v="0.15"/>
    <n v="0.65500000000000003"/>
    <n v="0.26350000000000001"/>
    <n v="0.122"/>
    <n v="0.221"/>
    <n v="8"/>
    <n v="14"/>
    <s v="Jose"/>
    <s v="Vaughan"/>
    <s v="Ohio State University_x0009_"/>
    <x v="5"/>
    <x v="5"/>
    <n v="6.1"/>
  </r>
  <r>
    <n v="2490"/>
    <s v="I"/>
    <n v="0.49"/>
    <n v="0.39"/>
    <n v="0.13500000000000001"/>
    <n v="0.59199999999999997"/>
    <n v="0.24199999999999999"/>
    <n v="9.6000000000000002E-2"/>
    <n v="0.1835"/>
    <n v="15"/>
    <n v="2"/>
    <s v="Tiegan"/>
    <s v="Davie"/>
    <s v="University of California, Davis"/>
    <x v="6"/>
    <x v="6"/>
    <n v="22.1"/>
  </r>
  <r>
    <n v="2549"/>
    <s v="I"/>
    <n v="0.27500000000000002"/>
    <n v="0.19500000000000001"/>
    <n v="7.0000000000000007E-2"/>
    <n v="8.7499999999999994E-2"/>
    <n v="3.4500000000000003E-2"/>
    <n v="2.1999999999999999E-2"/>
    <n v="2.5499999999999998E-2"/>
    <n v="4"/>
    <n v="6"/>
    <s v="Martin"/>
    <s v="Gaines"/>
    <s v="San Diego State University"/>
    <x v="7"/>
    <x v="7"/>
    <n v="12.8"/>
  </r>
  <r>
    <n v="753"/>
    <s v="I"/>
    <n v="0.60499999999999998"/>
    <n v="0.46"/>
    <n v="0.17"/>
    <n v="1.1220000000000001"/>
    <n v="0.34699999999999998"/>
    <n v="0.30449999999999999"/>
    <n v="0.315"/>
    <n v="13"/>
    <n v="15"/>
    <s v="Conan"/>
    <s v="Dalton"/>
    <s v="University of Houston"/>
    <x v="5"/>
    <x v="5"/>
    <n v="6.1"/>
  </r>
  <r>
    <n v="1550"/>
    <s v="I"/>
    <n v="0.38500000000000001"/>
    <n v="0.28000000000000003"/>
    <n v="9.5000000000000001E-2"/>
    <n v="0.25700000000000001"/>
    <n v="0.11899999999999999"/>
    <n v="5.8999999999999997E-2"/>
    <n v="7.0000000000000007E-2"/>
    <n v="7"/>
    <n v="4"/>
    <s v="Nate"/>
    <s v="Craig"/>
    <s v="NOAA Fisheries"/>
    <x v="9"/>
    <x v="9"/>
    <n v="24.1"/>
  </r>
  <r>
    <n v="4153"/>
    <s v="I"/>
    <n v="0.37"/>
    <n v="0.28000000000000003"/>
    <n v="0.09"/>
    <n v="0.218"/>
    <n v="9.9500000000000005E-2"/>
    <n v="5.45E-2"/>
    <n v="6.1499999999999999E-2"/>
    <n v="7"/>
    <n v="8"/>
    <s v="Kali"/>
    <s v="Metcalfe"/>
    <s v="Mote Marine Laboratory"/>
    <x v="2"/>
    <x v="2"/>
    <n v="12.3"/>
  </r>
  <r>
    <n v="1777"/>
    <s v="I"/>
    <n v="0.48499999999999999"/>
    <n v="0.37"/>
    <n v="0.155"/>
    <n v="0.96799999999999997"/>
    <n v="0.41899999999999998"/>
    <n v="0.2455"/>
    <n v="0.23649999999999999"/>
    <n v="9"/>
    <n v="2"/>
    <s v="Tiegan"/>
    <s v="Davie"/>
    <s v="University of California, Davis"/>
    <x v="8"/>
    <x v="8"/>
    <n v="14.1"/>
  </r>
  <r>
    <n v="2778"/>
    <s v="I"/>
    <n v="0.58499999999999996"/>
    <n v="0.42"/>
    <n v="0.14499999999999999"/>
    <n v="0.67349999999999999"/>
    <n v="0.28949999999999998"/>
    <n v="0.13450000000000001"/>
    <n v="0.22"/>
    <n v="9"/>
    <n v="15"/>
    <s v="Conan"/>
    <s v="Dalton"/>
    <s v="University of Houston"/>
    <x v="7"/>
    <x v="7"/>
    <n v="12.8"/>
  </r>
  <r>
    <n v="976"/>
    <s v="I"/>
    <n v="0.53"/>
    <n v="0.42499999999999999"/>
    <n v="0.15"/>
    <n v="0.84950000000000003"/>
    <n v="0.32800000000000001"/>
    <n v="0.23200000000000001"/>
    <n v="0.20200000000000001"/>
    <n v="8"/>
    <n v="14"/>
    <s v="Jose"/>
    <s v="Vaughan"/>
    <s v="Ohio State University_x0009_"/>
    <x v="0"/>
    <x v="0"/>
    <n v="1.9"/>
  </r>
  <r>
    <n v="638"/>
    <s v="I"/>
    <n v="0.35499999999999998"/>
    <n v="0.26"/>
    <n v="8.5000000000000006E-2"/>
    <n v="0.1905"/>
    <n v="8.1000000000000003E-2"/>
    <n v="4.8500000000000001E-2"/>
    <n v="5.5E-2"/>
    <n v="6"/>
    <n v="4"/>
    <s v="Nate"/>
    <s v="Craig"/>
    <s v="NOAA Fisheries"/>
    <x v="8"/>
    <x v="8"/>
    <n v="14.1"/>
  </r>
  <r>
    <n v="3233"/>
    <s v="I"/>
    <n v="0.48499999999999999"/>
    <n v="0.41"/>
    <n v="0.15"/>
    <n v="0.69599999999999995"/>
    <n v="0.24049999999999999"/>
    <n v="0.16250000000000001"/>
    <n v="0.26500000000000001"/>
    <n v="13"/>
    <n v="10"/>
    <s v="Hazel"/>
    <s v="Villa"/>
    <s v="University of Minnesota"/>
    <x v="9"/>
    <x v="9"/>
    <n v="24.1"/>
  </r>
  <r>
    <n v="3635"/>
    <s v="I"/>
    <n v="0.36"/>
    <n v="0.26500000000000001"/>
    <n v="8.5000000000000006E-2"/>
    <n v="0.1895"/>
    <n v="7.2499999999999995E-2"/>
    <n v="5.1499999999999997E-2"/>
    <n v="5.5E-2"/>
    <n v="6"/>
    <n v="14"/>
    <s v="Jose"/>
    <s v="Vaughan"/>
    <s v="Ohio State University_x0009_"/>
    <x v="3"/>
    <x v="3"/>
    <n v="3.6"/>
  </r>
  <r>
    <n v="2981"/>
    <s v="I"/>
    <n v="0.5"/>
    <n v="0.37"/>
    <n v="0.115"/>
    <n v="0.57450000000000001"/>
    <n v="0.30599999999999999"/>
    <n v="0.112"/>
    <n v="0.14099999999999999"/>
    <n v="7"/>
    <n v="3"/>
    <s v="Inaya"/>
    <s v="Bernard"/>
    <s v="Stanford University"/>
    <x v="0"/>
    <x v="0"/>
    <n v="1.9"/>
  </r>
  <r>
    <n v="1358"/>
    <s v="I"/>
    <n v="0.6"/>
    <n v="0.46"/>
    <n v="0.155"/>
    <n v="0.95950000000000002"/>
    <n v="0.44550000000000001"/>
    <n v="0.189"/>
    <n v="0.29499999999999998"/>
    <n v="11"/>
    <n v="6"/>
    <s v="Martin"/>
    <s v="Gaines"/>
    <s v="San Diego State University"/>
    <x v="4"/>
    <x v="4"/>
    <n v="18"/>
  </r>
  <r>
    <n v="574"/>
    <s v="I"/>
    <n v="0.56999999999999995"/>
    <n v="0.44"/>
    <n v="0.14000000000000001"/>
    <n v="0.95350000000000001"/>
    <n v="0.3785"/>
    <n v="0.20100000000000001"/>
    <n v="0.30499999999999999"/>
    <n v="17"/>
    <n v="5"/>
    <s v="Haniya"/>
    <s v="Talley"/>
    <s v="Prince William Sound Science Center"/>
    <x v="8"/>
    <x v="8"/>
    <n v="14.1"/>
  </r>
  <r>
    <n v="3911"/>
    <s v="I"/>
    <n v="0.45500000000000002"/>
    <n v="0.35499999999999998"/>
    <n v="0.13500000000000001"/>
    <n v="0.47449999999999998"/>
    <n v="0.1865"/>
    <n v="9.35E-2"/>
    <n v="0.16800000000000001"/>
    <n v="13"/>
    <n v="13"/>
    <s v="Betty"/>
    <s v="Berg"/>
    <s v="University of Houston"/>
    <x v="7"/>
    <x v="7"/>
    <n v="12.8"/>
  </r>
  <r>
    <n v="2177"/>
    <s v="I"/>
    <n v="0.56999999999999995"/>
    <n v="0.45"/>
    <n v="0.17"/>
    <n v="1.0980000000000001"/>
    <n v="0.41399999999999998"/>
    <n v="0.187"/>
    <n v="0.40500000000000003"/>
    <n v="20"/>
    <n v="6"/>
    <s v="Martin"/>
    <s v="Gaines"/>
    <s v="San Diego State University"/>
    <x v="0"/>
    <x v="0"/>
    <n v="1.9"/>
  </r>
  <r>
    <n v="240"/>
    <s v="I"/>
    <n v="0.16"/>
    <n v="0.12"/>
    <n v="3.5000000000000003E-2"/>
    <n v="2.1000000000000001E-2"/>
    <n v="7.4999999999999997E-3"/>
    <n v="4.4999999999999997E-3"/>
    <n v="5.0000000000000001E-3"/>
    <n v="5"/>
    <n v="8"/>
    <s v="Kali"/>
    <s v="Metcalfe"/>
    <s v="Mote Marine Laboratory"/>
    <x v="1"/>
    <x v="1"/>
    <n v="2.5"/>
  </r>
  <r>
    <n v="2419"/>
    <s v="I"/>
    <n v="0.46500000000000002"/>
    <n v="0.35"/>
    <n v="0.13"/>
    <n v="0.49399999999999999"/>
    <n v="0.19450000000000001"/>
    <n v="0.10299999999999999"/>
    <n v="0.155"/>
    <n v="18"/>
    <n v="7"/>
    <s v="Iona"/>
    <s v="Connolly"/>
    <s v="Florida Atlantic University"/>
    <x v="3"/>
    <x v="3"/>
    <n v="3.6"/>
  </r>
  <r>
    <n v="1615"/>
    <s v="I"/>
    <n v="0.55000000000000004"/>
    <n v="0.41499999999999998"/>
    <n v="0.14499999999999999"/>
    <n v="0.78149999999999997"/>
    <n v="0.373"/>
    <n v="0.16"/>
    <n v="0.2215"/>
    <n v="8"/>
    <n v="4"/>
    <s v="Nate"/>
    <s v="Craig"/>
    <s v="NOAA Fisheries"/>
    <x v="4"/>
    <x v="4"/>
    <n v="18"/>
  </r>
  <r>
    <n v="2502"/>
    <s v="I"/>
    <n v="0.33"/>
    <n v="0.26"/>
    <n v="0.08"/>
    <n v="0.2"/>
    <n v="6.25E-2"/>
    <n v="0.05"/>
    <n v="7.0000000000000007E-2"/>
    <n v="9"/>
    <n v="9"/>
    <s v="Danica"/>
    <s v="Tyler"/>
    <s v="University of Florida_x0009_"/>
    <x v="4"/>
    <x v="4"/>
    <n v="18"/>
  </r>
  <r>
    <n v="3530"/>
    <s v="I"/>
    <n v="0.36"/>
    <n v="0.26500000000000001"/>
    <n v="7.4999999999999997E-2"/>
    <n v="0.17849999999999999"/>
    <n v="7.85E-2"/>
    <n v="3.5000000000000003E-2"/>
    <n v="5.3999999999999999E-2"/>
    <n v="6"/>
    <n v="11"/>
    <s v="Naima"/>
    <s v="Reyes"/>
    <s v="University of Houston"/>
    <x v="6"/>
    <x v="6"/>
    <n v="22.1"/>
  </r>
  <r>
    <n v="394"/>
    <s v="I"/>
    <n v="0.36499999999999999"/>
    <n v="0.29499999999999998"/>
    <n v="9.5000000000000001E-2"/>
    <n v="0.25"/>
    <n v="0.1075"/>
    <n v="5.45E-2"/>
    <n v="0.08"/>
    <n v="9"/>
    <n v="2"/>
    <s v="Tiegan"/>
    <s v="Davie"/>
    <s v="University of California, Davis"/>
    <x v="2"/>
    <x v="2"/>
    <n v="12.3"/>
  </r>
  <r>
    <n v="2986"/>
    <s v="I"/>
    <n v="0.53500000000000003"/>
    <n v="0.4"/>
    <n v="0.13500000000000001"/>
    <n v="0.77500000000000002"/>
    <n v="0.36799999999999999"/>
    <n v="0.20799999999999999"/>
    <n v="0.20549999999999999"/>
    <n v="8"/>
    <n v="12"/>
    <s v="Rebecca"/>
    <s v="Bennett"/>
    <s v="University of Houston"/>
    <x v="8"/>
    <x v="8"/>
    <n v="14.1"/>
  </r>
  <r>
    <n v="1655"/>
    <s v="I"/>
    <n v="0.59499999999999997"/>
    <n v="0.46"/>
    <n v="0.15"/>
    <n v="0.83350000000000002"/>
    <n v="0.377"/>
    <n v="0.1925"/>
    <n v="0.23499999999999999"/>
    <n v="8"/>
    <n v="2"/>
    <s v="Tiegan"/>
    <s v="Davie"/>
    <s v="University of California, Davis"/>
    <x v="8"/>
    <x v="8"/>
    <n v="14.1"/>
  </r>
  <r>
    <n v="193"/>
    <s v="I"/>
    <n v="0.57999999999999996"/>
    <n v="0.45"/>
    <n v="0.15"/>
    <n v="0.92700000000000005"/>
    <n v="0.27600000000000002"/>
    <n v="0.18149999999999999"/>
    <n v="0.36"/>
    <n v="14"/>
    <n v="8"/>
    <s v="Kali"/>
    <s v="Metcalfe"/>
    <s v="Mote Marine Laboratory"/>
    <x v="7"/>
    <x v="7"/>
    <n v="12.8"/>
  </r>
  <r>
    <n v="2430"/>
    <s v="I"/>
    <n v="0.34"/>
    <n v="0.255"/>
    <n v="9.5000000000000001E-2"/>
    <n v="0.21299999999999999"/>
    <n v="8.1000000000000003E-2"/>
    <n v="3.4000000000000002E-2"/>
    <n v="7.0000000000000007E-2"/>
    <n v="9"/>
    <n v="7"/>
    <s v="Iona"/>
    <s v="Connolly"/>
    <s v="Florida Atlantic University"/>
    <x v="1"/>
    <x v="1"/>
    <n v="2.5"/>
  </r>
  <r>
    <n v="7"/>
    <s v="I"/>
    <n v="0.53"/>
    <n v="0.41499999999999998"/>
    <n v="0.15"/>
    <n v="0.77749999999999997"/>
    <n v="0.23699999999999999"/>
    <n v="0.14149999999999999"/>
    <n v="0.33"/>
    <n v="20"/>
    <n v="10"/>
    <s v="Hazel"/>
    <s v="Villa"/>
    <s v="University of Minnesota"/>
    <x v="4"/>
    <x v="4"/>
    <n v="18"/>
  </r>
  <r>
    <n v="1357"/>
    <s v="I"/>
    <n v="0.6"/>
    <n v="0.45500000000000002"/>
    <n v="0.14499999999999999"/>
    <n v="0.88949999999999996"/>
    <n v="0.41899999999999998"/>
    <n v="0.17150000000000001"/>
    <n v="0.26900000000000002"/>
    <n v="10"/>
    <n v="5"/>
    <s v="Haniya"/>
    <s v="Talley"/>
    <s v="Prince William Sound Science Center"/>
    <x v="6"/>
    <x v="6"/>
    <n v="22.1"/>
  </r>
  <r>
    <n v="2322"/>
    <s v="I"/>
    <n v="0.49"/>
    <n v="0.39500000000000002"/>
    <n v="0.13500000000000001"/>
    <n v="0.55449999999999999"/>
    <n v="0.21299999999999999"/>
    <n v="9.2499999999999999E-2"/>
    <n v="0.215"/>
    <n v="14"/>
    <n v="7"/>
    <s v="Iona"/>
    <s v="Connolly"/>
    <s v="Florida Atlantic University"/>
    <x v="3"/>
    <x v="3"/>
    <n v="3.6"/>
  </r>
  <r>
    <n v="3834"/>
    <s v="I"/>
    <n v="0.53500000000000003"/>
    <n v="0.41"/>
    <n v="0.15"/>
    <n v="0.8105"/>
    <n v="0.34499999999999997"/>
    <n v="0.187"/>
    <n v="0.24"/>
    <n v="11"/>
    <n v="2"/>
    <s v="Tiegan"/>
    <s v="Davie"/>
    <s v="University of California, Davis"/>
    <x v="7"/>
    <x v="7"/>
    <n v="12.8"/>
  </r>
  <r>
    <n v="1273"/>
    <s v="I"/>
    <n v="0.47499999999999998"/>
    <n v="0.35499999999999998"/>
    <n v="0.1"/>
    <n v="0.50349999999999995"/>
    <n v="0.2535"/>
    <n v="9.0999999999999998E-2"/>
    <n v="0.14000000000000001"/>
    <n v="8"/>
    <n v="3"/>
    <s v="Inaya"/>
    <s v="Bernard"/>
    <s v="Stanford University"/>
    <x v="3"/>
    <x v="3"/>
    <n v="3.6"/>
  </r>
  <r>
    <n v="1496"/>
    <s v="I"/>
    <n v="0.62"/>
    <n v="0.435"/>
    <n v="0.155"/>
    <n v="1.012"/>
    <n v="0.47699999999999998"/>
    <n v="0.23599999999999999"/>
    <n v="0.27500000000000002"/>
    <n v="8"/>
    <n v="8"/>
    <s v="Kali"/>
    <s v="Metcalfe"/>
    <s v="Mote Marine Laboratory"/>
    <x v="2"/>
    <x v="2"/>
    <n v="12.3"/>
  </r>
  <r>
    <n v="2238"/>
    <s v="I"/>
    <n v="0.58499999999999996"/>
    <n v="0.46500000000000002"/>
    <n v="0.19"/>
    <n v="1.171"/>
    <n v="0.39050000000000001"/>
    <n v="0.23549999999999999"/>
    <n v="0.4"/>
    <n v="17"/>
    <n v="15"/>
    <s v="Conan"/>
    <s v="Dalton"/>
    <s v="University of Houston"/>
    <x v="4"/>
    <x v="4"/>
    <n v="18"/>
  </r>
  <r>
    <n v="4114"/>
    <s v="I"/>
    <n v="0.56000000000000005"/>
    <n v="0.42"/>
    <n v="0.14000000000000001"/>
    <n v="0.83699999999999997"/>
    <n v="0.41399999999999998"/>
    <n v="0.214"/>
    <n v="0.2"/>
    <n v="8"/>
    <n v="14"/>
    <s v="Jose"/>
    <s v="Vaughan"/>
    <s v="Ohio State University_x0009_"/>
    <x v="7"/>
    <x v="7"/>
    <n v="12.8"/>
  </r>
  <r>
    <n v="3169"/>
    <s v="I"/>
    <n v="0.60499999999999998"/>
    <n v="0.47"/>
    <n v="0.115"/>
    <n v="1.1140000000000001"/>
    <n v="0.39250000000000002"/>
    <n v="0.29099999999999998"/>
    <n v="0.31"/>
    <n v="15"/>
    <n v="13"/>
    <s v="Betty"/>
    <s v="Berg"/>
    <s v="University of Houston"/>
    <x v="9"/>
    <x v="9"/>
    <n v="24.1"/>
  </r>
  <r>
    <n v="1336"/>
    <s v="I"/>
    <n v="0.57499999999999996"/>
    <n v="0.48"/>
    <n v="0.16500000000000001"/>
    <n v="1.0780000000000001"/>
    <n v="0.51100000000000001"/>
    <n v="0.20949999999999999"/>
    <n v="0.30599999999999999"/>
    <n v="9"/>
    <n v="7"/>
    <s v="Iona"/>
    <s v="Connolly"/>
    <s v="Florida Atlantic University"/>
    <x v="3"/>
    <x v="3"/>
    <n v="3.6"/>
  </r>
  <r>
    <n v="3258"/>
    <s v="I"/>
    <n v="0.505"/>
    <n v="0.38500000000000001"/>
    <n v="0.11"/>
    <n v="0.65500000000000003"/>
    <n v="0.31850000000000001"/>
    <n v="0.15"/>
    <n v="0.185"/>
    <n v="9"/>
    <n v="4"/>
    <s v="Nate"/>
    <s v="Craig"/>
    <s v="NOAA Fisheries"/>
    <x v="2"/>
    <x v="2"/>
    <n v="12.3"/>
  </r>
  <r>
    <n v="3452"/>
    <s v="I"/>
    <n v="0.55000000000000004"/>
    <n v="0.44"/>
    <n v="0.155"/>
    <n v="0.91549999999999998"/>
    <n v="0.36449999999999999"/>
    <n v="0.19500000000000001"/>
    <n v="0.25"/>
    <n v="8"/>
    <n v="5"/>
    <s v="Haniya"/>
    <s v="Talley"/>
    <s v="Prince William Sound Science Center"/>
    <x v="7"/>
    <x v="7"/>
    <n v="12.8"/>
  </r>
  <r>
    <n v="993"/>
    <s v="I"/>
    <n v="0.57999999999999996"/>
    <n v="0.46"/>
    <n v="0.18"/>
    <n v="1.0515000000000001"/>
    <n v="0.40949999999999998"/>
    <n v="0.25950000000000001"/>
    <n v="0.27600000000000002"/>
    <n v="8"/>
    <n v="6"/>
    <s v="Martin"/>
    <s v="Gaines"/>
    <s v="San Diego State University"/>
    <x v="4"/>
    <x v="4"/>
    <n v="18"/>
  </r>
  <r>
    <n v="3537"/>
    <s v="I"/>
    <n v="0.42499999999999999"/>
    <n v="0.32500000000000001"/>
    <n v="0.11"/>
    <n v="0.40500000000000003"/>
    <n v="0.16950000000000001"/>
    <n v="9.1999999999999998E-2"/>
    <n v="0.1065"/>
    <n v="8"/>
    <n v="7"/>
    <s v="Iona"/>
    <s v="Connolly"/>
    <s v="Florida Atlantic University"/>
    <x v="3"/>
    <x v="3"/>
    <n v="3.6"/>
  </r>
  <r>
    <n v="4074"/>
    <s v="I"/>
    <n v="0.51500000000000001"/>
    <n v="0.39500000000000002"/>
    <n v="0.125"/>
    <n v="0.58050000000000002"/>
    <n v="0.23649999999999999"/>
    <n v="0.1075"/>
    <n v="0.19"/>
    <n v="9"/>
    <n v="11"/>
    <s v="Naima"/>
    <s v="Reyes"/>
    <s v="University of Houston"/>
    <x v="6"/>
    <x v="6"/>
    <n v="22.1"/>
  </r>
  <r>
    <n v="2168"/>
    <s v="I"/>
    <n v="0.37"/>
    <n v="0.27500000000000002"/>
    <n v="8.5000000000000006E-2"/>
    <n v="0.24049999999999999"/>
    <n v="0.104"/>
    <n v="5.3499999999999999E-2"/>
    <n v="7.0000000000000007E-2"/>
    <n v="5"/>
    <n v="2"/>
    <s v="Tiegan"/>
    <s v="Davie"/>
    <s v="University of California, Davis"/>
    <x v="7"/>
    <x v="7"/>
    <n v="12.8"/>
  </r>
  <r>
    <n v="627"/>
    <s v="I"/>
    <n v="0.42499999999999999"/>
    <n v="0.33500000000000002"/>
    <n v="9.5000000000000001E-2"/>
    <n v="0.32200000000000001"/>
    <n v="0.1205"/>
    <n v="6.0999999999999999E-2"/>
    <n v="0.125"/>
    <n v="10"/>
    <n v="8"/>
    <s v="Kali"/>
    <s v="Metcalfe"/>
    <s v="Mote Marine Laboratory"/>
    <x v="8"/>
    <x v="8"/>
    <n v="14.1"/>
  </r>
  <r>
    <n v="1494"/>
    <s v="I"/>
    <n v="0.61499999999999999"/>
    <n v="0.47499999999999998"/>
    <n v="0.13"/>
    <n v="0.84250000000000003"/>
    <n v="0.35299999999999998"/>
    <n v="0.1915"/>
    <n v="0.251"/>
    <n v="8"/>
    <n v="3"/>
    <s v="Inaya"/>
    <s v="Bernard"/>
    <s v="Stanford University"/>
    <x v="6"/>
    <x v="6"/>
    <n v="22.1"/>
  </r>
  <r>
    <n v="1375"/>
    <s v="I"/>
    <n v="0.61499999999999999"/>
    <n v="0.48"/>
    <n v="0.17499999999999999"/>
    <n v="1.1180000000000001"/>
    <n v="0.44600000000000001"/>
    <n v="0.31950000000000001"/>
    <n v="0.3"/>
    <n v="9"/>
    <n v="5"/>
    <s v="Haniya"/>
    <s v="Talley"/>
    <s v="Prince William Sound Science Center"/>
    <x v="8"/>
    <x v="8"/>
    <n v="14.1"/>
  </r>
  <r>
    <n v="3846"/>
    <s v="I"/>
    <n v="0.45500000000000002"/>
    <n v="0.35"/>
    <n v="0.105"/>
    <n v="0.41599999999999998"/>
    <n v="0.16250000000000001"/>
    <n v="9.7000000000000003E-2"/>
    <n v="0.14499999999999999"/>
    <n v="11"/>
    <n v="13"/>
    <s v="Betty"/>
    <s v="Berg"/>
    <s v="University of Houston"/>
    <x v="8"/>
    <x v="8"/>
    <n v="14.1"/>
  </r>
  <r>
    <n v="3256"/>
    <s v="I"/>
    <n v="0.3"/>
    <n v="0.23"/>
    <n v="7.4999999999999997E-2"/>
    <n v="0.15"/>
    <n v="6.0499999999999998E-2"/>
    <n v="4.2000000000000003E-2"/>
    <n v="4.4999999999999998E-2"/>
    <n v="5"/>
    <n v="15"/>
    <s v="Conan"/>
    <s v="Dalton"/>
    <s v="University of Houston"/>
    <x v="1"/>
    <x v="1"/>
    <n v="2.5"/>
  </r>
  <r>
    <n v="653"/>
    <s v="I"/>
    <n v="0.47"/>
    <n v="0.35"/>
    <n v="0.13"/>
    <n v="0.46600000000000003"/>
    <n v="0.1845"/>
    <n v="9.9000000000000005E-2"/>
    <n v="0.14499999999999999"/>
    <n v="11"/>
    <n v="5"/>
    <s v="Haniya"/>
    <s v="Talley"/>
    <s v="Prince William Sound Science Center"/>
    <x v="5"/>
    <x v="5"/>
    <n v="6.1"/>
  </r>
  <r>
    <n v="1340"/>
    <s v="I"/>
    <n v="0.57999999999999996"/>
    <n v="0.44500000000000001"/>
    <n v="0.15"/>
    <n v="0.85799999999999998"/>
    <n v="0.4"/>
    <n v="0.156"/>
    <n v="0.253"/>
    <n v="8"/>
    <n v="13"/>
    <s v="Betty"/>
    <s v="Berg"/>
    <s v="University of Houston"/>
    <x v="1"/>
    <x v="1"/>
    <n v="2.5"/>
  </r>
  <r>
    <n v="462"/>
    <s v="I"/>
    <n v="0.58499999999999996"/>
    <n v="0.46500000000000002"/>
    <n v="0.17"/>
    <n v="0.99150000000000005"/>
    <n v="0.38650000000000001"/>
    <n v="0.224"/>
    <n v="0.26500000000000001"/>
    <n v="12"/>
    <n v="9"/>
    <s v="Danica"/>
    <s v="Tyler"/>
    <s v="University of Florida_x0009_"/>
    <x v="9"/>
    <x v="9"/>
    <n v="24.1"/>
  </r>
  <r>
    <n v="1554"/>
    <s v="I"/>
    <n v="0.39"/>
    <n v="0.28999999999999998"/>
    <n v="0.1"/>
    <n v="0.2225"/>
    <n v="9.5000000000000001E-2"/>
    <n v="4.65E-2"/>
    <n v="7.2999999999999995E-2"/>
    <n v="7"/>
    <n v="8"/>
    <s v="Kali"/>
    <s v="Metcalfe"/>
    <s v="Mote Marine Laboratory"/>
    <x v="1"/>
    <x v="1"/>
    <n v="2.5"/>
  </r>
  <r>
    <n v="2050"/>
    <s v="I"/>
    <n v="0.44500000000000001"/>
    <n v="0.32"/>
    <n v="0.12"/>
    <n v="0.378"/>
    <n v="0.152"/>
    <n v="8.2500000000000004E-2"/>
    <n v="0.12"/>
    <n v="8"/>
    <n v="8"/>
    <s v="Kali"/>
    <s v="Metcalfe"/>
    <s v="Mote Marine Laboratory"/>
    <x v="7"/>
    <x v="7"/>
    <n v="12.8"/>
  </r>
  <r>
    <n v="2772"/>
    <s v="I"/>
    <n v="0.57499999999999996"/>
    <n v="0.435"/>
    <n v="0.155"/>
    <n v="0.89749999999999996"/>
    <n v="0.41149999999999998"/>
    <n v="0.23250000000000001"/>
    <n v="0.23"/>
    <n v="9"/>
    <n v="2"/>
    <s v="Tiegan"/>
    <s v="Davie"/>
    <s v="University of California, Davis"/>
    <x v="4"/>
    <x v="4"/>
    <n v="18"/>
  </r>
  <r>
    <n v="2829"/>
    <s v="I"/>
    <n v="0.52"/>
    <n v="0.4"/>
    <n v="0.105"/>
    <n v="0.872"/>
    <n v="0.45150000000000001"/>
    <n v="0.1615"/>
    <n v="0.19850000000000001"/>
    <n v="9"/>
    <n v="6"/>
    <s v="Martin"/>
    <s v="Gaines"/>
    <s v="San Diego State University"/>
    <x v="9"/>
    <x v="9"/>
    <n v="24.1"/>
  </r>
  <r>
    <n v="603"/>
    <s v="I"/>
    <n v="0.39"/>
    <n v="0.3"/>
    <n v="0.1"/>
    <n v="0.26500000000000001"/>
    <n v="0.1075"/>
    <n v="0.06"/>
    <n v="8.6499999999999994E-2"/>
    <n v="13"/>
    <n v="3"/>
    <s v="Inaya"/>
    <s v="Bernard"/>
    <s v="Stanford University"/>
    <x v="7"/>
    <x v="7"/>
    <n v="12.8"/>
  </r>
  <r>
    <n v="3493"/>
    <s v="I"/>
    <n v="0.55500000000000005"/>
    <n v="0.44"/>
    <n v="0.14499999999999999"/>
    <n v="0.85"/>
    <n v="0.41649999999999998"/>
    <n v="0.16850000000000001"/>
    <n v="0.23"/>
    <n v="8"/>
    <n v="4"/>
    <s v="Nate"/>
    <s v="Craig"/>
    <s v="NOAA Fisheries"/>
    <x v="0"/>
    <x v="0"/>
    <n v="1.9"/>
  </r>
  <r>
    <n v="2357"/>
    <s v="I"/>
    <n v="0.57499999999999996"/>
    <n v="0.47"/>
    <n v="0.15"/>
    <n v="1.1415"/>
    <n v="0.45150000000000001"/>
    <n v="0.20399999999999999"/>
    <n v="0.4"/>
    <n v="13"/>
    <n v="1"/>
    <s v="Jan"/>
    <s v="Odom"/>
    <s v="University of Houston"/>
    <x v="2"/>
    <x v="2"/>
    <n v="12.3"/>
  </r>
  <r>
    <n v="1220"/>
    <s v="I"/>
    <n v="0.32500000000000001"/>
    <n v="0.22500000000000001"/>
    <n v="7.4999999999999997E-2"/>
    <n v="0.13900000000000001"/>
    <n v="5.6500000000000002E-2"/>
    <n v="3.2000000000000001E-2"/>
    <n v="0.09"/>
    <n v="6"/>
    <n v="15"/>
    <s v="Conan"/>
    <s v="Dalton"/>
    <s v="University of Houston"/>
    <x v="9"/>
    <x v="9"/>
    <n v="24.1"/>
  </r>
  <r>
    <n v="936"/>
    <s v="I"/>
    <n v="0.45"/>
    <n v="0.34499999999999997"/>
    <n v="0.11"/>
    <n v="0.47"/>
    <n v="0.23549999999999999"/>
    <n v="8.5500000000000007E-2"/>
    <n v="0.1135"/>
    <n v="7"/>
    <n v="5"/>
    <s v="Haniya"/>
    <s v="Talley"/>
    <s v="Prince William Sound Science Center"/>
    <x v="4"/>
    <x v="4"/>
    <n v="18"/>
  </r>
  <r>
    <n v="937"/>
    <s v="I"/>
    <n v="0.45"/>
    <n v="0.33500000000000002"/>
    <n v="0.105"/>
    <n v="0.44700000000000001"/>
    <n v="0.23350000000000001"/>
    <n v="0.153"/>
    <n v="0.11899999999999999"/>
    <n v="7"/>
    <n v="6"/>
    <s v="Martin"/>
    <s v="Gaines"/>
    <s v="San Diego State University"/>
    <x v="4"/>
    <x v="4"/>
    <n v="18"/>
  </r>
  <r>
    <n v="1102"/>
    <s v="I"/>
    <n v="0.5"/>
    <n v="0.38"/>
    <n v="0.125"/>
    <n v="0.51900000000000002"/>
    <n v="0.2485"/>
    <n v="0.1135"/>
    <n v="0.13400000000000001"/>
    <n v="8"/>
    <n v="9"/>
    <s v="Danica"/>
    <s v="Tyler"/>
    <s v="University of Florida_x0009_"/>
    <x v="9"/>
    <x v="9"/>
    <n v="24.1"/>
  </r>
  <r>
    <n v="2922"/>
    <s v="I"/>
    <n v="0.6"/>
    <n v="0.45"/>
    <n v="0.15"/>
    <n v="0.96250000000000002"/>
    <n v="0.4375"/>
    <n v="0.2225"/>
    <n v="0.27750000000000002"/>
    <n v="9"/>
    <n v="7"/>
    <s v="Iona"/>
    <s v="Connolly"/>
    <s v="Florida Atlantic University"/>
    <x v="5"/>
    <x v="5"/>
    <n v="6.1"/>
  </r>
  <r>
    <n v="1605"/>
    <s v="I"/>
    <n v="0.54"/>
    <n v="0.45500000000000002"/>
    <n v="0.14000000000000001"/>
    <n v="0.97199999999999998"/>
    <n v="0.41899999999999998"/>
    <n v="0.255"/>
    <n v="0.26900000000000002"/>
    <n v="10"/>
    <n v="4"/>
    <s v="Nate"/>
    <s v="Craig"/>
    <s v="NOAA Fisheries"/>
    <x v="9"/>
    <x v="9"/>
    <n v="24.1"/>
  </r>
  <r>
    <n v="1119"/>
    <s v="I"/>
    <n v="0.53500000000000003"/>
    <n v="0.39"/>
    <n v="0.125"/>
    <n v="0.59899999999999998"/>
    <n v="0.25950000000000001"/>
    <n v="0.14899999999999999"/>
    <n v="0.16900000000000001"/>
    <n v="9"/>
    <n v="2"/>
    <s v="Tiegan"/>
    <s v="Davie"/>
    <s v="University of California, Davis"/>
    <x v="2"/>
    <x v="2"/>
    <n v="12.3"/>
  </r>
  <r>
    <n v="1662"/>
    <s v="I"/>
    <n v="0.6"/>
    <n v="0.47"/>
    <n v="0.16"/>
    <n v="1.194"/>
    <n v="0.5625"/>
    <n v="0.30449999999999999"/>
    <n v="0.26350000000000001"/>
    <n v="10"/>
    <n v="11"/>
    <s v="Naima"/>
    <s v="Reyes"/>
    <s v="University of Houston"/>
    <x v="8"/>
    <x v="8"/>
    <n v="14.1"/>
  </r>
  <r>
    <n v="3016"/>
    <s v="I"/>
    <n v="0.42"/>
    <n v="0.32"/>
    <n v="0.11"/>
    <n v="0.309"/>
    <n v="0.115"/>
    <n v="6.4500000000000002E-2"/>
    <n v="9.4500000000000001E-2"/>
    <n v="6"/>
    <n v="3"/>
    <s v="Inaya"/>
    <s v="Bernard"/>
    <s v="Stanford University"/>
    <x v="9"/>
    <x v="9"/>
    <n v="24.1"/>
  </r>
  <r>
    <n v="515"/>
    <s v="I"/>
    <n v="0.27500000000000002"/>
    <n v="0.19500000000000001"/>
    <n v="7.0000000000000007E-2"/>
    <n v="0.08"/>
    <n v="3.1E-2"/>
    <n v="2.1499999999999998E-2"/>
    <n v="2.5000000000000001E-2"/>
    <n v="5"/>
    <n v="12"/>
    <s v="Rebecca"/>
    <s v="Bennett"/>
    <s v="University of Houston"/>
    <x v="4"/>
    <x v="4"/>
    <n v="18"/>
  </r>
  <r>
    <n v="405"/>
    <s v="I"/>
    <n v="0.44"/>
    <n v="0.34499999999999997"/>
    <n v="0.12"/>
    <n v="0.36499999999999999"/>
    <n v="0.16550000000000001"/>
    <n v="8.3000000000000004E-2"/>
    <n v="0.11"/>
    <n v="7"/>
    <n v="4"/>
    <s v="Nate"/>
    <s v="Craig"/>
    <s v="NOAA Fisheries"/>
    <x v="2"/>
    <x v="2"/>
    <n v="12.3"/>
  </r>
  <r>
    <n v="606"/>
    <s v="I"/>
    <n v="0.42499999999999999"/>
    <n v="0.34499999999999997"/>
    <n v="0.125"/>
    <n v="0.42499999999999999"/>
    <n v="0.16"/>
    <n v="7.9500000000000001E-2"/>
    <n v="0.154"/>
    <n v="13"/>
    <n v="5"/>
    <s v="Haniya"/>
    <s v="Talley"/>
    <s v="Prince William Sound Science Center"/>
    <x v="9"/>
    <x v="9"/>
    <n v="24.1"/>
  </r>
  <r>
    <n v="3639"/>
    <s v="I"/>
    <n v="0.44"/>
    <n v="0.34"/>
    <n v="0.105"/>
    <n v="0.34399999999999997"/>
    <n v="0.123"/>
    <n v="8.1000000000000003E-2"/>
    <n v="0.125"/>
    <n v="8"/>
    <n v="11"/>
    <s v="Naima"/>
    <s v="Reyes"/>
    <s v="University of Houston"/>
    <x v="6"/>
    <x v="6"/>
    <n v="22.1"/>
  </r>
  <r>
    <n v="50"/>
    <s v="I"/>
    <n v="0.52500000000000002"/>
    <n v="0.42499999999999999"/>
    <n v="0.16"/>
    <n v="0.83550000000000002"/>
    <n v="0.35449999999999998"/>
    <n v="0.2135"/>
    <n v="0.245"/>
    <n v="9"/>
    <n v="4"/>
    <s v="Nate"/>
    <s v="Craig"/>
    <s v="NOAA Fisheries"/>
    <x v="9"/>
    <x v="9"/>
    <n v="24.1"/>
  </r>
  <r>
    <n v="3761"/>
    <s v="I"/>
    <n v="0.53"/>
    <n v="0.42499999999999999"/>
    <n v="0.13"/>
    <n v="0.70199999999999996"/>
    <n v="0.29749999999999999"/>
    <n v="0.13950000000000001"/>
    <n v="0.22"/>
    <n v="9"/>
    <n v="2"/>
    <s v="Tiegan"/>
    <s v="Davie"/>
    <s v="University of California, Davis"/>
    <x v="9"/>
    <x v="9"/>
    <n v="24.1"/>
  </r>
  <r>
    <n v="460"/>
    <s v="I"/>
    <n v="0.52500000000000002"/>
    <n v="0.41"/>
    <n v="0.13500000000000001"/>
    <n v="0.70850000000000002"/>
    <n v="0.29299999999999998"/>
    <n v="0.1525"/>
    <n v="0.23499999999999999"/>
    <n v="11"/>
    <n v="1"/>
    <s v="Jan"/>
    <s v="Odom"/>
    <s v="University of Houston"/>
    <x v="5"/>
    <x v="5"/>
    <n v="6.1"/>
  </r>
  <r>
    <n v="3577"/>
    <s v="I"/>
    <n v="0.6"/>
    <n v="0.47499999999999998"/>
    <n v="0.155"/>
    <n v="1.0589999999999999"/>
    <n v="0.441"/>
    <n v="0.19"/>
    <n v="0.39"/>
    <n v="11"/>
    <n v="11"/>
    <s v="Naima"/>
    <s v="Reyes"/>
    <s v="University of Houston"/>
    <x v="6"/>
    <x v="6"/>
    <n v="22.1"/>
  </r>
  <r>
    <n v="1107"/>
    <s v="I"/>
    <n v="0.51"/>
    <n v="0.4"/>
    <n v="0.125"/>
    <n v="0.5575"/>
    <n v="0.26150000000000001"/>
    <n v="0.1195"/>
    <n v="0.1525"/>
    <n v="9"/>
    <n v="2"/>
    <s v="Tiegan"/>
    <s v="Davie"/>
    <s v="University of California, Davis"/>
    <x v="6"/>
    <x v="6"/>
    <n v="22.1"/>
  </r>
  <r>
    <n v="809"/>
    <s v="I"/>
    <n v="0.44"/>
    <n v="0.34"/>
    <n v="0.13"/>
    <n v="0.41949999999999998"/>
    <n v="0.153"/>
    <n v="0.11550000000000001"/>
    <n v="0.13"/>
    <n v="10"/>
    <n v="9"/>
    <s v="Danica"/>
    <s v="Tyler"/>
    <s v="University of Florida_x0009_"/>
    <x v="6"/>
    <x v="6"/>
    <n v="22.1"/>
  </r>
  <r>
    <n v="2547"/>
    <s v="I"/>
    <n v="0.22500000000000001"/>
    <n v="0.17"/>
    <n v="7.0000000000000007E-2"/>
    <n v="5.6500000000000002E-2"/>
    <n v="2.4E-2"/>
    <n v="1.2999999999999999E-2"/>
    <n v="1.6E-2"/>
    <n v="4"/>
    <n v="7"/>
    <s v="Iona"/>
    <s v="Connolly"/>
    <s v="Florida Atlantic University"/>
    <x v="4"/>
    <x v="4"/>
    <n v="18"/>
  </r>
  <r>
    <n v="3417"/>
    <s v="I"/>
    <n v="0.56000000000000005"/>
    <n v="0.45"/>
    <n v="0.14000000000000001"/>
    <n v="0.9"/>
    <n v="0.47199999999999998"/>
    <n v="0.182"/>
    <n v="0.218"/>
    <n v="7"/>
    <n v="5"/>
    <s v="Haniya"/>
    <s v="Talley"/>
    <s v="Prince William Sound Science Center"/>
    <x v="5"/>
    <x v="5"/>
    <n v="6.1"/>
  </r>
  <r>
    <n v="4068"/>
    <s v="I"/>
    <n v="0.4"/>
    <n v="0.3"/>
    <n v="0.115"/>
    <n v="0.318"/>
    <n v="0.13350000000000001"/>
    <n v="7.2499999999999995E-2"/>
    <n v="9.35E-2"/>
    <n v="6"/>
    <n v="8"/>
    <s v="Kali"/>
    <s v="Metcalfe"/>
    <s v="Mote Marine Laboratory"/>
    <x v="4"/>
    <x v="4"/>
    <n v="18"/>
  </r>
  <r>
    <n v="3318"/>
    <s v="I"/>
    <n v="0.26500000000000001"/>
    <n v="0.2"/>
    <n v="6.5000000000000002E-2"/>
    <n v="8.4000000000000005E-2"/>
    <n v="3.4000000000000002E-2"/>
    <n v="1.0500000000000001E-2"/>
    <n v="0.03"/>
    <n v="7"/>
    <n v="14"/>
    <s v="Jose"/>
    <s v="Vaughan"/>
    <s v="Ohio State University_x0009_"/>
    <x v="0"/>
    <x v="0"/>
    <n v="1.9"/>
  </r>
  <r>
    <n v="1057"/>
    <s v="I"/>
    <n v="0.2"/>
    <n v="0.155"/>
    <n v="0.04"/>
    <n v="4.3499999999999997E-2"/>
    <n v="1.55E-2"/>
    <n v="8.9999999999999993E-3"/>
    <n v="7.0000000000000001E-3"/>
    <n v="4"/>
    <n v="7"/>
    <s v="Iona"/>
    <s v="Connolly"/>
    <s v="Florida Atlantic University"/>
    <x v="4"/>
    <x v="4"/>
    <n v="18"/>
  </r>
  <r>
    <n v="2919"/>
    <s v="I"/>
    <n v="0.6"/>
    <n v="0.44500000000000001"/>
    <n v="0.13500000000000001"/>
    <n v="0.92049999999999998"/>
    <n v="0.44500000000000001"/>
    <n v="0.20349999999999999"/>
    <n v="0.253"/>
    <n v="9"/>
    <n v="6"/>
    <s v="Martin"/>
    <s v="Gaines"/>
    <s v="San Diego State University"/>
    <x v="8"/>
    <x v="8"/>
    <n v="14.1"/>
  </r>
  <r>
    <n v="1533"/>
    <s v="I"/>
    <n v="0.28499999999999998"/>
    <n v="0.21"/>
    <n v="5.5E-2"/>
    <n v="0.10100000000000001"/>
    <n v="4.1500000000000002E-2"/>
    <n v="1.7000000000000001E-2"/>
    <n v="3.3500000000000002E-2"/>
    <n v="5"/>
    <n v="2"/>
    <s v="Tiegan"/>
    <s v="Davie"/>
    <s v="University of California, Davis"/>
    <x v="3"/>
    <x v="3"/>
    <n v="3.6"/>
  </r>
  <r>
    <n v="740"/>
    <s v="I"/>
    <n v="0.44500000000000001"/>
    <n v="0.34499999999999997"/>
    <n v="0.09"/>
    <n v="0.3795"/>
    <n v="0.14299999999999999"/>
    <n v="7.3999999999999996E-2"/>
    <n v="0.125"/>
    <n v="10"/>
    <n v="13"/>
    <s v="Betty"/>
    <s v="Berg"/>
    <s v="University of Houston"/>
    <x v="6"/>
    <x v="6"/>
    <n v="22.1"/>
  </r>
  <r>
    <n v="940"/>
    <s v="I"/>
    <n v="0.46"/>
    <n v="0.36"/>
    <n v="0.1"/>
    <n v="0.46350000000000002"/>
    <n v="0.23250000000000001"/>
    <n v="9.2999999999999999E-2"/>
    <n v="0.115"/>
    <n v="7"/>
    <n v="13"/>
    <s v="Betty"/>
    <s v="Berg"/>
    <s v="University of Houston"/>
    <x v="9"/>
    <x v="9"/>
    <n v="24.1"/>
  </r>
  <r>
    <n v="2635"/>
    <s v="I"/>
    <n v="0.42499999999999999"/>
    <n v="0.34"/>
    <n v="0.1"/>
    <n v="0.35149999999999998"/>
    <n v="0.16250000000000001"/>
    <n v="8.2000000000000003E-2"/>
    <n v="9.4E-2"/>
    <n v="7"/>
    <n v="8"/>
    <s v="Kali"/>
    <s v="Metcalfe"/>
    <s v="Mote Marine Laboratory"/>
    <x v="2"/>
    <x v="2"/>
    <n v="12.3"/>
  </r>
  <r>
    <n v="3562"/>
    <s v="I"/>
    <n v="0.56999999999999995"/>
    <n v="0.42"/>
    <n v="0.13"/>
    <n v="0.77449999999999997"/>
    <n v="0.35349999999999998"/>
    <n v="0.15049999999999999"/>
    <n v="0.23649999999999999"/>
    <n v="9"/>
    <n v="4"/>
    <s v="Nate"/>
    <s v="Craig"/>
    <s v="NOAA Fisheries"/>
    <x v="7"/>
    <x v="7"/>
    <n v="12.8"/>
  </r>
  <r>
    <n v="1156"/>
    <s v="I"/>
    <n v="0.6"/>
    <n v="0.46500000000000002"/>
    <n v="0.15"/>
    <n v="1.1025"/>
    <n v="0.54549999999999998"/>
    <n v="0.26200000000000001"/>
    <n v="0.25"/>
    <n v="8"/>
    <n v="5"/>
    <s v="Haniya"/>
    <s v="Talley"/>
    <s v="Prince William Sound Science Center"/>
    <x v="9"/>
    <x v="9"/>
    <n v="24.1"/>
  </r>
  <r>
    <n v="2572"/>
    <s v="I"/>
    <n v="0.46500000000000002"/>
    <n v="0.34"/>
    <n v="0.105"/>
    <n v="0.48599999999999999"/>
    <n v="0.23100000000000001"/>
    <n v="0.10349999999999999"/>
    <n v="0.1225"/>
    <n v="9"/>
    <n v="2"/>
    <s v="Tiegan"/>
    <s v="Davie"/>
    <s v="University of California, Davis"/>
    <x v="4"/>
    <x v="4"/>
    <n v="18"/>
  </r>
  <r>
    <n v="3528"/>
    <s v="I"/>
    <n v="0.35"/>
    <n v="0.26"/>
    <n v="0.09"/>
    <n v="0.17649999999999999"/>
    <n v="7.1999999999999995E-2"/>
    <n v="3.5499999999999997E-2"/>
    <n v="5.7500000000000002E-2"/>
    <n v="7"/>
    <n v="10"/>
    <s v="Hazel"/>
    <s v="Villa"/>
    <s v="University of Minnesota"/>
    <x v="7"/>
    <x v="7"/>
    <n v="12.8"/>
  </r>
  <r>
    <n v="3769"/>
    <s v="I"/>
    <n v="0.56000000000000005"/>
    <n v="0.46500000000000002"/>
    <n v="0.14499999999999999"/>
    <n v="0.88749999999999996"/>
    <n v="0.33450000000000002"/>
    <n v="0.22"/>
    <n v="0.26950000000000002"/>
    <n v="9"/>
    <n v="12"/>
    <s v="Rebecca"/>
    <s v="Bennett"/>
    <s v="University of Houston"/>
    <x v="9"/>
    <x v="9"/>
    <n v="24.1"/>
  </r>
  <r>
    <n v="3443"/>
    <s v="I"/>
    <n v="0.48"/>
    <n v="0.37"/>
    <n v="0.13"/>
    <n v="0.64300000000000002"/>
    <n v="0.34899999999999998"/>
    <n v="0.11550000000000001"/>
    <n v="0.13500000000000001"/>
    <n v="8"/>
    <n v="12"/>
    <s v="Rebecca"/>
    <s v="Bennett"/>
    <s v="University of Houston"/>
    <x v="9"/>
    <x v="9"/>
    <n v="24.1"/>
  </r>
  <r>
    <n v="2119"/>
    <s v="I"/>
    <n v="0.48"/>
    <n v="0.38"/>
    <n v="0.12"/>
    <n v="0.60799999999999998"/>
    <n v="0.27050000000000002"/>
    <n v="0.14050000000000001"/>
    <n v="0.185"/>
    <n v="8"/>
    <n v="14"/>
    <s v="Jose"/>
    <s v="Vaughan"/>
    <s v="Ohio State University_x0009_"/>
    <x v="2"/>
    <x v="2"/>
    <n v="12.3"/>
  </r>
  <r>
    <n v="1130"/>
    <s v="I"/>
    <n v="0.56000000000000005"/>
    <n v="0.41499999999999998"/>
    <n v="0.14499999999999999"/>
    <n v="0.85199999999999998"/>
    <n v="0.43"/>
    <n v="0.1885"/>
    <n v="0.20499999999999999"/>
    <n v="8"/>
    <n v="10"/>
    <s v="Hazel"/>
    <s v="Villa"/>
    <s v="University of Minnesota"/>
    <x v="8"/>
    <x v="8"/>
    <n v="14.1"/>
  </r>
  <r>
    <n v="328"/>
    <s v="I"/>
    <n v="0.51"/>
    <n v="0.4"/>
    <n v="0.13"/>
    <n v="0.64349999999999996"/>
    <n v="0.27"/>
    <n v="0.16650000000000001"/>
    <n v="0.20499999999999999"/>
    <n v="12"/>
    <n v="7"/>
    <s v="Iona"/>
    <s v="Connolly"/>
    <s v="Florida Atlantic University"/>
    <x v="4"/>
    <x v="4"/>
    <n v="18"/>
  </r>
  <r>
    <n v="1835"/>
    <s v="I"/>
    <n v="0.41"/>
    <n v="0.315"/>
    <n v="9.5000000000000001E-2"/>
    <n v="0.28050000000000003"/>
    <n v="0.114"/>
    <n v="3.4500000000000003E-2"/>
    <n v="0.11"/>
    <n v="7"/>
    <n v="1"/>
    <s v="Jan"/>
    <s v="Odom"/>
    <s v="University of Houston"/>
    <x v="5"/>
    <x v="5"/>
    <n v="6.1"/>
  </r>
  <r>
    <n v="3842"/>
    <s v="I"/>
    <n v="0.5"/>
    <n v="0.42"/>
    <n v="0.125"/>
    <n v="0.62"/>
    <n v="0.255"/>
    <n v="0.15"/>
    <n v="0.20499999999999999"/>
    <n v="11"/>
    <n v="11"/>
    <s v="Naima"/>
    <s v="Reyes"/>
    <s v="University of Houston"/>
    <x v="3"/>
    <x v="3"/>
    <n v="3.6"/>
  </r>
  <r>
    <n v="3052"/>
    <s v="I"/>
    <n v="0.59499999999999997"/>
    <n v="0.48"/>
    <n v="0.14000000000000001"/>
    <n v="0.91249999999999998"/>
    <n v="0.40949999999999998"/>
    <n v="0.1825"/>
    <n v="0.28899999999999998"/>
    <n v="9"/>
    <n v="8"/>
    <s v="Kali"/>
    <s v="Metcalfe"/>
    <s v="Mote Marine Laboratory"/>
    <x v="5"/>
    <x v="5"/>
    <n v="6.1"/>
  </r>
  <r>
    <n v="112"/>
    <s v="I"/>
    <n v="0.46500000000000002"/>
    <n v="0.36"/>
    <n v="0.105"/>
    <n v="0.43099999999999999"/>
    <n v="0.17199999999999999"/>
    <n v="0.107"/>
    <n v="0.17499999999999999"/>
    <n v="9"/>
    <n v="12"/>
    <s v="Rebecca"/>
    <s v="Bennett"/>
    <s v="University of Houston"/>
    <x v="3"/>
    <x v="3"/>
    <n v="3.6"/>
  </r>
  <r>
    <n v="2250"/>
    <s v="I"/>
    <n v="0.58499999999999996"/>
    <n v="0.45500000000000002"/>
    <n v="0.16500000000000001"/>
    <n v="0.998"/>
    <n v="0.34499999999999997"/>
    <n v="0.2495"/>
    <n v="0.315"/>
    <n v="12"/>
    <n v="13"/>
    <s v="Betty"/>
    <s v="Berg"/>
    <s v="University of Houston"/>
    <x v="2"/>
    <x v="2"/>
    <n v="12.3"/>
  </r>
  <r>
    <n v="222"/>
    <s v="I"/>
    <n v="0.47"/>
    <n v="0.35"/>
    <n v="0.14499999999999999"/>
    <n v="0.51749999999999996"/>
    <n v="0.187"/>
    <n v="0.1235"/>
    <n v="0.18"/>
    <n v="11"/>
    <n v="15"/>
    <s v="Conan"/>
    <s v="Dalton"/>
    <s v="University of Houston"/>
    <x v="7"/>
    <x v="7"/>
    <n v="12.8"/>
  </r>
  <r>
    <n v="2842"/>
    <s v="I"/>
    <n v="0.59499999999999997"/>
    <n v="0.435"/>
    <n v="0.16"/>
    <n v="1.0569999999999999"/>
    <n v="0.42549999999999999"/>
    <n v="0.224"/>
    <n v="0.31"/>
    <n v="9"/>
    <n v="2"/>
    <s v="Tiegan"/>
    <s v="Davie"/>
    <s v="University of California, Davis"/>
    <x v="6"/>
    <x v="6"/>
    <n v="22.1"/>
  </r>
  <r>
    <n v="2376"/>
    <s v="I"/>
    <n v="0.34"/>
    <n v="0.27500000000000002"/>
    <n v="0.09"/>
    <n v="0.20649999999999999"/>
    <n v="7.2499999999999995E-2"/>
    <n v="4.2999999999999997E-2"/>
    <n v="7.0000000000000007E-2"/>
    <n v="10"/>
    <n v="10"/>
    <s v="Hazel"/>
    <s v="Villa"/>
    <s v="University of Minnesota"/>
    <x v="3"/>
    <x v="3"/>
    <n v="3.6"/>
  </r>
  <r>
    <n v="1575"/>
    <s v="I"/>
    <n v="0.48"/>
    <n v="0.35499999999999998"/>
    <n v="0.16"/>
    <n v="0.46400000000000002"/>
    <n v="0.221"/>
    <n v="0.106"/>
    <n v="0.23899999999999999"/>
    <n v="8"/>
    <n v="4"/>
    <s v="Nate"/>
    <s v="Craig"/>
    <s v="NOAA Fisheries"/>
    <x v="4"/>
    <x v="4"/>
    <n v="18"/>
  </r>
  <r>
    <n v="561"/>
    <s v="I"/>
    <n v="0.44"/>
    <n v="0.34"/>
    <n v="0.105"/>
    <n v="0.36399999999999999"/>
    <n v="0.14799999999999999"/>
    <n v="8.0500000000000002E-2"/>
    <n v="0.11749999999999999"/>
    <n v="8"/>
    <n v="14"/>
    <s v="Jose"/>
    <s v="Vaughan"/>
    <s v="Ohio State University_x0009_"/>
    <x v="1"/>
    <x v="1"/>
    <n v="2.5"/>
  </r>
  <r>
    <n v="2532"/>
    <s v="I"/>
    <n v="0.60499999999999998"/>
    <n v="0.47499999999999998"/>
    <n v="0.17499999999999999"/>
    <n v="1.2010000000000001"/>
    <n v="0.53949999999999998"/>
    <n v="0.27500000000000002"/>
    <n v="0.309"/>
    <n v="10"/>
    <n v="10"/>
    <s v="Hazel"/>
    <s v="Villa"/>
    <s v="University of Minnesota"/>
    <x v="9"/>
    <x v="9"/>
    <n v="24.1"/>
  </r>
  <r>
    <n v="3573"/>
    <s v="I"/>
    <n v="0.58499999999999996"/>
    <n v="0.46"/>
    <n v="0.16500000000000001"/>
    <n v="1.0580000000000001"/>
    <n v="0.48599999999999999"/>
    <n v="0.25"/>
    <n v="0.29399999999999998"/>
    <n v="9"/>
    <n v="10"/>
    <s v="Hazel"/>
    <s v="Villa"/>
    <s v="University of Minnesota"/>
    <x v="8"/>
    <x v="8"/>
    <n v="14.1"/>
  </r>
  <r>
    <n v="3357"/>
    <s v="I"/>
    <n v="0.39"/>
    <n v="0.3"/>
    <n v="0.1"/>
    <n v="0.3085"/>
    <n v="0.13850000000000001"/>
    <n v="7.3499999999999996E-2"/>
    <n v="8.5000000000000006E-2"/>
    <n v="6"/>
    <n v="1"/>
    <s v="Jan"/>
    <s v="Odom"/>
    <s v="University of Houston"/>
    <x v="3"/>
    <x v="3"/>
    <n v="3.6"/>
  </r>
  <r>
    <n v="3122"/>
    <s v="I"/>
    <n v="0.55000000000000004"/>
    <n v="0.42499999999999999"/>
    <n v="0.14000000000000001"/>
    <n v="0.95199999999999996"/>
    <n v="0.48949999999999999"/>
    <n v="0.19450000000000001"/>
    <n v="0.2185"/>
    <n v="7"/>
    <n v="11"/>
    <s v="Naima"/>
    <s v="Reyes"/>
    <s v="University of Houston"/>
    <x v="7"/>
    <x v="7"/>
    <n v="12.8"/>
  </r>
  <r>
    <n v="2513"/>
    <s v="I"/>
    <n v="0.46500000000000002"/>
    <n v="0.375"/>
    <n v="0.11"/>
    <n v="0.5"/>
    <n v="0.21"/>
    <n v="0.113"/>
    <n v="0.15049999999999999"/>
    <n v="8"/>
    <n v="3"/>
    <s v="Inaya"/>
    <s v="Bernard"/>
    <s v="Stanford University"/>
    <x v="7"/>
    <x v="7"/>
    <n v="12.8"/>
  </r>
  <r>
    <n v="221"/>
    <s v="I"/>
    <n v="0.44500000000000001"/>
    <n v="0.32500000000000001"/>
    <n v="0.125"/>
    <n v="0.45500000000000002"/>
    <n v="0.17849999999999999"/>
    <n v="0.1125"/>
    <n v="0.14000000000000001"/>
    <n v="9"/>
    <n v="12"/>
    <s v="Rebecca"/>
    <s v="Bennett"/>
    <s v="University of Houston"/>
    <x v="8"/>
    <x v="8"/>
    <n v="14.1"/>
  </r>
  <r>
    <n v="219"/>
    <s v="I"/>
    <n v="0.47"/>
    <n v="0.36"/>
    <n v="0.13500000000000001"/>
    <n v="0.501"/>
    <n v="0.16650000000000001"/>
    <n v="0.115"/>
    <n v="0.16500000000000001"/>
    <n v="10"/>
    <n v="2"/>
    <s v="Tiegan"/>
    <s v="Davie"/>
    <s v="University of California, Davis"/>
    <x v="5"/>
    <x v="5"/>
    <n v="6.1"/>
  </r>
  <r>
    <n v="2483"/>
    <s v="I"/>
    <n v="0.52"/>
    <n v="0.4"/>
    <n v="0.16500000000000001"/>
    <n v="0.85650000000000004"/>
    <n v="0.27450000000000002"/>
    <n v="0.20100000000000001"/>
    <n v="0.21"/>
    <n v="12"/>
    <n v="13"/>
    <s v="Betty"/>
    <s v="Berg"/>
    <s v="University of Houston"/>
    <x v="7"/>
    <x v="7"/>
    <n v="12.8"/>
  </r>
  <r>
    <n v="1950"/>
    <s v="I"/>
    <n v="0.64"/>
    <n v="0.53"/>
    <n v="0.16500000000000001"/>
    <n v="1.1895"/>
    <n v="0.47649999999999998"/>
    <n v="0.3"/>
    <n v="0.35"/>
    <n v="11"/>
    <n v="11"/>
    <s v="Naima"/>
    <s v="Reyes"/>
    <s v="University of Houston"/>
    <x v="6"/>
    <x v="6"/>
    <n v="22.1"/>
  </r>
  <r>
    <n v="2734"/>
    <s v="I"/>
    <n v="0.41499999999999998"/>
    <n v="0.33500000000000002"/>
    <n v="0.1"/>
    <n v="0.35799999999999998"/>
    <n v="0.16900000000000001"/>
    <n v="6.7000000000000004E-2"/>
    <n v="0.105"/>
    <n v="7"/>
    <n v="11"/>
    <s v="Naima"/>
    <s v="Reyes"/>
    <s v="University of Houston"/>
    <x v="8"/>
    <x v="8"/>
    <n v="14.1"/>
  </r>
  <r>
    <n v="3477"/>
    <s v="I"/>
    <n v="0.4"/>
    <n v="0.28999999999999998"/>
    <n v="0.1"/>
    <n v="0.25800000000000001"/>
    <n v="0.104"/>
    <n v="5.8999999999999997E-2"/>
    <n v="8.1500000000000003E-2"/>
    <n v="7"/>
    <n v="7"/>
    <s v="Iona"/>
    <s v="Connolly"/>
    <s v="Florida Atlantic University"/>
    <x v="5"/>
    <x v="5"/>
    <n v="6.1"/>
  </r>
  <r>
    <n v="4010"/>
    <s v="I"/>
    <n v="0.61"/>
    <n v="0.49"/>
    <n v="0.16"/>
    <n v="1.1459999999999999"/>
    <n v="0.59699999999999998"/>
    <n v="0.246"/>
    <n v="0.26500000000000001"/>
    <n v="8"/>
    <n v="11"/>
    <s v="Naima"/>
    <s v="Reyes"/>
    <s v="University of Houston"/>
    <x v="8"/>
    <x v="8"/>
    <n v="14.1"/>
  </r>
  <r>
    <n v="2884"/>
    <s v="I"/>
    <n v="0.5"/>
    <n v="0.37"/>
    <n v="0.12"/>
    <n v="0.54449999999999998"/>
    <n v="0.249"/>
    <n v="0.1065"/>
    <n v="0.152"/>
    <n v="8"/>
    <n v="3"/>
    <s v="Inaya"/>
    <s v="Bernard"/>
    <s v="Stanford University"/>
    <x v="6"/>
    <x v="6"/>
    <n v="22.1"/>
  </r>
  <r>
    <n v="3481"/>
    <s v="I"/>
    <n v="0.45"/>
    <n v="0.34"/>
    <n v="0.105"/>
    <n v="0.4385"/>
    <n v="0.21"/>
    <n v="9.2499999999999999E-2"/>
    <n v="0.12"/>
    <n v="8"/>
    <n v="15"/>
    <s v="Conan"/>
    <s v="Dalton"/>
    <s v="University of Houston"/>
    <x v="1"/>
    <x v="1"/>
    <n v="2.5"/>
  </r>
  <r>
    <n v="3717"/>
    <s v="I"/>
    <n v="0.23499999999999999"/>
    <n v="0.13"/>
    <n v="7.4999999999999997E-2"/>
    <n v="0.1585"/>
    <n v="6.8500000000000005E-2"/>
    <n v="3.6999999999999998E-2"/>
    <n v="4.65E-2"/>
    <n v="5"/>
    <n v="10"/>
    <s v="Hazel"/>
    <s v="Villa"/>
    <s v="University of Minnesota"/>
    <x v="7"/>
    <x v="7"/>
    <n v="12.8"/>
  </r>
  <r>
    <n v="2296"/>
    <s v="I"/>
    <n v="0.52"/>
    <n v="0.41499999999999998"/>
    <n v="0.14499999999999999"/>
    <n v="0.80449999999999999"/>
    <n v="0.33250000000000002"/>
    <n v="0.17249999999999999"/>
    <n v="0.28499999999999998"/>
    <n v="10"/>
    <n v="12"/>
    <s v="Rebecca"/>
    <s v="Bennett"/>
    <s v="University of Houston"/>
    <x v="6"/>
    <x v="6"/>
    <n v="22.1"/>
  </r>
  <r>
    <n v="1940"/>
    <s v="I"/>
    <n v="0.625"/>
    <n v="0.44500000000000001"/>
    <n v="0.16"/>
    <n v="1.0900000000000001"/>
    <n v="0.46"/>
    <n v="0.29649999999999999"/>
    <n v="0.30399999999999999"/>
    <n v="11"/>
    <n v="9"/>
    <s v="Danica"/>
    <s v="Tyler"/>
    <s v="University of Florida_x0009_"/>
    <x v="5"/>
    <x v="5"/>
    <n v="6.1"/>
  </r>
  <r>
    <n v="1170"/>
    <s v="I"/>
    <n v="0.62"/>
    <n v="0.48"/>
    <n v="0.16"/>
    <n v="1.1125"/>
    <n v="0.5635"/>
    <n v="0.2445"/>
    <n v="0.28100000000000003"/>
    <n v="8"/>
    <n v="3"/>
    <s v="Inaya"/>
    <s v="Bernard"/>
    <s v="Stanford University"/>
    <x v="0"/>
    <x v="0"/>
    <n v="1.9"/>
  </r>
  <r>
    <n v="2289"/>
    <s v="I"/>
    <n v="0.33"/>
    <n v="0.26500000000000001"/>
    <n v="0.09"/>
    <n v="0.18"/>
    <n v="6.8000000000000005E-2"/>
    <n v="3.5999999999999997E-2"/>
    <n v="0.06"/>
    <n v="6"/>
    <n v="10"/>
    <s v="Hazel"/>
    <s v="Villa"/>
    <s v="University of Minnesota"/>
    <x v="0"/>
    <x v="0"/>
    <n v="1.9"/>
  </r>
  <r>
    <n v="3268"/>
    <s v="I"/>
    <n v="0.4"/>
    <n v="0.33500000000000002"/>
    <n v="0.115"/>
    <n v="0.4335"/>
    <n v="0.21049999999999999"/>
    <n v="0.1205"/>
    <n v="0.12"/>
    <n v="10"/>
    <n v="4"/>
    <s v="Nate"/>
    <s v="Craig"/>
    <s v="NOAA Fisheries"/>
    <x v="5"/>
    <x v="5"/>
    <n v="6.1"/>
  </r>
  <r>
    <n v="1354"/>
    <s v="I"/>
    <n v="0.6"/>
    <n v="0.48"/>
    <n v="0.155"/>
    <n v="1.014"/>
    <n v="0.45100000000000001"/>
    <n v="0.1885"/>
    <n v="0.32500000000000001"/>
    <n v="11"/>
    <n v="15"/>
    <s v="Conan"/>
    <s v="Dalton"/>
    <s v="University of Houston"/>
    <x v="1"/>
    <x v="1"/>
    <n v="2.5"/>
  </r>
  <r>
    <n v="1546"/>
    <s v="I"/>
    <n v="0.375"/>
    <n v="0.28000000000000003"/>
    <n v="0.08"/>
    <n v="0.2165"/>
    <n v="9.35E-2"/>
    <n v="9.2499999999999999E-2"/>
    <n v="7.0000000000000007E-2"/>
    <n v="7"/>
    <n v="7"/>
    <s v="Iona"/>
    <s v="Connolly"/>
    <s v="Florida Atlantic University"/>
    <x v="9"/>
    <x v="9"/>
    <n v="24.1"/>
  </r>
  <r>
    <n v="3837"/>
    <s v="I"/>
    <n v="0.41"/>
    <n v="0.32500000000000001"/>
    <n v="0.1"/>
    <n v="0.35549999999999998"/>
    <n v="0.14599999999999999"/>
    <n v="7.1999999999999995E-2"/>
    <n v="0.105"/>
    <n v="9"/>
    <n v="15"/>
    <s v="Conan"/>
    <s v="Dalton"/>
    <s v="University of Houston"/>
    <x v="2"/>
    <x v="2"/>
    <n v="12.3"/>
  </r>
  <r>
    <n v="2436"/>
    <s v="I"/>
    <n v="0.46500000000000002"/>
    <n v="0.38"/>
    <n v="0.13500000000000001"/>
    <n v="0.57899999999999996"/>
    <n v="0.20799999999999999"/>
    <n v="0.1095"/>
    <n v="0.22"/>
    <n v="14"/>
    <n v="1"/>
    <s v="Jan"/>
    <s v="Odom"/>
    <s v="University of Houston"/>
    <x v="1"/>
    <x v="1"/>
    <n v="2.5"/>
  </r>
  <r>
    <n v="1843"/>
    <s v="I"/>
    <n v="0.435"/>
    <n v="0.33"/>
    <n v="0.11"/>
    <n v="0.38"/>
    <n v="0.1515"/>
    <n v="9.4500000000000001E-2"/>
    <n v="0.11"/>
    <n v="7"/>
    <n v="12"/>
    <s v="Rebecca"/>
    <s v="Bennett"/>
    <s v="University of Houston"/>
    <x v="1"/>
    <x v="1"/>
    <n v="2.5"/>
  </r>
  <r>
    <n v="2006"/>
    <s v="I"/>
    <n v="0.39500000000000002"/>
    <n v="0.28999999999999998"/>
    <n v="9.5000000000000001E-2"/>
    <n v="0.3"/>
    <n v="0.158"/>
    <n v="6.8000000000000005E-2"/>
    <n v="7.8E-2"/>
    <n v="7"/>
    <n v="10"/>
    <s v="Hazel"/>
    <s v="Villa"/>
    <s v="University of Minnesota"/>
    <x v="3"/>
    <x v="3"/>
    <n v="3.6"/>
  </r>
  <r>
    <n v="742"/>
    <s v="I"/>
    <n v="0.36"/>
    <n v="0.26500000000000001"/>
    <n v="0.09"/>
    <n v="0.20649999999999999"/>
    <n v="7.8E-2"/>
    <n v="5.7000000000000002E-2"/>
    <n v="0.06"/>
    <n v="8"/>
    <n v="7"/>
    <s v="Iona"/>
    <s v="Connolly"/>
    <s v="Florida Atlantic University"/>
    <x v="7"/>
    <x v="7"/>
    <n v="12.8"/>
  </r>
  <r>
    <n v="2193"/>
    <s v="I"/>
    <n v="0.57499999999999996"/>
    <n v="0.48499999999999999"/>
    <n v="0.16500000000000001"/>
    <n v="1.0405"/>
    <n v="0.41899999999999998"/>
    <n v="0.26400000000000001"/>
    <n v="0.3"/>
    <n v="14"/>
    <n v="4"/>
    <s v="Nate"/>
    <s v="Craig"/>
    <s v="NOAA Fisheries"/>
    <x v="6"/>
    <x v="6"/>
    <n v="22.1"/>
  </r>
  <r>
    <n v="1989"/>
    <s v="I"/>
    <n v="0.21"/>
    <n v="0.15"/>
    <n v="5.5E-2"/>
    <n v="4.65E-2"/>
    <n v="1.7000000000000001E-2"/>
    <n v="1.2E-2"/>
    <n v="1.4999999999999999E-2"/>
    <n v="5"/>
    <n v="13"/>
    <s v="Betty"/>
    <s v="Berg"/>
    <s v="University of Houston"/>
    <x v="2"/>
    <x v="2"/>
    <n v="12.3"/>
  </r>
  <r>
    <n v="2900"/>
    <s v="I"/>
    <n v="0.55000000000000004"/>
    <n v="0.42499999999999999"/>
    <n v="0.13"/>
    <n v="0.66400000000000003"/>
    <n v="0.26950000000000002"/>
    <n v="0.16300000000000001"/>
    <n v="0.21"/>
    <n v="8"/>
    <n v="14"/>
    <s v="Jose"/>
    <s v="Vaughan"/>
    <s v="Ohio State University_x0009_"/>
    <x v="8"/>
    <x v="8"/>
    <n v="14.1"/>
  </r>
  <r>
    <n v="1882"/>
    <s v="I"/>
    <n v="0.55000000000000004"/>
    <n v="0.45"/>
    <n v="0.13"/>
    <n v="0.80400000000000005"/>
    <n v="0.33750000000000002"/>
    <n v="0.14050000000000001"/>
    <n v="0.23"/>
    <n v="6"/>
    <n v="15"/>
    <s v="Conan"/>
    <s v="Dalton"/>
    <s v="University of Houston"/>
    <x v="0"/>
    <x v="0"/>
    <n v="1.9"/>
  </r>
  <r>
    <n v="3675"/>
    <s v="I"/>
    <n v="0.59499999999999997"/>
    <n v="0.45"/>
    <n v="0.16500000000000001"/>
    <n v="1.081"/>
    <n v="0.49"/>
    <n v="0.2525"/>
    <n v="0.27900000000000003"/>
    <n v="12"/>
    <n v="3"/>
    <s v="Inaya"/>
    <s v="Bernard"/>
    <s v="Stanford University"/>
    <x v="1"/>
    <x v="1"/>
    <n v="2.5"/>
  </r>
  <r>
    <n v="1939"/>
    <s v="I"/>
    <n v="0.625"/>
    <n v="0.505"/>
    <n v="0.185"/>
    <n v="1.1565000000000001"/>
    <n v="0.52"/>
    <n v="0.24049999999999999"/>
    <n v="0.35349999999999998"/>
    <n v="10"/>
    <n v="4"/>
    <s v="Nate"/>
    <s v="Craig"/>
    <s v="NOAA Fisheries"/>
    <x v="9"/>
    <x v="9"/>
    <n v="24.1"/>
  </r>
  <r>
    <n v="3474"/>
    <s v="I"/>
    <n v="0.21"/>
    <n v="0.15"/>
    <n v="5.5E-2"/>
    <n v="4.5499999999999999E-2"/>
    <n v="0.02"/>
    <n v="6.4999999999999997E-3"/>
    <n v="1.2999999999999999E-2"/>
    <n v="4"/>
    <n v="4"/>
    <s v="Nate"/>
    <s v="Craig"/>
    <s v="NOAA Fisheries"/>
    <x v="9"/>
    <x v="9"/>
    <n v="24.1"/>
  </r>
  <r>
    <n v="2397"/>
    <s v="I"/>
    <n v="0.625"/>
    <n v="0.46500000000000002"/>
    <n v="0.155"/>
    <n v="0.97199999999999998"/>
    <n v="0.40400000000000003"/>
    <n v="0.1845"/>
    <n v="0.35"/>
    <n v="14"/>
    <n v="5"/>
    <s v="Haniya"/>
    <s v="Talley"/>
    <s v="Prince William Sound Science Center"/>
    <x v="4"/>
    <x v="4"/>
    <n v="18"/>
  </r>
  <r>
    <n v="1259"/>
    <s v="I"/>
    <n v="0.43"/>
    <n v="0.315"/>
    <n v="9.5000000000000001E-2"/>
    <n v="0.378"/>
    <n v="0.17499999999999999"/>
    <n v="0.08"/>
    <n v="0.1045"/>
    <n v="8"/>
    <n v="15"/>
    <s v="Conan"/>
    <s v="Dalton"/>
    <s v="University of Houston"/>
    <x v="2"/>
    <x v="2"/>
    <n v="12.3"/>
  </r>
  <r>
    <n v="1848"/>
    <s v="I"/>
    <n v="0.47"/>
    <n v="0.375"/>
    <n v="0.12"/>
    <n v="0.48699999999999999"/>
    <n v="0.19600000000000001"/>
    <n v="9.9000000000000005E-2"/>
    <n v="0.13500000000000001"/>
    <n v="8"/>
    <n v="1"/>
    <s v="Jan"/>
    <s v="Odom"/>
    <s v="University of Houston"/>
    <x v="0"/>
    <x v="0"/>
    <n v="1.9"/>
  </r>
  <r>
    <n v="832"/>
    <s v="I"/>
    <n v="0.42499999999999999"/>
    <n v="0.32500000000000001"/>
    <n v="0.1"/>
    <n v="0.39800000000000002"/>
    <n v="0.11849999999999999"/>
    <n v="6.4500000000000002E-2"/>
    <n v="9.4500000000000001E-2"/>
    <n v="6"/>
    <n v="4"/>
    <s v="Nate"/>
    <s v="Craig"/>
    <s v="NOAA Fisheries"/>
    <x v="5"/>
    <x v="5"/>
    <n v="6.1"/>
  </r>
  <r>
    <n v="518"/>
    <s v="I"/>
    <n v="0.28000000000000003"/>
    <n v="0.2"/>
    <n v="0.08"/>
    <n v="9.1499999999999998E-2"/>
    <n v="3.3000000000000002E-2"/>
    <n v="2.1499999999999998E-2"/>
    <n v="0.03"/>
    <n v="5"/>
    <n v="12"/>
    <s v="Rebecca"/>
    <s v="Bennett"/>
    <s v="University of Houston"/>
    <x v="1"/>
    <x v="1"/>
    <n v="2.5"/>
  </r>
  <r>
    <n v="202"/>
    <s v="I"/>
    <n v="0.5"/>
    <n v="0.4"/>
    <n v="0.16500000000000001"/>
    <n v="0.82499999999999996"/>
    <n v="0.254"/>
    <n v="0.20499999999999999"/>
    <n v="0.28499999999999998"/>
    <n v="13"/>
    <n v="10"/>
    <s v="Hazel"/>
    <s v="Villa"/>
    <s v="University of Minnesota"/>
    <x v="8"/>
    <x v="8"/>
    <n v="14.1"/>
  </r>
  <r>
    <n v="4140"/>
    <s v="I"/>
    <n v="0.63500000000000001"/>
    <n v="0.495"/>
    <n v="0.17499999999999999"/>
    <n v="1.2355"/>
    <n v="0.52049999999999996"/>
    <n v="0.3085"/>
    <n v="0.34699999999999998"/>
    <n v="10"/>
    <n v="5"/>
    <s v="Haniya"/>
    <s v="Talley"/>
    <s v="Prince William Sound Science Center"/>
    <x v="6"/>
    <x v="6"/>
    <n v="22.1"/>
  </r>
  <r>
    <n v="214"/>
    <s v="I"/>
    <n v="0.5"/>
    <n v="0.40500000000000003"/>
    <n v="0.14000000000000001"/>
    <n v="0.61550000000000005"/>
    <n v="0.24099999999999999"/>
    <n v="0.13550000000000001"/>
    <n v="0.20499999999999999"/>
    <n v="9"/>
    <n v="8"/>
    <s v="Kali"/>
    <s v="Metcalfe"/>
    <s v="Mote Marine Laboratory"/>
    <x v="5"/>
    <x v="5"/>
    <n v="6.1"/>
  </r>
  <r>
    <n v="791"/>
    <s v="I"/>
    <n v="0.56999999999999995"/>
    <n v="0.46500000000000002"/>
    <n v="0.16"/>
    <n v="0.89349999999999996"/>
    <n v="0.3145"/>
    <n v="0.25750000000000001"/>
    <n v="0.26300000000000001"/>
    <n v="10"/>
    <n v="14"/>
    <s v="Jose"/>
    <s v="Vaughan"/>
    <s v="Ohio State University_x0009_"/>
    <x v="9"/>
    <x v="9"/>
    <n v="24.1"/>
  </r>
  <r>
    <n v="4167"/>
    <s v="I"/>
    <n v="0.47499999999999998"/>
    <n v="0.36499999999999999"/>
    <n v="0.115"/>
    <n v="0.499"/>
    <n v="0.23200000000000001"/>
    <n v="8.8499999999999995E-2"/>
    <n v="0.156"/>
    <n v="10"/>
    <n v="1"/>
    <s v="Jan"/>
    <s v="Odom"/>
    <s v="University of Houston"/>
    <x v="7"/>
    <x v="7"/>
    <n v="12.8"/>
  </r>
  <r>
    <n v="1437"/>
    <s v="I"/>
    <n v="0.39500000000000002"/>
    <n v="0.29499999999999998"/>
    <n v="0.09"/>
    <n v="0.30249999999999999"/>
    <n v="0.14299999999999999"/>
    <n v="6.6500000000000004E-2"/>
    <n v="7.6499999999999999E-2"/>
    <n v="5"/>
    <n v="10"/>
    <s v="Hazel"/>
    <s v="Villa"/>
    <s v="University of Minnesota"/>
    <x v="5"/>
    <x v="5"/>
    <n v="6.1"/>
  </r>
  <r>
    <n v="3214"/>
    <s v="I"/>
    <n v="0.55500000000000005"/>
    <n v="0.42"/>
    <n v="0.14000000000000001"/>
    <n v="0.86799999999999999"/>
    <n v="0.33"/>
    <n v="0.24299999999999999"/>
    <n v="0.21"/>
    <n v="13"/>
    <n v="8"/>
    <s v="Kali"/>
    <s v="Metcalfe"/>
    <s v="Mote Marine Laboratory"/>
    <x v="7"/>
    <x v="7"/>
    <n v="12.8"/>
  </r>
  <r>
    <n v="1600"/>
    <s v="I"/>
    <n v="0.53"/>
    <n v="0.42"/>
    <n v="0.13"/>
    <n v="0.83650000000000002"/>
    <n v="0.3745"/>
    <n v="0.16700000000000001"/>
    <n v="0.249"/>
    <n v="11"/>
    <n v="8"/>
    <s v="Kali"/>
    <s v="Metcalfe"/>
    <s v="Mote Marine Laboratory"/>
    <x v="4"/>
    <x v="4"/>
    <n v="18"/>
  </r>
  <r>
    <n v="2189"/>
    <s v="I"/>
    <n v="0.47"/>
    <n v="0.37"/>
    <n v="0.13500000000000001"/>
    <n v="0.54700000000000004"/>
    <n v="0.222"/>
    <n v="0.13250000000000001"/>
    <n v="0.17"/>
    <n v="12"/>
    <n v="13"/>
    <s v="Betty"/>
    <s v="Berg"/>
    <s v="University of Houston"/>
    <x v="5"/>
    <x v="5"/>
    <n v="6.1"/>
  </r>
  <r>
    <n v="625"/>
    <s v="I"/>
    <n v="0.46500000000000002"/>
    <n v="0.36"/>
    <n v="0.105"/>
    <n v="0.498"/>
    <n v="0.214"/>
    <n v="0.11600000000000001"/>
    <n v="0.14000000000000001"/>
    <n v="15"/>
    <n v="15"/>
    <s v="Conan"/>
    <s v="Dalton"/>
    <s v="University of Houston"/>
    <x v="3"/>
    <x v="3"/>
    <n v="3.6"/>
  </r>
  <r>
    <n v="2903"/>
    <s v="I"/>
    <n v="0.56000000000000005"/>
    <n v="0.435"/>
    <n v="0.13"/>
    <n v="0.77700000000000002"/>
    <n v="0.35399999999999998"/>
    <n v="0.17299999999999999"/>
    <n v="0.222"/>
    <n v="9"/>
    <n v="9"/>
    <s v="Danica"/>
    <s v="Tyler"/>
    <s v="University of Florida_x0009_"/>
    <x v="4"/>
    <x v="4"/>
    <n v="18"/>
  </r>
  <r>
    <n v="4029"/>
    <s v="I"/>
    <n v="0.42"/>
    <n v="0.31"/>
    <n v="0.1"/>
    <n v="0.28050000000000003"/>
    <n v="0.1125"/>
    <n v="6.1499999999999999E-2"/>
    <n v="9.2499999999999999E-2"/>
    <n v="8"/>
    <n v="6"/>
    <s v="Martin"/>
    <s v="Gaines"/>
    <s v="San Diego State University"/>
    <x v="1"/>
    <x v="1"/>
    <n v="2.5"/>
  </r>
  <r>
    <n v="1056"/>
    <s v="I"/>
    <n v="0.19500000000000001"/>
    <n v="0.13500000000000001"/>
    <n v="0.04"/>
    <n v="3.2500000000000001E-2"/>
    <n v="1.35E-2"/>
    <n v="5.0000000000000001E-3"/>
    <n v="9.4999999999999998E-3"/>
    <n v="4"/>
    <n v="15"/>
    <s v="Conan"/>
    <s v="Dalton"/>
    <s v="University of Houston"/>
    <x v="8"/>
    <x v="8"/>
    <n v="14.1"/>
  </r>
  <r>
    <n v="3187"/>
    <s v="I"/>
    <n v="0.47"/>
    <n v="0.36"/>
    <n v="0.11"/>
    <n v="0.4965"/>
    <n v="0.23699999999999999"/>
    <n v="0.127"/>
    <n v="0.13"/>
    <n v="6"/>
    <n v="3"/>
    <s v="Inaya"/>
    <s v="Bernard"/>
    <s v="Stanford University"/>
    <x v="6"/>
    <x v="6"/>
    <n v="22.1"/>
  </r>
  <r>
    <n v="1103"/>
    <s v="I"/>
    <n v="0.5"/>
    <n v="0.39"/>
    <n v="0.125"/>
    <n v="0.52149999999999996"/>
    <n v="0.2485"/>
    <n v="0.11700000000000001"/>
    <n v="0.13100000000000001"/>
    <n v="6"/>
    <n v="8"/>
    <s v="Kali"/>
    <s v="Metcalfe"/>
    <s v="Mote Marine Laboratory"/>
    <x v="1"/>
    <x v="1"/>
    <n v="2.5"/>
  </r>
  <r>
    <n v="970"/>
    <s v="I"/>
    <n v="0.51"/>
    <n v="0.41"/>
    <n v="0.14499999999999999"/>
    <n v="0.79600000000000004"/>
    <n v="0.38650000000000001"/>
    <n v="0.18149999999999999"/>
    <n v="0.19550000000000001"/>
    <n v="8"/>
    <n v="2"/>
    <s v="Tiegan"/>
    <s v="Davie"/>
    <s v="University of California, Davis"/>
    <x v="1"/>
    <x v="1"/>
    <n v="2.5"/>
  </r>
  <r>
    <n v="2066"/>
    <s v="I"/>
    <n v="0.53500000000000003"/>
    <n v="0.42"/>
    <n v="0.13"/>
    <n v="0.69899999999999995"/>
    <n v="0.3125"/>
    <n v="0.1565"/>
    <n v="0.20349999999999999"/>
    <n v="8"/>
    <n v="9"/>
    <s v="Danica"/>
    <s v="Tyler"/>
    <s v="University of Florida_x0009_"/>
    <x v="2"/>
    <x v="2"/>
    <n v="12.3"/>
  </r>
  <r>
    <n v="3928"/>
    <s v="I"/>
    <n v="0.5"/>
    <n v="0.38"/>
    <n v="0.155"/>
    <n v="0.66749999999999998"/>
    <n v="0.27450000000000002"/>
    <n v="0.156"/>
    <n v="0.18"/>
    <n v="12"/>
    <n v="8"/>
    <s v="Kali"/>
    <s v="Metcalfe"/>
    <s v="Mote Marine Laboratory"/>
    <x v="9"/>
    <x v="9"/>
    <n v="24.1"/>
  </r>
  <r>
    <n v="1292"/>
    <s v="I"/>
    <n v="0.51500000000000001"/>
    <n v="0.42"/>
    <n v="0.13500000000000001"/>
    <n v="0.71099999999999997"/>
    <n v="0.33700000000000002"/>
    <n v="0.14399999999999999"/>
    <n v="0.20499999999999999"/>
    <n v="13"/>
    <n v="13"/>
    <s v="Betty"/>
    <s v="Berg"/>
    <s v="University of Houston"/>
    <x v="7"/>
    <x v="7"/>
    <n v="12.8"/>
  </r>
  <r>
    <n v="2899"/>
    <s v="I"/>
    <n v="0.55000000000000004"/>
    <n v="0.435"/>
    <n v="0.16500000000000001"/>
    <n v="0.80400000000000005"/>
    <n v="0.34"/>
    <n v="0.19400000000000001"/>
    <n v="0.24399999999999999"/>
    <n v="8"/>
    <n v="2"/>
    <s v="Tiegan"/>
    <s v="Davie"/>
    <s v="University of California, Davis"/>
    <x v="8"/>
    <x v="8"/>
    <n v="14.1"/>
  </r>
  <r>
    <n v="4116"/>
    <s v="I"/>
    <n v="0.60499999999999998"/>
    <n v="0.46500000000000002"/>
    <n v="0.155"/>
    <n v="1.1000000000000001"/>
    <n v="0.54700000000000004"/>
    <n v="0.26650000000000001"/>
    <n v="0.25850000000000001"/>
    <n v="10"/>
    <n v="14"/>
    <s v="Jose"/>
    <s v="Vaughan"/>
    <s v="Ohio State University_x0009_"/>
    <x v="1"/>
    <x v="1"/>
    <n v="2.5"/>
  </r>
  <r>
    <n v="1927"/>
    <s v="I"/>
    <n v="0.61499999999999999"/>
    <n v="0.47"/>
    <n v="0.14499999999999999"/>
    <n v="1.0285"/>
    <n v="0.44350000000000001"/>
    <n v="0.28249999999999997"/>
    <n v="0.28499999999999998"/>
    <n v="11"/>
    <n v="7"/>
    <s v="Iona"/>
    <s v="Connolly"/>
    <s v="Florida Atlantic University"/>
    <x v="4"/>
    <x v="4"/>
    <n v="18"/>
  </r>
  <r>
    <n v="1075"/>
    <s v="I"/>
    <n v="0.41"/>
    <n v="0.3"/>
    <n v="0.1"/>
    <n v="0.28199999999999997"/>
    <n v="0.1255"/>
    <n v="5.7000000000000002E-2"/>
    <n v="8.7499999999999994E-2"/>
    <n v="7"/>
    <n v="12"/>
    <s v="Rebecca"/>
    <s v="Bennett"/>
    <s v="University of Houston"/>
    <x v="6"/>
    <x v="6"/>
    <n v="22.1"/>
  </r>
  <r>
    <n v="1454"/>
    <s v="I"/>
    <n v="0.47"/>
    <n v="0.35"/>
    <n v="0.125"/>
    <n v="0.43149999999999999"/>
    <n v="0.19"/>
    <n v="0.11650000000000001"/>
    <n v="0.11749999999999999"/>
    <n v="6"/>
    <n v="5"/>
    <s v="Haniya"/>
    <s v="Talley"/>
    <s v="Prince William Sound Science Center"/>
    <x v="0"/>
    <x v="0"/>
    <n v="1.9"/>
  </r>
  <r>
    <n v="862"/>
    <s v="I"/>
    <n v="0.59499999999999997"/>
    <n v="0.46500000000000002"/>
    <n v="0.14000000000000001"/>
    <n v="1.113"/>
    <n v="0.51749999999999996"/>
    <n v="0.24399999999999999"/>
    <n v="0.30499999999999999"/>
    <n v="12"/>
    <n v="1"/>
    <s v="Jan"/>
    <s v="Odom"/>
    <s v="University of Houston"/>
    <x v="6"/>
    <x v="6"/>
    <n v="22.1"/>
  </r>
  <r>
    <n v="1988"/>
    <s v="I"/>
    <n v="0.16"/>
    <n v="0.11"/>
    <n v="2.5000000000000001E-2"/>
    <n v="1.95E-2"/>
    <n v="7.4999999999999997E-3"/>
    <n v="5.0000000000000001E-3"/>
    <n v="6.0000000000000001E-3"/>
    <n v="4"/>
    <n v="8"/>
    <s v="Kali"/>
    <s v="Metcalfe"/>
    <s v="Mote Marine Laboratory"/>
    <x v="3"/>
    <x v="3"/>
    <n v="3.6"/>
  </r>
  <r>
    <n v="935"/>
    <s v="I"/>
    <n v="0.45"/>
    <n v="0.35499999999999998"/>
    <n v="0.105"/>
    <n v="0.44450000000000001"/>
    <n v="0.19700000000000001"/>
    <n v="9.2999999999999999E-2"/>
    <n v="0.13350000000000001"/>
    <n v="8"/>
    <n v="2"/>
    <s v="Tiegan"/>
    <s v="Davie"/>
    <s v="University of California, Davis"/>
    <x v="7"/>
    <x v="7"/>
    <n v="12.8"/>
  </r>
  <r>
    <n v="1328"/>
    <s v="I"/>
    <n v="0.56499999999999995"/>
    <n v="0.39"/>
    <n v="0.125"/>
    <n v="0.74399999999999999"/>
    <n v="0.35199999999999998"/>
    <n v="0.13"/>
    <n v="0.16850000000000001"/>
    <n v="11"/>
    <n v="6"/>
    <s v="Martin"/>
    <s v="Gaines"/>
    <s v="San Diego State University"/>
    <x v="3"/>
    <x v="3"/>
    <n v="3.6"/>
  </r>
  <r>
    <n v="2510"/>
    <s v="I"/>
    <n v="0.41499999999999998"/>
    <n v="0.315"/>
    <n v="0.09"/>
    <n v="0.36249999999999999"/>
    <n v="0.17499999999999999"/>
    <n v="8.3500000000000005E-2"/>
    <n v="9.2999999999999999E-2"/>
    <n v="6"/>
    <n v="8"/>
    <s v="Kali"/>
    <s v="Metcalfe"/>
    <s v="Mote Marine Laboratory"/>
    <x v="3"/>
    <x v="3"/>
    <n v="3.6"/>
  </r>
  <r>
    <n v="782"/>
    <s v="I"/>
    <n v="0.505"/>
    <n v="0.38500000000000001"/>
    <n v="0.15"/>
    <n v="0.64149999999999996"/>
    <n v="0.246"/>
    <n v="0.152"/>
    <n v="0.215"/>
    <n v="12"/>
    <n v="9"/>
    <s v="Danica"/>
    <s v="Tyler"/>
    <s v="University of Florida_x0009_"/>
    <x v="0"/>
    <x v="0"/>
    <n v="1.9"/>
  </r>
  <r>
    <n v="76"/>
    <s v="I"/>
    <n v="0.6"/>
    <n v="0.47499999999999998"/>
    <n v="0.15"/>
    <n v="1.0075000000000001"/>
    <n v="0.4425"/>
    <n v="0.221"/>
    <n v="0.28000000000000003"/>
    <n v="15"/>
    <n v="2"/>
    <s v="Tiegan"/>
    <s v="Davie"/>
    <s v="University of California, Davis"/>
    <x v="4"/>
    <x v="4"/>
    <n v="18"/>
  </r>
  <r>
    <n v="1123"/>
    <s v="I"/>
    <n v="0.54500000000000004"/>
    <n v="0.41499999999999998"/>
    <n v="0.14000000000000001"/>
    <n v="0.82"/>
    <n v="0.46150000000000002"/>
    <n v="0.127"/>
    <n v="0.218"/>
    <n v="9"/>
    <n v="11"/>
    <s v="Naima"/>
    <s v="Reyes"/>
    <s v="University of Houston"/>
    <x v="9"/>
    <x v="9"/>
    <n v="24.1"/>
  </r>
  <r>
    <n v="377"/>
    <s v="I"/>
    <n v="0.63"/>
    <n v="0.49"/>
    <n v="0.19"/>
    <n v="1.1775"/>
    <n v="0.49349999999999999"/>
    <n v="0.33650000000000002"/>
    <n v="0.28499999999999998"/>
    <n v="11"/>
    <n v="12"/>
    <s v="Rebecca"/>
    <s v="Bennett"/>
    <s v="University of Houston"/>
    <x v="3"/>
    <x v="3"/>
    <n v="3.6"/>
  </r>
  <r>
    <n v="767"/>
    <s v="I"/>
    <n v="0.59"/>
    <n v="0.44500000000000001"/>
    <n v="0.13"/>
    <n v="1.1325000000000001"/>
    <n v="0.38250000000000001"/>
    <n v="0.23400000000000001"/>
    <n v="0.32"/>
    <n v="13"/>
    <n v="8"/>
    <s v="Kali"/>
    <s v="Metcalfe"/>
    <s v="Mote Marine Laboratory"/>
    <x v="4"/>
    <x v="4"/>
    <n v="18"/>
  </r>
  <r>
    <n v="127"/>
    <s v="I"/>
    <n v="0.375"/>
    <n v="0.27500000000000002"/>
    <n v="0.09"/>
    <n v="0.23799999999999999"/>
    <n v="0.1075"/>
    <n v="5.45E-2"/>
    <n v="7.0000000000000007E-2"/>
    <n v="6"/>
    <n v="11"/>
    <s v="Naima"/>
    <s v="Reyes"/>
    <s v="University of Houston"/>
    <x v="0"/>
    <x v="0"/>
    <n v="1.9"/>
  </r>
  <r>
    <n v="2679"/>
    <s v="I"/>
    <n v="0.61499999999999999"/>
    <n v="0.45"/>
    <n v="0.15"/>
    <n v="1.198"/>
    <n v="0.70699999999999996"/>
    <n v="0.20949999999999999"/>
    <n v="0.2505"/>
    <n v="7"/>
    <n v="12"/>
    <s v="Rebecca"/>
    <s v="Bennett"/>
    <s v="University of Houston"/>
    <x v="0"/>
    <x v="0"/>
    <n v="1.9"/>
  </r>
  <r>
    <n v="3040"/>
    <s v="I"/>
    <n v="0.56999999999999995"/>
    <n v="0.45"/>
    <n v="0.14499999999999999"/>
    <n v="0.95"/>
    <n v="0.40050000000000002"/>
    <n v="0.2235"/>
    <n v="0.28449999999999998"/>
    <n v="10"/>
    <n v="12"/>
    <s v="Rebecca"/>
    <s v="Bennett"/>
    <s v="University of Houston"/>
    <x v="7"/>
    <x v="7"/>
    <n v="12.8"/>
  </r>
  <r>
    <n v="365"/>
    <s v="I"/>
    <n v="0.62"/>
    <n v="0.5"/>
    <n v="0.17499999999999999"/>
    <n v="1.1859999999999999"/>
    <n v="0.4985"/>
    <n v="0.30149999999999999"/>
    <n v="0.35"/>
    <n v="12"/>
    <n v="7"/>
    <s v="Iona"/>
    <s v="Connolly"/>
    <s v="Florida Atlantic University"/>
    <x v="8"/>
    <x v="8"/>
    <n v="14.1"/>
  </r>
  <r>
    <n v="1335"/>
    <s v="I"/>
    <n v="0.57499999999999996"/>
    <n v="0.42"/>
    <n v="0.13500000000000001"/>
    <n v="0.85699999999999998"/>
    <n v="0.46100000000000002"/>
    <n v="0.14699999999999999"/>
    <n v="0.21249999999999999"/>
    <n v="10"/>
    <n v="13"/>
    <s v="Betty"/>
    <s v="Berg"/>
    <s v="University of Houston"/>
    <x v="9"/>
    <x v="9"/>
    <n v="24.1"/>
  </r>
  <r>
    <n v="2154"/>
    <s v="I"/>
    <n v="0.28000000000000003"/>
    <n v="0.2"/>
    <n v="7.4999999999999997E-2"/>
    <n v="0.1225"/>
    <n v="5.45E-2"/>
    <n v="1.15E-2"/>
    <n v="3.5000000000000003E-2"/>
    <n v="5"/>
    <n v="6"/>
    <s v="Martin"/>
    <s v="Gaines"/>
    <s v="San Diego State University"/>
    <x v="6"/>
    <x v="6"/>
    <n v="22.1"/>
  </r>
  <r>
    <n v="1326"/>
    <s v="I"/>
    <n v="0.56499999999999995"/>
    <n v="0.45"/>
    <n v="0.14499999999999999"/>
    <n v="0.84950000000000003"/>
    <n v="0.42149999999999999"/>
    <n v="0.16850000000000001"/>
    <n v="0.22500000000000001"/>
    <n v="8"/>
    <n v="15"/>
    <s v="Conan"/>
    <s v="Dalton"/>
    <s v="University of Houston"/>
    <x v="7"/>
    <x v="7"/>
    <n v="12.8"/>
  </r>
  <r>
    <n v="2789"/>
    <s v="I"/>
    <n v="0.61499999999999999"/>
    <n v="0.46"/>
    <n v="0.15"/>
    <n v="1.0265"/>
    <n v="0.49349999999999999"/>
    <n v="0.20100000000000001"/>
    <n v="0.27450000000000002"/>
    <n v="10"/>
    <n v="1"/>
    <s v="Jan"/>
    <s v="Odom"/>
    <s v="University of Houston"/>
    <x v="6"/>
    <x v="6"/>
    <n v="22.1"/>
  </r>
  <r>
    <n v="3158"/>
    <s v="I"/>
    <n v="0.43"/>
    <n v="0.35"/>
    <n v="0.09"/>
    <n v="0.39700000000000002"/>
    <n v="0.1575"/>
    <n v="8.8999999999999996E-2"/>
    <n v="0.12"/>
    <n v="9"/>
    <n v="7"/>
    <s v="Iona"/>
    <s v="Connolly"/>
    <s v="Florida Atlantic University"/>
    <x v="5"/>
    <x v="5"/>
    <n v="6.1"/>
  </r>
  <r>
    <n v="3563"/>
    <s v="I"/>
    <n v="0.56999999999999995"/>
    <n v="0.42"/>
    <n v="0.16"/>
    <n v="0.88749999999999996"/>
    <n v="0.43149999999999999"/>
    <n v="0.1915"/>
    <n v="0.223"/>
    <n v="8"/>
    <n v="11"/>
    <s v="Naima"/>
    <s v="Reyes"/>
    <s v="University of Houston"/>
    <x v="7"/>
    <x v="7"/>
    <n v="12.8"/>
  </r>
  <r>
    <n v="1475"/>
    <s v="I"/>
    <n v="0.55000000000000004"/>
    <n v="0.42499999999999999"/>
    <n v="0.16"/>
    <n v="0.79300000000000004"/>
    <n v="0.34300000000000003"/>
    <n v="0.20349999999999999"/>
    <n v="0.215"/>
    <n v="9"/>
    <n v="6"/>
    <s v="Martin"/>
    <s v="Gaines"/>
    <s v="San Diego State University"/>
    <x v="0"/>
    <x v="0"/>
    <n v="1.9"/>
  </r>
  <r>
    <n v="1331"/>
    <s v="I"/>
    <n v="0.56999999999999995"/>
    <n v="0.46"/>
    <n v="0.13500000000000001"/>
    <n v="0.97950000000000004"/>
    <n v="0.39700000000000002"/>
    <n v="0.2525"/>
    <n v="0.26550000000000001"/>
    <n v="9"/>
    <n v="9"/>
    <s v="Danica"/>
    <s v="Tyler"/>
    <s v="University of Florida_x0009_"/>
    <x v="4"/>
    <x v="4"/>
    <n v="18"/>
  </r>
  <r>
    <n v="849"/>
    <s v="I"/>
    <n v="0.55000000000000004"/>
    <n v="0.43"/>
    <n v="0.125"/>
    <n v="0.92300000000000004"/>
    <n v="0.40350000000000003"/>
    <n v="0.17499999999999999"/>
    <n v="0.28299999999999997"/>
    <n v="8"/>
    <n v="4"/>
    <s v="Nate"/>
    <s v="Craig"/>
    <s v="NOAA Fisheries"/>
    <x v="7"/>
    <x v="7"/>
    <n v="12.8"/>
  </r>
  <r>
    <n v="2015"/>
    <s v="I"/>
    <n v="0.47"/>
    <n v="0.375"/>
    <n v="0.105"/>
    <n v="0.441"/>
    <n v="0.16700000000000001"/>
    <n v="8.6499999999999994E-2"/>
    <n v="0.14499999999999999"/>
    <n v="10"/>
    <n v="10"/>
    <s v="Hazel"/>
    <s v="Villa"/>
    <s v="University of Minnesota"/>
    <x v="0"/>
    <x v="0"/>
    <n v="1.9"/>
  </r>
  <r>
    <n v="2058"/>
    <s v="I"/>
    <n v="0.48"/>
    <n v="0.35"/>
    <n v="0.13500000000000001"/>
    <n v="0.54649999999999999"/>
    <n v="0.27350000000000002"/>
    <n v="9.9500000000000005E-2"/>
    <n v="0.158"/>
    <n v="8"/>
    <n v="5"/>
    <s v="Haniya"/>
    <s v="Talley"/>
    <s v="Prince William Sound Science Center"/>
    <x v="4"/>
    <x v="4"/>
    <n v="18"/>
  </r>
  <r>
    <n v="2366"/>
    <s v="I"/>
    <n v="0.63"/>
    <n v="0.505"/>
    <n v="0.16500000000000001"/>
    <n v="1.0649999999999999"/>
    <n v="0.45950000000000002"/>
    <n v="0.216"/>
    <n v="0.315"/>
    <n v="12"/>
    <n v="3"/>
    <s v="Inaya"/>
    <s v="Bernard"/>
    <s v="Stanford University"/>
    <x v="9"/>
    <x v="9"/>
    <n v="24.1"/>
  </r>
  <r>
    <n v="715"/>
    <s v="I"/>
    <n v="0.35"/>
    <n v="0.255"/>
    <n v="0.08"/>
    <n v="0.1915"/>
    <n v="0.08"/>
    <n v="3.85E-2"/>
    <n v="6.3E-2"/>
    <n v="9"/>
    <n v="9"/>
    <s v="Danica"/>
    <s v="Tyler"/>
    <s v="University of Florida_x0009_"/>
    <x v="9"/>
    <x v="9"/>
    <n v="24.1"/>
  </r>
  <r>
    <n v="995"/>
    <s v="I"/>
    <n v="0.57999999999999996"/>
    <n v="0.45"/>
    <n v="0.14499999999999999"/>
    <n v="1.137"/>
    <n v="0.5585"/>
    <n v="0.22"/>
    <n v="0.28999999999999998"/>
    <n v="8"/>
    <n v="9"/>
    <s v="Danica"/>
    <s v="Tyler"/>
    <s v="University of Florida_x0009_"/>
    <x v="3"/>
    <x v="3"/>
    <n v="3.6"/>
  </r>
  <r>
    <n v="2758"/>
    <s v="I"/>
    <n v="0.52500000000000002"/>
    <n v="0.375"/>
    <n v="0.12"/>
    <n v="0.63149999999999995"/>
    <n v="0.30449999999999999"/>
    <n v="0.114"/>
    <n v="0.19"/>
    <n v="9"/>
    <n v="3"/>
    <s v="Inaya"/>
    <s v="Bernard"/>
    <s v="Stanford University"/>
    <x v="2"/>
    <x v="2"/>
    <n v="12.3"/>
  </r>
  <r>
    <n v="2647"/>
    <s v="I"/>
    <n v="0.495"/>
    <n v="0.38"/>
    <n v="0.12"/>
    <n v="0.51200000000000001"/>
    <n v="0.23300000000000001"/>
    <n v="0.1205"/>
    <n v="0.13600000000000001"/>
    <n v="7"/>
    <n v="14"/>
    <s v="Jose"/>
    <s v="Vaughan"/>
    <s v="Ohio State University_x0009_"/>
    <x v="2"/>
    <x v="2"/>
    <n v="12.3"/>
  </r>
  <r>
    <n v="2455"/>
    <s v="I"/>
    <n v="0.27500000000000002"/>
    <n v="0.2"/>
    <n v="6.5000000000000002E-2"/>
    <n v="9.1999999999999998E-2"/>
    <n v="3.85E-2"/>
    <n v="2.35E-2"/>
    <n v="2.7E-2"/>
    <n v="5"/>
    <n v="2"/>
    <s v="Tiegan"/>
    <s v="Davie"/>
    <s v="University of California, Davis"/>
    <x v="5"/>
    <x v="5"/>
    <n v="6.1"/>
  </r>
  <r>
    <n v="1633"/>
    <s v="I"/>
    <n v="0.57499999999999996"/>
    <n v="0.45500000000000002"/>
    <n v="0.16500000000000001"/>
    <n v="0.86699999999999999"/>
    <n v="0.3765"/>
    <n v="0.18049999999999999"/>
    <n v="0.26800000000000002"/>
    <n v="8"/>
    <n v="3"/>
    <s v="Inaya"/>
    <s v="Bernard"/>
    <s v="Stanford University"/>
    <x v="2"/>
    <x v="2"/>
    <n v="12.3"/>
  </r>
  <r>
    <n v="4073"/>
    <s v="I"/>
    <n v="0.5"/>
    <n v="0.36"/>
    <n v="0.12"/>
    <n v="0.439"/>
    <n v="0.1875"/>
    <n v="0.1055"/>
    <n v="0.1305"/>
    <n v="8"/>
    <n v="12"/>
    <s v="Rebecca"/>
    <s v="Bennett"/>
    <s v="University of Houston"/>
    <x v="3"/>
    <x v="3"/>
    <n v="3.6"/>
  </r>
  <r>
    <n v="2256"/>
    <s v="I"/>
    <n v="0.51"/>
    <n v="0.39500000000000002"/>
    <n v="0.14499999999999999"/>
    <n v="0.61850000000000005"/>
    <n v="0.216"/>
    <n v="0.13850000000000001"/>
    <n v="0.24"/>
    <n v="12"/>
    <n v="7"/>
    <s v="Iona"/>
    <s v="Connolly"/>
    <s v="Florida Atlantic University"/>
    <x v="6"/>
    <x v="6"/>
    <n v="22.1"/>
  </r>
  <r>
    <n v="1274"/>
    <s v="I"/>
    <n v="0.47499999999999998"/>
    <n v="0.38"/>
    <n v="0.12"/>
    <n v="0.441"/>
    <n v="0.17849999999999999"/>
    <n v="8.8499999999999995E-2"/>
    <n v="0.15049999999999999"/>
    <n v="8"/>
    <n v="3"/>
    <s v="Inaya"/>
    <s v="Bernard"/>
    <s v="Stanford University"/>
    <x v="2"/>
    <x v="2"/>
    <n v="12.3"/>
  </r>
  <r>
    <n v="316"/>
    <s v="I"/>
    <n v="0.45"/>
    <n v="0.35499999999999998"/>
    <n v="0.11"/>
    <n v="0.45850000000000002"/>
    <n v="0.19400000000000001"/>
    <n v="6.7000000000000004E-2"/>
    <n v="0.14000000000000001"/>
    <n v="8"/>
    <n v="5"/>
    <s v="Haniya"/>
    <s v="Talley"/>
    <s v="Prince William Sound Science Center"/>
    <x v="8"/>
    <x v="8"/>
    <n v="14.1"/>
  </r>
  <r>
    <n v="2931"/>
    <s v="I"/>
    <n v="0.61499999999999999"/>
    <n v="0.47499999999999998"/>
    <n v="0.17499999999999999"/>
    <n v="1.194"/>
    <n v="0.55900000000000005"/>
    <n v="0.25900000000000001"/>
    <n v="0.3165"/>
    <n v="11"/>
    <n v="8"/>
    <s v="Kali"/>
    <s v="Metcalfe"/>
    <s v="Mote Marine Laboratory"/>
    <x v="8"/>
    <x v="8"/>
    <n v="14.1"/>
  </r>
  <r>
    <n v="67"/>
    <s v="I"/>
    <n v="0.56499999999999995"/>
    <n v="0.44"/>
    <n v="0.16"/>
    <n v="0.91500000000000004"/>
    <n v="0.35399999999999998"/>
    <n v="0.19350000000000001"/>
    <n v="0.32"/>
    <n v="12"/>
    <n v="13"/>
    <s v="Betty"/>
    <s v="Berg"/>
    <s v="University of Houston"/>
    <x v="5"/>
    <x v="5"/>
    <n v="6.1"/>
  </r>
  <r>
    <n v="1859"/>
    <s v="I"/>
    <n v="0.51"/>
    <n v="0.4"/>
    <n v="0.12"/>
    <n v="0.70050000000000001"/>
    <n v="0.34699999999999998"/>
    <n v="0.1105"/>
    <n v="0.19500000000000001"/>
    <n v="10"/>
    <n v="2"/>
    <s v="Tiegan"/>
    <s v="Davie"/>
    <s v="University of California, Davis"/>
    <x v="2"/>
    <x v="2"/>
    <n v="12.3"/>
  </r>
  <r>
    <n v="2272"/>
    <s v="I"/>
    <n v="0.52"/>
    <n v="0.41"/>
    <n v="0.17"/>
    <n v="0.87050000000000005"/>
    <n v="0.3735"/>
    <n v="0.219"/>
    <n v="0.25"/>
    <n v="14"/>
    <n v="15"/>
    <s v="Conan"/>
    <s v="Dalton"/>
    <s v="University of Houston"/>
    <x v="3"/>
    <x v="3"/>
    <n v="3.6"/>
  </r>
  <r>
    <n v="2387"/>
    <s v="I"/>
    <n v="0.48499999999999999"/>
    <n v="0.36499999999999999"/>
    <n v="0.14000000000000001"/>
    <n v="0.61950000000000005"/>
    <n v="0.25950000000000001"/>
    <n v="0.14449999999999999"/>
    <n v="0.17699999999999999"/>
    <n v="14"/>
    <n v="12"/>
    <s v="Rebecca"/>
    <s v="Bennett"/>
    <s v="University of Houston"/>
    <x v="3"/>
    <x v="3"/>
    <n v="3.6"/>
  </r>
  <r>
    <n v="3946"/>
    <s v="I"/>
    <n v="0.23499999999999999"/>
    <n v="0.17499999999999999"/>
    <n v="6.5000000000000002E-2"/>
    <n v="6.1499999999999999E-2"/>
    <n v="2.0500000000000001E-2"/>
    <n v="0.02"/>
    <n v="1.9E-2"/>
    <n v="6"/>
    <n v="11"/>
    <s v="Naima"/>
    <s v="Reyes"/>
    <s v="University of Houston"/>
    <x v="8"/>
    <x v="8"/>
    <n v="14.1"/>
  </r>
  <r>
    <n v="1381"/>
    <s v="I"/>
    <n v="0.625"/>
    <n v="0.45500000000000002"/>
    <n v="0.17"/>
    <n v="1.0820000000000001"/>
    <n v="0.4955"/>
    <n v="0.23449999999999999"/>
    <n v="0.315"/>
    <n v="9"/>
    <n v="6"/>
    <s v="Martin"/>
    <s v="Gaines"/>
    <s v="San Diego State University"/>
    <x v="4"/>
    <x v="4"/>
    <n v="18"/>
  </r>
  <r>
    <n v="1568"/>
    <s v="I"/>
    <n v="0.46500000000000002"/>
    <n v="0.34499999999999997"/>
    <n v="0.11"/>
    <n v="0.39300000000000002"/>
    <n v="0.1825"/>
    <n v="7.3499999999999996E-2"/>
    <n v="0.12"/>
    <n v="8"/>
    <n v="15"/>
    <s v="Conan"/>
    <s v="Dalton"/>
    <s v="University of Houston"/>
    <x v="9"/>
    <x v="9"/>
    <n v="24.1"/>
  </r>
  <r>
    <n v="763"/>
    <s v="I"/>
    <n v="0.54"/>
    <n v="0.44"/>
    <n v="0.13500000000000001"/>
    <n v="0.95899999999999996"/>
    <n v="0.23849999999999999"/>
    <n v="0.221"/>
    <n v="0.3"/>
    <n v="17"/>
    <n v="12"/>
    <s v="Rebecca"/>
    <s v="Bennett"/>
    <s v="University of Houston"/>
    <x v="5"/>
    <x v="5"/>
    <n v="6.1"/>
  </r>
  <r>
    <n v="3492"/>
    <s v="I"/>
    <n v="0.55000000000000004"/>
    <n v="0.44"/>
    <n v="0.16"/>
    <n v="0.98499999999999999"/>
    <n v="0.46450000000000002"/>
    <n v="0.20100000000000001"/>
    <n v="0.27"/>
    <n v="8"/>
    <n v="9"/>
    <s v="Danica"/>
    <s v="Tyler"/>
    <s v="University of Florida_x0009_"/>
    <x v="5"/>
    <x v="5"/>
    <n v="6.1"/>
  </r>
  <r>
    <n v="1576"/>
    <s v="I"/>
    <n v="0.48499999999999999"/>
    <n v="0.375"/>
    <n v="0.13"/>
    <n v="0.60250000000000004"/>
    <n v="0.29349999999999998"/>
    <n v="0.1285"/>
    <n v="0.16"/>
    <n v="7"/>
    <n v="1"/>
    <s v="Jan"/>
    <s v="Odom"/>
    <s v="University of Houston"/>
    <x v="4"/>
    <x v="4"/>
    <n v="18"/>
  </r>
  <r>
    <n v="1716"/>
    <s v="I"/>
    <n v="0.64500000000000002"/>
    <n v="0.48499999999999999"/>
    <n v="0.15"/>
    <n v="1.2215"/>
    <n v="0.56950000000000001"/>
    <n v="0.27350000000000002"/>
    <n v="0.33"/>
    <n v="9"/>
    <n v="1"/>
    <s v="Jan"/>
    <s v="Odom"/>
    <s v="University of Houston"/>
    <x v="0"/>
    <x v="0"/>
    <n v="1.9"/>
  </r>
  <r>
    <n v="845"/>
    <s v="I"/>
    <n v="0.52500000000000002"/>
    <n v="0.39500000000000002"/>
    <n v="0.13"/>
    <n v="0.76349999999999996"/>
    <n v="0.33750000000000002"/>
    <n v="0.14249999999999999"/>
    <n v="0.22500000000000001"/>
    <n v="8"/>
    <n v="14"/>
    <s v="Jose"/>
    <s v="Vaughan"/>
    <s v="Ohio State University_x0009_"/>
    <x v="2"/>
    <x v="2"/>
    <n v="12.3"/>
  </r>
  <r>
    <n v="3540"/>
    <s v="I"/>
    <n v="0.435"/>
    <n v="0.34"/>
    <n v="0.12"/>
    <n v="0.39600000000000002"/>
    <n v="0.17749999999999999"/>
    <n v="8.1000000000000003E-2"/>
    <n v="0.125"/>
    <n v="8"/>
    <n v="10"/>
    <s v="Hazel"/>
    <s v="Villa"/>
    <s v="University of Minnesota"/>
    <x v="3"/>
    <x v="3"/>
    <n v="3.6"/>
  </r>
  <r>
    <n v="201"/>
    <s v="I"/>
    <n v="0.45"/>
    <n v="0.34499999999999997"/>
    <n v="0.12"/>
    <n v="0.41649999999999998"/>
    <n v="0.16550000000000001"/>
    <n v="9.5000000000000001E-2"/>
    <n v="0.13500000000000001"/>
    <n v="9"/>
    <n v="13"/>
    <s v="Betty"/>
    <s v="Berg"/>
    <s v="University of Houston"/>
    <x v="4"/>
    <x v="4"/>
    <n v="18"/>
  </r>
  <r>
    <n v="3684"/>
    <s v="I"/>
    <n v="0.62"/>
    <n v="0.52500000000000002"/>
    <n v="0.155"/>
    <n v="1.085"/>
    <n v="0.45400000000000001"/>
    <n v="0.19650000000000001"/>
    <n v="0.35"/>
    <n v="10"/>
    <n v="9"/>
    <s v="Danica"/>
    <s v="Tyler"/>
    <s v="University of Florida_x0009_"/>
    <x v="8"/>
    <x v="8"/>
    <n v="14.1"/>
  </r>
  <r>
    <n v="151"/>
    <s v="I"/>
    <n v="0.59"/>
    <n v="0.47499999999999998"/>
    <n v="0.14499999999999999"/>
    <n v="1.0529999999999999"/>
    <n v="0.4415"/>
    <n v="0.26200000000000001"/>
    <n v="0.32500000000000001"/>
    <n v="15"/>
    <n v="6"/>
    <s v="Martin"/>
    <s v="Gaines"/>
    <s v="San Diego State University"/>
    <x v="7"/>
    <x v="7"/>
    <n v="12.8"/>
  </r>
  <r>
    <n v="2458"/>
    <s v="I"/>
    <n v="0.25"/>
    <n v="0.185"/>
    <n v="6.5000000000000002E-2"/>
    <n v="7.0999999999999994E-2"/>
    <n v="2.7E-2"/>
    <n v="1.8499999999999999E-2"/>
    <n v="2.2499999999999999E-2"/>
    <n v="5"/>
    <n v="6"/>
    <s v="Martin"/>
    <s v="Gaines"/>
    <s v="San Diego State University"/>
    <x v="4"/>
    <x v="4"/>
    <n v="18"/>
  </r>
  <r>
    <n v="330"/>
    <s v="I"/>
    <n v="0.36"/>
    <n v="0.28000000000000003"/>
    <n v="0.09"/>
    <n v="0.22550000000000001"/>
    <n v="8.8499999999999995E-2"/>
    <n v="0.04"/>
    <n v="0.09"/>
    <n v="8"/>
    <n v="7"/>
    <s v="Iona"/>
    <s v="Connolly"/>
    <s v="Florida Atlantic University"/>
    <x v="8"/>
    <x v="8"/>
    <n v="14.1"/>
  </r>
  <r>
    <n v="180"/>
    <s v="I"/>
    <n v="0.57999999999999996"/>
    <n v="0.47499999999999998"/>
    <n v="0.15"/>
    <n v="0.97"/>
    <n v="0.38500000000000001"/>
    <n v="0.2165"/>
    <n v="0.35"/>
    <n v="11"/>
    <n v="12"/>
    <s v="Rebecca"/>
    <s v="Bennett"/>
    <s v="University of Houston"/>
    <x v="5"/>
    <x v="5"/>
    <n v="6.1"/>
  </r>
  <r>
    <n v="354"/>
    <s v="I"/>
    <n v="0.57999999999999996"/>
    <n v="0.45500000000000002"/>
    <n v="0.17"/>
    <n v="0.93"/>
    <n v="0.40799999999999997"/>
    <n v="0.25900000000000001"/>
    <n v="0.22"/>
    <n v="9"/>
    <n v="2"/>
    <s v="Tiegan"/>
    <s v="Davie"/>
    <s v="University of California, Davis"/>
    <x v="6"/>
    <x v="6"/>
    <n v="22.1"/>
  </r>
  <r>
    <n v="4080"/>
    <s v="I"/>
    <n v="0.55000000000000004"/>
    <n v="0.38500000000000001"/>
    <n v="0.13"/>
    <n v="0.72750000000000004"/>
    <n v="0.34300000000000003"/>
    <n v="0.16250000000000001"/>
    <n v="0.19"/>
    <n v="8"/>
    <n v="6"/>
    <s v="Martin"/>
    <s v="Gaines"/>
    <s v="San Diego State University"/>
    <x v="6"/>
    <x v="6"/>
    <n v="22.1"/>
  </r>
  <r>
    <n v="187"/>
    <s v="I"/>
    <n v="0.63"/>
    <n v="0.48"/>
    <n v="0.15"/>
    <n v="1.0525"/>
    <n v="0.39200000000000002"/>
    <n v="0.33600000000000002"/>
    <n v="0.28499999999999998"/>
    <n v="12"/>
    <n v="15"/>
    <s v="Conan"/>
    <s v="Dalton"/>
    <s v="University of Houston"/>
    <x v="0"/>
    <x v="0"/>
    <n v="1.9"/>
  </r>
  <r>
    <n v="1604"/>
    <s v="I"/>
    <n v="0.54"/>
    <n v="0.43"/>
    <n v="0.14000000000000001"/>
    <n v="0.81950000000000001"/>
    <n v="0.39350000000000002"/>
    <n v="0.17249999999999999"/>
    <n v="0.22950000000000001"/>
    <n v="9"/>
    <n v="1"/>
    <s v="Jan"/>
    <s v="Odom"/>
    <s v="University of Houston"/>
    <x v="3"/>
    <x v="3"/>
    <n v="3.6"/>
  </r>
  <r>
    <n v="1853"/>
    <s v="I"/>
    <n v="0.495"/>
    <n v="0.38"/>
    <n v="0.13500000000000001"/>
    <n v="0.50949999999999995"/>
    <n v="0.20649999999999999"/>
    <n v="0.11650000000000001"/>
    <n v="0.16500000000000001"/>
    <n v="8"/>
    <n v="10"/>
    <s v="Hazel"/>
    <s v="Villa"/>
    <s v="University of Minnesota"/>
    <x v="1"/>
    <x v="1"/>
    <n v="2.5"/>
  </r>
  <r>
    <n v="414"/>
    <s v="I"/>
    <n v="0.54500000000000004"/>
    <n v="0.44"/>
    <n v="0.12"/>
    <n v="0.85650000000000004"/>
    <n v="0.34749999999999998"/>
    <n v="0.17150000000000001"/>
    <n v="0.24"/>
    <n v="12"/>
    <n v="14"/>
    <s v="Jose"/>
    <s v="Vaughan"/>
    <s v="Ohio State University_x0009_"/>
    <x v="8"/>
    <x v="8"/>
    <n v="14.1"/>
  </r>
  <r>
    <n v="4164"/>
    <s v="I"/>
    <n v="0.39"/>
    <n v="0.31"/>
    <n v="8.5000000000000006E-2"/>
    <n v="0.34399999999999997"/>
    <n v="0.18099999999999999"/>
    <n v="6.9500000000000006E-2"/>
    <n v="7.9000000000000001E-2"/>
    <n v="7"/>
    <n v="15"/>
    <s v="Conan"/>
    <s v="Dalton"/>
    <s v="University of Houston"/>
    <x v="6"/>
    <x v="6"/>
    <n v="22.1"/>
  </r>
  <r>
    <n v="1058"/>
    <s v="I"/>
    <n v="0.22500000000000001"/>
    <n v="0.16500000000000001"/>
    <n v="5.5E-2"/>
    <n v="5.8999999999999997E-2"/>
    <n v="2.7E-2"/>
    <n v="1.2500000000000001E-2"/>
    <n v="1.4999999999999999E-2"/>
    <n v="4"/>
    <n v="14"/>
    <s v="Jose"/>
    <s v="Vaughan"/>
    <s v="Ohio State University_x0009_"/>
    <x v="5"/>
    <x v="5"/>
    <n v="6.1"/>
  </r>
  <r>
    <n v="3724"/>
    <s v="I"/>
    <n v="0.47"/>
    <n v="0.35499999999999998"/>
    <n v="0.12"/>
    <n v="0.49149999999999999"/>
    <n v="0.17649999999999999"/>
    <n v="0.1125"/>
    <n v="0.13250000000000001"/>
    <n v="9"/>
    <n v="8"/>
    <s v="Kali"/>
    <s v="Metcalfe"/>
    <s v="Mote Marine Laboratory"/>
    <x v="2"/>
    <x v="2"/>
    <n v="12.3"/>
  </r>
  <r>
    <n v="3329"/>
    <s v="I"/>
    <n v="0.57499999999999996"/>
    <n v="0.47499999999999998"/>
    <n v="0.17"/>
    <n v="0.96699999999999997"/>
    <n v="0.3775"/>
    <n v="0.28399999999999997"/>
    <n v="0.27500000000000002"/>
    <n v="13"/>
    <n v="9"/>
    <s v="Danica"/>
    <s v="Tyler"/>
    <s v="University of Florida_x0009_"/>
    <x v="2"/>
    <x v="2"/>
    <n v="12.3"/>
  </r>
  <r>
    <n v="2880"/>
    <s v="I"/>
    <n v="0.47"/>
    <n v="0.38500000000000001"/>
    <n v="0.13"/>
    <n v="0.58699999999999997"/>
    <n v="0.26400000000000001"/>
    <n v="0.11700000000000001"/>
    <n v="0.17399999999999999"/>
    <n v="8"/>
    <n v="2"/>
    <s v="Tiegan"/>
    <s v="Davie"/>
    <s v="University of California, Davis"/>
    <x v="9"/>
    <x v="9"/>
    <n v="24.1"/>
  </r>
  <r>
    <n v="3504"/>
    <s v="I"/>
    <n v="0.61499999999999999"/>
    <n v="0.49"/>
    <n v="0.19"/>
    <n v="1.1345000000000001"/>
    <n v="0.46949999999999997"/>
    <n v="0.25700000000000001"/>
    <n v="0.34799999999999998"/>
    <n v="11"/>
    <n v="15"/>
    <s v="Conan"/>
    <s v="Dalton"/>
    <s v="University of Houston"/>
    <x v="5"/>
    <x v="5"/>
    <n v="6.1"/>
  </r>
  <r>
    <n v="589"/>
    <s v="I"/>
    <n v="0.45"/>
    <n v="0.33500000000000002"/>
    <n v="0.14000000000000001"/>
    <n v="0.46250000000000002"/>
    <n v="0.16400000000000001"/>
    <n v="7.5999999999999998E-2"/>
    <n v="0.15"/>
    <n v="14"/>
    <n v="15"/>
    <s v="Conan"/>
    <s v="Dalton"/>
    <s v="University of Houston"/>
    <x v="7"/>
    <x v="7"/>
    <n v="12.8"/>
  </r>
  <r>
    <n v="191"/>
    <s v="I"/>
    <n v="0.61499999999999999"/>
    <n v="0.48"/>
    <n v="0.18"/>
    <n v="1.1595"/>
    <n v="0.48449999999999999"/>
    <n v="0.2165"/>
    <n v="0.32500000000000001"/>
    <n v="13"/>
    <n v="6"/>
    <s v="Martin"/>
    <s v="Gaines"/>
    <s v="San Diego State University"/>
    <x v="9"/>
    <x v="9"/>
    <n v="24.1"/>
  </r>
  <r>
    <n v="1"/>
    <s v="I"/>
    <n v="0.45500000000000002"/>
    <n v="0.36499999999999999"/>
    <n v="9.5000000000000001E-2"/>
    <n v="0.51400000000000001"/>
    <n v="0.22450000000000001"/>
    <n v="0.10100000000000001"/>
    <n v="0.15"/>
    <n v="15"/>
    <n v="5"/>
    <s v="Haniya"/>
    <s v="Talley"/>
    <s v="Prince William Sound Science Center"/>
    <x v="4"/>
    <x v="4"/>
    <n v="18"/>
  </r>
  <r>
    <n v="104"/>
    <s v="I"/>
    <n v="0.53"/>
    <n v="0.41499999999999998"/>
    <n v="0.14000000000000001"/>
    <n v="0.72399999999999998"/>
    <n v="0.3105"/>
    <n v="0.16750000000000001"/>
    <n v="0.20499999999999999"/>
    <n v="10"/>
    <n v="11"/>
    <s v="Naima"/>
    <s v="Reyes"/>
    <s v="University of Houston"/>
    <x v="0"/>
    <x v="0"/>
    <n v="1.9"/>
  </r>
  <r>
    <n v="783"/>
    <s v="I"/>
    <n v="0.51500000000000001"/>
    <n v="0.435"/>
    <n v="0.14499999999999999"/>
    <n v="0.88149999999999995"/>
    <n v="0.29199999999999998"/>
    <n v="0.20599999999999999"/>
    <n v="0.255"/>
    <n v="10"/>
    <n v="14"/>
    <s v="Jose"/>
    <s v="Vaughan"/>
    <s v="Ohio State University_x0009_"/>
    <x v="7"/>
    <x v="7"/>
    <n v="12.8"/>
  </r>
  <r>
    <n v="235"/>
    <s v="I"/>
    <n v="0.44"/>
    <n v="0.35"/>
    <n v="0.13500000000000001"/>
    <n v="0.435"/>
    <n v="0.18149999999999999"/>
    <n v="8.3000000000000004E-2"/>
    <n v="0.125"/>
    <n v="12"/>
    <n v="5"/>
    <s v="Haniya"/>
    <s v="Talley"/>
    <s v="Prince William Sound Science Center"/>
    <x v="7"/>
    <x v="7"/>
    <n v="12.8"/>
  </r>
  <r>
    <n v="56"/>
    <s v="I"/>
    <n v="0.5"/>
    <n v="0.4"/>
    <n v="0.14000000000000001"/>
    <n v="0.66149999999999998"/>
    <n v="0.25650000000000001"/>
    <n v="0.17549999999999999"/>
    <n v="0.22"/>
    <n v="8"/>
    <n v="1"/>
    <s v="Jan"/>
    <s v="Odom"/>
    <s v="University of Houston"/>
    <x v="2"/>
    <x v="2"/>
    <n v="12.3"/>
  </r>
  <r>
    <n v="846"/>
    <s v="I"/>
    <n v="0.54"/>
    <n v="0.40500000000000003"/>
    <n v="0.125"/>
    <n v="0.89100000000000001"/>
    <n v="0.48149999999999998"/>
    <n v="0.1915"/>
    <n v="0.20200000000000001"/>
    <n v="9"/>
    <n v="1"/>
    <s v="Jan"/>
    <s v="Odom"/>
    <s v="University of Houston"/>
    <x v="0"/>
    <x v="0"/>
    <n v="1.9"/>
  </r>
  <r>
    <n v="1250"/>
    <s v="I"/>
    <n v="0.39500000000000002"/>
    <n v="0.27"/>
    <n v="0.1"/>
    <n v="0.29849999999999999"/>
    <n v="0.14449999999999999"/>
    <n v="6.0999999999999999E-2"/>
    <n v="8.2000000000000003E-2"/>
    <n v="5"/>
    <n v="1"/>
    <s v="Jan"/>
    <s v="Odom"/>
    <s v="University of Houston"/>
    <x v="8"/>
    <x v="8"/>
    <n v="14.1"/>
  </r>
  <r>
    <n v="349"/>
    <s v="I"/>
    <n v="0.375"/>
    <n v="0.30499999999999999"/>
    <n v="0.115"/>
    <n v="0.27150000000000002"/>
    <n v="9.1999999999999998E-2"/>
    <n v="7.3999999999999996E-2"/>
    <n v="0.09"/>
    <n v="8"/>
    <n v="8"/>
    <s v="Kali"/>
    <s v="Metcalfe"/>
    <s v="Mote Marine Laboratory"/>
    <x v="7"/>
    <x v="7"/>
    <n v="12.8"/>
  </r>
  <r>
    <n v="2020"/>
    <s v="I"/>
    <n v="0.51"/>
    <n v="0.45500000000000002"/>
    <n v="0.13500000000000001"/>
    <n v="0.6855"/>
    <n v="0.28749999999999998"/>
    <n v="0.154"/>
    <n v="0.20349999999999999"/>
    <n v="9"/>
    <n v="2"/>
    <s v="Tiegan"/>
    <s v="Davie"/>
    <s v="University of California, Davis"/>
    <x v="1"/>
    <x v="1"/>
    <n v="2.5"/>
  </r>
  <r>
    <n v="2665"/>
    <s v="I"/>
    <n v="0.56999999999999995"/>
    <n v="0.43"/>
    <n v="0.16"/>
    <n v="0.81100000000000005"/>
    <n v="0.38750000000000001"/>
    <n v="0.159"/>
    <n v="0.22850000000000001"/>
    <n v="9"/>
    <n v="7"/>
    <s v="Iona"/>
    <s v="Connolly"/>
    <s v="Florida Atlantic University"/>
    <x v="4"/>
    <x v="4"/>
    <n v="18"/>
  </r>
  <r>
    <n v="2425"/>
    <s v="I"/>
    <n v="0.26"/>
    <n v="0.2"/>
    <n v="6.5000000000000002E-2"/>
    <n v="9.6000000000000002E-2"/>
    <n v="4.3999999999999997E-2"/>
    <n v="2.7E-2"/>
    <n v="0.03"/>
    <n v="6"/>
    <n v="11"/>
    <s v="Naima"/>
    <s v="Reyes"/>
    <s v="University of Houston"/>
    <x v="6"/>
    <x v="6"/>
    <n v="22.1"/>
  </r>
  <r>
    <n v="2270"/>
    <s v="I"/>
    <n v="0.56999999999999995"/>
    <n v="0.45"/>
    <n v="0.16"/>
    <n v="0.86150000000000004"/>
    <n v="0.3725"/>
    <n v="0.2175"/>
    <n v="0.255"/>
    <n v="12"/>
    <n v="4"/>
    <s v="Nate"/>
    <s v="Craig"/>
    <s v="NOAA Fisheries"/>
    <x v="9"/>
    <x v="9"/>
    <n v="24.1"/>
  </r>
  <r>
    <n v="2800"/>
    <s v="I"/>
    <n v="0.64"/>
    <n v="0.495"/>
    <n v="0.17"/>
    <n v="1.139"/>
    <n v="0.53949999999999998"/>
    <n v="0.28199999999999997"/>
    <n v="0.28499999999999998"/>
    <n v="10"/>
    <n v="5"/>
    <s v="Haniya"/>
    <s v="Talley"/>
    <s v="Prince William Sound Science Center"/>
    <x v="2"/>
    <x v="2"/>
    <n v="12.3"/>
  </r>
  <r>
    <n v="2232"/>
    <s v="I"/>
    <n v="0.505"/>
    <n v="0.4"/>
    <n v="0.16500000000000001"/>
    <n v="0.72899999999999998"/>
    <n v="0.26750000000000002"/>
    <n v="0.155"/>
    <n v="0.25"/>
    <n v="9"/>
    <n v="11"/>
    <s v="Naima"/>
    <s v="Reyes"/>
    <s v="University of Houston"/>
    <x v="0"/>
    <x v="0"/>
    <n v="1.9"/>
  </r>
  <r>
    <n v="2609"/>
    <s v="I"/>
    <n v="0.625"/>
    <n v="0.49"/>
    <n v="0.17499999999999999"/>
    <n v="1.1074999999999999"/>
    <n v="0.44850000000000001"/>
    <n v="0.2165"/>
    <n v="0.35949999999999999"/>
    <n v="8"/>
    <n v="11"/>
    <s v="Naima"/>
    <s v="Reyes"/>
    <s v="University of Houston"/>
    <x v="0"/>
    <x v="0"/>
    <n v="1.9"/>
  </r>
  <r>
    <n v="1117"/>
    <s v="I"/>
    <n v="0.52500000000000002"/>
    <n v="0.39500000000000002"/>
    <n v="0.12"/>
    <n v="0.60799999999999998"/>
    <n v="0.29699999999999999"/>
    <n v="0.13950000000000001"/>
    <n v="0.14050000000000001"/>
    <n v="8"/>
    <n v="4"/>
    <s v="Nate"/>
    <s v="Craig"/>
    <s v="NOAA Fisheries"/>
    <x v="6"/>
    <x v="6"/>
    <n v="22.1"/>
  </r>
  <r>
    <n v="1779"/>
    <s v="I"/>
    <n v="0.49"/>
    <n v="0.35499999999999998"/>
    <n v="0.16"/>
    <n v="0.87949999999999995"/>
    <n v="0.34849999999999998"/>
    <n v="0.215"/>
    <n v="0.28249999999999997"/>
    <n v="8"/>
    <n v="3"/>
    <s v="Inaya"/>
    <s v="Bernard"/>
    <s v="Stanford University"/>
    <x v="9"/>
    <x v="9"/>
    <n v="24.1"/>
  </r>
  <r>
    <n v="3191"/>
    <s v="I"/>
    <n v="0.2"/>
    <n v="0.14499999999999999"/>
    <n v="2.5000000000000001E-2"/>
    <n v="3.4500000000000003E-2"/>
    <n v="1.0999999999999999E-2"/>
    <n v="7.4999999999999997E-3"/>
    <n v="0.01"/>
    <n v="5"/>
    <n v="3"/>
    <s v="Inaya"/>
    <s v="Bernard"/>
    <s v="Stanford University"/>
    <x v="7"/>
    <x v="7"/>
    <n v="12.8"/>
  </r>
  <r>
    <n v="793"/>
    <s v="I"/>
    <n v="0.47"/>
    <n v="0.37"/>
    <n v="0.18"/>
    <n v="0.51"/>
    <n v="0.1915"/>
    <n v="0.1285"/>
    <n v="0.16250000000000001"/>
    <n v="9"/>
    <n v="15"/>
    <s v="Conan"/>
    <s v="Dalton"/>
    <s v="University of Houston"/>
    <x v="8"/>
    <x v="8"/>
    <n v="14.1"/>
  </r>
  <r>
    <n v="1553"/>
    <s v="I"/>
    <n v="0.39"/>
    <n v="0.28499999999999998"/>
    <n v="0.1"/>
    <n v="0.28100000000000003"/>
    <n v="0.1275"/>
    <n v="6.2E-2"/>
    <n v="7.6999999999999999E-2"/>
    <n v="7"/>
    <n v="14"/>
    <s v="Jose"/>
    <s v="Vaughan"/>
    <s v="Ohio State University_x0009_"/>
    <x v="3"/>
    <x v="3"/>
    <n v="3.6"/>
  </r>
  <r>
    <n v="85"/>
    <s v="I"/>
    <n v="0.57999999999999996"/>
    <n v="0.45"/>
    <n v="0.14000000000000001"/>
    <n v="1.0129999999999999"/>
    <n v="0.38"/>
    <n v="0.216"/>
    <n v="0.36"/>
    <n v="14"/>
    <n v="14"/>
    <s v="Jose"/>
    <s v="Vaughan"/>
    <s v="Ohio State University_x0009_"/>
    <x v="5"/>
    <x v="5"/>
    <n v="6.1"/>
  </r>
  <r>
    <n v="743"/>
    <s v="I"/>
    <n v="0.53500000000000003"/>
    <n v="0.42"/>
    <n v="0.15"/>
    <n v="0.73650000000000004"/>
    <n v="0.27850000000000003"/>
    <n v="0.186"/>
    <n v="0.215"/>
    <n v="14"/>
    <n v="13"/>
    <s v="Betty"/>
    <s v="Berg"/>
    <s v="University of Houston"/>
    <x v="6"/>
    <x v="6"/>
    <n v="22.1"/>
  </r>
  <r>
    <n v="3466"/>
    <s v="I"/>
    <n v="0.64"/>
    <n v="0.48"/>
    <n v="0.19500000000000001"/>
    <n v="1.1435"/>
    <n v="0.49149999999999999"/>
    <n v="0.23449999999999999"/>
    <n v="0.35299999999999998"/>
    <n v="9"/>
    <n v="2"/>
    <s v="Tiegan"/>
    <s v="Davie"/>
    <s v="University of California, Davis"/>
    <x v="9"/>
    <x v="9"/>
    <n v="24.1"/>
  </r>
  <r>
    <n v="2415"/>
    <s v="I"/>
    <n v="0.42"/>
    <n v="0.30499999999999999"/>
    <n v="0.11"/>
    <n v="0.28000000000000003"/>
    <n v="9.4E-2"/>
    <n v="7.85E-2"/>
    <n v="9.5500000000000002E-2"/>
    <n v="9"/>
    <n v="12"/>
    <s v="Rebecca"/>
    <s v="Bennett"/>
    <s v="University of Houston"/>
    <x v="0"/>
    <x v="0"/>
    <n v="1.9"/>
  </r>
  <r>
    <n v="2779"/>
    <s v="I"/>
    <n v="0.58499999999999996"/>
    <n v="0.45500000000000002"/>
    <n v="0.13"/>
    <n v="0.87549999999999994"/>
    <n v="0.41099999999999998"/>
    <n v="0.20649999999999999"/>
    <n v="0.22500000000000001"/>
    <n v="8"/>
    <n v="3"/>
    <s v="Inaya"/>
    <s v="Bernard"/>
    <s v="Stanford University"/>
    <x v="8"/>
    <x v="8"/>
    <n v="14.1"/>
  </r>
  <r>
    <n v="4151"/>
    <s v="I"/>
    <n v="0.33"/>
    <n v="0.23"/>
    <n v="0.08"/>
    <n v="0.14000000000000001"/>
    <n v="5.6500000000000002E-2"/>
    <n v="3.6499999999999998E-2"/>
    <n v="4.5999999999999999E-2"/>
    <n v="7"/>
    <n v="1"/>
    <s v="Jan"/>
    <s v="Odom"/>
    <s v="University of Houston"/>
    <x v="4"/>
    <x v="4"/>
    <n v="18"/>
  </r>
  <r>
    <n v="2293"/>
    <s v="I"/>
    <n v="0.38"/>
    <n v="0.3"/>
    <n v="0.09"/>
    <n v="0.32150000000000001"/>
    <n v="0.1545"/>
    <n v="7.4999999999999997E-2"/>
    <n v="9.5000000000000001E-2"/>
    <n v="9"/>
    <n v="8"/>
    <s v="Kali"/>
    <s v="Metcalfe"/>
    <s v="Mote Marine Laboratory"/>
    <x v="4"/>
    <x v="4"/>
    <n v="18"/>
  </r>
  <r>
    <n v="2443"/>
    <s v="I"/>
    <n v="0.47499999999999998"/>
    <n v="0.35499999999999998"/>
    <n v="0.125"/>
    <n v="0.46250000000000002"/>
    <n v="0.186"/>
    <n v="0.107"/>
    <n v="0.14499999999999999"/>
    <n v="9"/>
    <n v="1"/>
    <s v="Jan"/>
    <s v="Odom"/>
    <s v="University of Houston"/>
    <x v="5"/>
    <x v="5"/>
    <n v="6.1"/>
  </r>
  <r>
    <n v="3538"/>
    <s v="I"/>
    <n v="0.43"/>
    <n v="0.32500000000000001"/>
    <n v="0.105"/>
    <n v="0.309"/>
    <n v="0.11899999999999999"/>
    <n v="0.08"/>
    <n v="9.8000000000000004E-2"/>
    <n v="6"/>
    <n v="9"/>
    <s v="Danica"/>
    <s v="Tyler"/>
    <s v="University of Florida_x0009_"/>
    <x v="5"/>
    <x v="5"/>
    <n v="6.1"/>
  </r>
  <r>
    <n v="3365"/>
    <s v="I"/>
    <n v="0.33"/>
    <n v="0.245"/>
    <n v="8.5000000000000006E-2"/>
    <n v="0.17100000000000001"/>
    <n v="6.5500000000000003E-2"/>
    <n v="3.6499999999999998E-2"/>
    <n v="5.5E-2"/>
    <n v="11"/>
    <n v="8"/>
    <s v="Kali"/>
    <s v="Metcalfe"/>
    <s v="Mote Marine Laboratory"/>
    <x v="5"/>
    <x v="5"/>
    <n v="6.1"/>
  </r>
  <r>
    <n v="3115"/>
    <s v="I"/>
    <n v="0.44"/>
    <n v="0.34"/>
    <n v="0.1"/>
    <n v="0.379"/>
    <n v="0.17249999999999999"/>
    <n v="8.1500000000000003E-2"/>
    <n v="0.10100000000000001"/>
    <n v="7"/>
    <n v="3"/>
    <s v="Inaya"/>
    <s v="Bernard"/>
    <s v="Stanford University"/>
    <x v="5"/>
    <x v="5"/>
    <n v="6.1"/>
  </r>
  <r>
    <n v="3615"/>
    <s v="I"/>
    <n v="0.61499999999999999"/>
    <n v="0.47499999999999998"/>
    <n v="0.155"/>
    <n v="1.0734999999999999"/>
    <n v="0.4375"/>
    <n v="0.25850000000000001"/>
    <n v="0.31"/>
    <n v="11"/>
    <n v="5"/>
    <s v="Haniya"/>
    <s v="Talley"/>
    <s v="Prince William Sound Science Center"/>
    <x v="8"/>
    <x v="8"/>
    <n v="14.1"/>
  </r>
  <r>
    <n v="2650"/>
    <s v="I"/>
    <n v="0.505"/>
    <n v="0.4"/>
    <n v="0.13500000000000001"/>
    <n v="0.72299999999999998"/>
    <n v="0.377"/>
    <n v="0.14899999999999999"/>
    <n v="0.17799999999999999"/>
    <n v="7"/>
    <n v="12"/>
    <s v="Rebecca"/>
    <s v="Bennett"/>
    <s v="University of Houston"/>
    <x v="4"/>
    <x v="4"/>
    <n v="18"/>
  </r>
  <r>
    <n v="2838"/>
    <s v="I"/>
    <n v="0.57999999999999996"/>
    <n v="0.44500000000000001"/>
    <n v="0.13500000000000001"/>
    <n v="0.95"/>
    <n v="0.48399999999999999"/>
    <n v="0.182"/>
    <n v="0.23250000000000001"/>
    <n v="8"/>
    <n v="10"/>
    <s v="Hazel"/>
    <s v="Villa"/>
    <s v="University of Minnesota"/>
    <x v="8"/>
    <x v="8"/>
    <n v="14.1"/>
  </r>
  <r>
    <n v="2309"/>
    <s v="I"/>
    <n v="0.45500000000000002"/>
    <n v="0.35499999999999998"/>
    <n v="0.13"/>
    <n v="0.51500000000000001"/>
    <n v="0.2"/>
    <n v="0.1275"/>
    <n v="0.17499999999999999"/>
    <n v="11"/>
    <n v="4"/>
    <s v="Nate"/>
    <s v="Craig"/>
    <s v="NOAA Fisheries"/>
    <x v="2"/>
    <x v="2"/>
    <n v="12.3"/>
  </r>
  <r>
    <n v="2658"/>
    <s v="I"/>
    <n v="0.54500000000000004"/>
    <n v="0.4"/>
    <n v="0.14000000000000001"/>
    <n v="0.77800000000000002"/>
    <n v="0.36799999999999999"/>
    <n v="0.215"/>
    <n v="0.18"/>
    <n v="9"/>
    <n v="1"/>
    <s v="Jan"/>
    <s v="Odom"/>
    <s v="University of Houston"/>
    <x v="7"/>
    <x v="7"/>
    <n v="12.8"/>
  </r>
  <r>
    <n v="1014"/>
    <s v="I"/>
    <n v="0.625"/>
    <n v="0.47499999999999998"/>
    <n v="0.17499999999999999"/>
    <n v="1.1435"/>
    <n v="0.47549999999999998"/>
    <n v="0.2475"/>
    <n v="0.34899999999999998"/>
    <n v="10"/>
    <n v="13"/>
    <s v="Betty"/>
    <s v="Berg"/>
    <s v="University of Houston"/>
    <x v="3"/>
    <x v="3"/>
    <n v="3.6"/>
  </r>
  <r>
    <n v="1795"/>
    <s v="I"/>
    <n v="0.57499999999999996"/>
    <n v="0.45"/>
    <n v="0.13"/>
    <n v="0.8145"/>
    <n v="0.40300000000000002"/>
    <n v="0.17150000000000001"/>
    <n v="0.21299999999999999"/>
    <n v="10"/>
    <n v="8"/>
    <s v="Kali"/>
    <s v="Metcalfe"/>
    <s v="Mote Marine Laboratory"/>
    <x v="6"/>
    <x v="6"/>
    <n v="22.1"/>
  </r>
  <r>
    <n v="3479"/>
    <s v="I"/>
    <n v="0.435"/>
    <n v="0.33500000000000002"/>
    <n v="0.11"/>
    <n v="0.41099999999999998"/>
    <n v="0.20250000000000001"/>
    <n v="9.4500000000000001E-2"/>
    <n v="0.1"/>
    <n v="7"/>
    <n v="12"/>
    <s v="Rebecca"/>
    <s v="Bennett"/>
    <s v="University of Houston"/>
    <x v="0"/>
    <x v="0"/>
    <n v="1.9"/>
  </r>
  <r>
    <n v="3345"/>
    <s v="I"/>
    <n v="0.495"/>
    <n v="0.38"/>
    <n v="0.14499999999999999"/>
    <n v="0.51500000000000001"/>
    <n v="0.17499999999999999"/>
    <n v="9.8000000000000004E-2"/>
    <n v="0.21199999999999999"/>
    <n v="13"/>
    <n v="15"/>
    <s v="Conan"/>
    <s v="Dalton"/>
    <s v="University of Houston"/>
    <x v="2"/>
    <x v="2"/>
    <n v="12.3"/>
  </r>
  <r>
    <n v="2668"/>
    <s v="I"/>
    <n v="0.58499999999999996"/>
    <n v="0.45"/>
    <n v="0.15"/>
    <n v="0.93799999999999994"/>
    <n v="0.46700000000000003"/>
    <n v="0.20300000000000001"/>
    <n v="0.22500000000000001"/>
    <n v="7"/>
    <n v="5"/>
    <s v="Haniya"/>
    <s v="Talley"/>
    <s v="Prince William Sound Science Center"/>
    <x v="0"/>
    <x v="0"/>
    <n v="1.9"/>
  </r>
  <r>
    <n v="58"/>
    <s v="I"/>
    <n v="0.47"/>
    <n v="0.38500000000000001"/>
    <n v="0.13500000000000001"/>
    <n v="0.58950000000000002"/>
    <n v="0.27650000000000002"/>
    <n v="0.12"/>
    <n v="0.17"/>
    <n v="8"/>
    <n v="14"/>
    <s v="Jose"/>
    <s v="Vaughan"/>
    <s v="Ohio State University_x0009_"/>
    <x v="7"/>
    <x v="7"/>
    <n v="12.8"/>
  </r>
  <r>
    <n v="3927"/>
    <s v="I"/>
    <n v="0.57999999999999996"/>
    <n v="0.42"/>
    <n v="0.16"/>
    <n v="0.72799999999999998"/>
    <n v="0.27250000000000002"/>
    <n v="0.19"/>
    <n v="0.19"/>
    <n v="14"/>
    <n v="1"/>
    <s v="Jan"/>
    <s v="Odom"/>
    <s v="University of Houston"/>
    <x v="3"/>
    <x v="3"/>
    <n v="3.6"/>
  </r>
  <r>
    <n v="280"/>
    <s v="I"/>
    <n v="0.51500000000000001"/>
    <n v="0.42499999999999999"/>
    <n v="0.13500000000000001"/>
    <n v="0.71199999999999997"/>
    <n v="0.26650000000000001"/>
    <n v="0.1605"/>
    <n v="0.25"/>
    <n v="11"/>
    <n v="15"/>
    <s v="Conan"/>
    <s v="Dalton"/>
    <s v="University of Houston"/>
    <x v="2"/>
    <x v="2"/>
    <n v="12.3"/>
  </r>
  <r>
    <n v="1242"/>
    <s v="I"/>
    <n v="0.38"/>
    <n v="0.27"/>
    <n v="0.08"/>
    <n v="0.21049999999999999"/>
    <n v="8.6499999999999994E-2"/>
    <n v="4.2000000000000003E-2"/>
    <n v="7.0000000000000007E-2"/>
    <n v="8"/>
    <n v="2"/>
    <s v="Tiegan"/>
    <s v="Davie"/>
    <s v="University of California, Davis"/>
    <x v="0"/>
    <x v="0"/>
    <n v="1.9"/>
  </r>
  <r>
    <n v="2137"/>
    <s v="I"/>
    <n v="0.56000000000000005"/>
    <n v="0.42499999999999999"/>
    <n v="0.125"/>
    <n v="0.93200000000000005"/>
    <n v="0.36099999999999999"/>
    <n v="0.21299999999999999"/>
    <n v="0.33500000000000002"/>
    <n v="9"/>
    <n v="12"/>
    <s v="Rebecca"/>
    <s v="Bennett"/>
    <s v="University of Houston"/>
    <x v="0"/>
    <x v="0"/>
    <n v="1.9"/>
  </r>
  <r>
    <n v="516"/>
    <s v="I"/>
    <n v="0.27"/>
    <n v="0.19500000000000001"/>
    <n v="0.08"/>
    <n v="0.1"/>
    <n v="3.85E-2"/>
    <n v="1.95E-2"/>
    <n v="0.03"/>
    <n v="6"/>
    <n v="9"/>
    <s v="Danica"/>
    <s v="Tyler"/>
    <s v="University of Florida_x0009_"/>
    <x v="3"/>
    <x v="3"/>
    <n v="3.6"/>
  </r>
  <r>
    <n v="3841"/>
    <s v="I"/>
    <n v="0.53"/>
    <n v="0.41"/>
    <n v="0.14499999999999999"/>
    <n v="0.82550000000000001"/>
    <n v="0.375"/>
    <n v="0.20399999999999999"/>
    <n v="0.245"/>
    <n v="9"/>
    <n v="3"/>
    <s v="Inaya"/>
    <s v="Bernard"/>
    <s v="Stanford University"/>
    <x v="6"/>
    <x v="6"/>
    <n v="22.1"/>
  </r>
  <r>
    <n v="2358"/>
    <s v="I"/>
    <n v="0.58499999999999996"/>
    <n v="0.45500000000000002"/>
    <n v="0.125"/>
    <n v="1.0269999999999999"/>
    <n v="0.39100000000000001"/>
    <n v="0.21199999999999999"/>
    <n v="0.25"/>
    <n v="17"/>
    <n v="1"/>
    <s v="Jan"/>
    <s v="Odom"/>
    <s v="University of Houston"/>
    <x v="6"/>
    <x v="6"/>
    <n v="22.1"/>
  </r>
  <r>
    <n v="3851"/>
    <s v="I"/>
    <n v="0.375"/>
    <n v="0.29499999999999998"/>
    <n v="0.11"/>
    <n v="0.30049999999999999"/>
    <n v="0.1255"/>
    <n v="5.7500000000000002E-2"/>
    <n v="0.10349999999999999"/>
    <n v="7"/>
    <n v="13"/>
    <s v="Betty"/>
    <s v="Berg"/>
    <s v="University of Houston"/>
    <x v="5"/>
    <x v="5"/>
    <n v="6.1"/>
  </r>
  <r>
    <n v="707"/>
    <s v="I"/>
    <n v="0.315"/>
    <n v="0.25"/>
    <n v="0.09"/>
    <n v="0.20300000000000001"/>
    <n v="6.1499999999999999E-2"/>
    <n v="3.6999999999999998E-2"/>
    <n v="7.9500000000000001E-2"/>
    <n v="11"/>
    <n v="9"/>
    <s v="Danica"/>
    <s v="Tyler"/>
    <s v="University of Florida_x0009_"/>
    <x v="2"/>
    <x v="2"/>
    <n v="12.3"/>
  </r>
  <r>
    <n v="3140"/>
    <s v="I"/>
    <n v="0.33500000000000002"/>
    <n v="0.26"/>
    <n v="0.09"/>
    <n v="0.1835"/>
    <n v="7.8E-2"/>
    <n v="2.4E-2"/>
    <n v="6.5000000000000002E-2"/>
    <n v="11"/>
    <n v="4"/>
    <s v="Nate"/>
    <s v="Craig"/>
    <s v="NOAA Fisheries"/>
    <x v="4"/>
    <x v="4"/>
    <n v="18"/>
  </r>
  <r>
    <n v="472"/>
    <s v="I"/>
    <n v="0.51500000000000001"/>
    <n v="0.40500000000000003"/>
    <n v="0.12"/>
    <n v="0.64600000000000002"/>
    <n v="0.28949999999999998"/>
    <n v="0.14050000000000001"/>
    <n v="0.17699999999999999"/>
    <n v="10"/>
    <n v="7"/>
    <s v="Iona"/>
    <s v="Connolly"/>
    <s v="Florida Atlantic University"/>
    <x v="9"/>
    <x v="9"/>
    <n v="24.1"/>
  </r>
  <r>
    <n v="2277"/>
    <s v="I"/>
    <n v="0.62"/>
    <n v="0.48"/>
    <n v="0.23"/>
    <n v="1.0934999999999999"/>
    <n v="0.40300000000000002"/>
    <n v="0.245"/>
    <n v="0.35499999999999998"/>
    <n v="14"/>
    <n v="12"/>
    <s v="Rebecca"/>
    <s v="Bennett"/>
    <s v="University of Houston"/>
    <x v="6"/>
    <x v="6"/>
    <n v="22.1"/>
  </r>
  <r>
    <n v="1159"/>
    <s v="I"/>
    <n v="0.60499999999999998"/>
    <n v="0.47499999999999998"/>
    <n v="0.14000000000000001"/>
    <n v="1.1174999999999999"/>
    <n v="0.55500000000000005"/>
    <n v="0.25700000000000001"/>
    <n v="0.27400000000000002"/>
    <n v="9"/>
    <n v="7"/>
    <s v="Iona"/>
    <s v="Connolly"/>
    <s v="Florida Atlantic University"/>
    <x v="7"/>
    <x v="7"/>
    <n v="12.8"/>
  </r>
  <r>
    <n v="2111"/>
    <s v="I"/>
    <n v="0.32500000000000001"/>
    <n v="0.25"/>
    <n v="5.5E-2"/>
    <n v="0.16600000000000001"/>
    <n v="7.5999999999999998E-2"/>
    <n v="5.0999999999999997E-2"/>
    <n v="4.4999999999999998E-2"/>
    <n v="5"/>
    <n v="13"/>
    <s v="Betty"/>
    <s v="Berg"/>
    <s v="University of Houston"/>
    <x v="4"/>
    <x v="4"/>
    <n v="18"/>
  </r>
  <r>
    <n v="3541"/>
    <s v="I"/>
    <n v="0.44500000000000001"/>
    <n v="0.35499999999999998"/>
    <n v="9.5000000000000001E-2"/>
    <n v="0.36149999999999999"/>
    <n v="0.14149999999999999"/>
    <n v="7.85E-2"/>
    <n v="0.12"/>
    <n v="8"/>
    <n v="5"/>
    <s v="Haniya"/>
    <s v="Talley"/>
    <s v="Prince William Sound Science Center"/>
    <x v="9"/>
    <x v="9"/>
    <n v="24.1"/>
  </r>
  <r>
    <n v="3354"/>
    <s v="I"/>
    <n v="0.47499999999999998"/>
    <n v="0.36499999999999999"/>
    <n v="0.14000000000000001"/>
    <n v="0.45450000000000002"/>
    <n v="0.17100000000000001"/>
    <n v="0.11799999999999999"/>
    <n v="0.158"/>
    <n v="8"/>
    <n v="14"/>
    <s v="Jose"/>
    <s v="Vaughan"/>
    <s v="Ohio State University_x0009_"/>
    <x v="8"/>
    <x v="8"/>
    <n v="14.1"/>
  </r>
  <r>
    <n v="931"/>
    <s v="I"/>
    <n v="0.44"/>
    <n v="0.32500000000000001"/>
    <n v="0.09"/>
    <n v="0.35"/>
    <n v="0.14799999999999999"/>
    <n v="6.7000000000000004E-2"/>
    <n v="0.105"/>
    <n v="7"/>
    <n v="15"/>
    <s v="Conan"/>
    <s v="Dalton"/>
    <s v="University of Houston"/>
    <x v="1"/>
    <x v="1"/>
    <n v="2.5"/>
  </r>
  <r>
    <n v="2512"/>
    <s v="I"/>
    <n v="0.42499999999999999"/>
    <n v="0.31"/>
    <n v="0.105"/>
    <n v="0.36499999999999999"/>
    <n v="0.159"/>
    <n v="8.2500000000000004E-2"/>
    <n v="0.105"/>
    <n v="6"/>
    <n v="11"/>
    <s v="Naima"/>
    <s v="Reyes"/>
    <s v="University of Houston"/>
    <x v="4"/>
    <x v="4"/>
    <n v="18"/>
  </r>
  <r>
    <n v="225"/>
    <s v="I"/>
    <n v="0.42499999999999999"/>
    <n v="0.38"/>
    <n v="0.105"/>
    <n v="0.32650000000000001"/>
    <n v="0.1285"/>
    <n v="7.85E-2"/>
    <n v="0.1"/>
    <n v="10"/>
    <n v="15"/>
    <s v="Conan"/>
    <s v="Dalton"/>
    <s v="University of Houston"/>
    <x v="8"/>
    <x v="8"/>
    <n v="14.1"/>
  </r>
  <r>
    <n v="1541"/>
    <s v="I"/>
    <n v="0.36"/>
    <n v="0.27"/>
    <n v="9.5000000000000001E-2"/>
    <n v="0.2"/>
    <n v="7.2999999999999995E-2"/>
    <n v="5.6000000000000001E-2"/>
    <n v="6.0999999999999999E-2"/>
    <n v="8"/>
    <n v="14"/>
    <s v="Jose"/>
    <s v="Vaughan"/>
    <s v="Ohio State University_x0009_"/>
    <x v="3"/>
    <x v="3"/>
    <n v="3.6"/>
  </r>
  <r>
    <n v="3114"/>
    <s v="I"/>
    <n v="0.42499999999999999"/>
    <n v="0.32500000000000001"/>
    <n v="0.105"/>
    <n v="0.39750000000000002"/>
    <n v="0.18149999999999999"/>
    <n v="8.1000000000000003E-2"/>
    <n v="0.11749999999999999"/>
    <n v="7"/>
    <n v="12"/>
    <s v="Rebecca"/>
    <s v="Bennett"/>
    <s v="University of Houston"/>
    <x v="7"/>
    <x v="7"/>
    <n v="12.8"/>
  </r>
  <r>
    <n v="3973"/>
    <s v="I"/>
    <n v="0.41499999999999998"/>
    <n v="0.315"/>
    <n v="0.12"/>
    <n v="0.40150000000000002"/>
    <n v="0.19900000000000001"/>
    <n v="8.6999999999999994E-2"/>
    <n v="9.7000000000000003E-2"/>
    <n v="8"/>
    <n v="2"/>
    <s v="Tiegan"/>
    <s v="Davie"/>
    <s v="University of California, Davis"/>
    <x v="0"/>
    <x v="0"/>
    <n v="1.9"/>
  </r>
  <r>
    <n v="348"/>
    <s v="I"/>
    <n v="0.34"/>
    <n v="0.26"/>
    <n v="0.08"/>
    <n v="0.2"/>
    <n v="0.08"/>
    <n v="5.5500000000000001E-2"/>
    <n v="5.5E-2"/>
    <n v="6"/>
    <n v="13"/>
    <s v="Betty"/>
    <s v="Berg"/>
    <s v="University of Houston"/>
    <x v="7"/>
    <x v="7"/>
    <n v="12.8"/>
  </r>
  <r>
    <n v="602"/>
    <s v="I"/>
    <n v="0.38500000000000001"/>
    <n v="0.315"/>
    <n v="0.11"/>
    <n v="0.28599999999999998"/>
    <n v="0.1225"/>
    <n v="6.3500000000000001E-2"/>
    <n v="8.3500000000000005E-2"/>
    <n v="10"/>
    <n v="15"/>
    <s v="Conan"/>
    <s v="Dalton"/>
    <s v="University of Houston"/>
    <x v="2"/>
    <x v="2"/>
    <n v="12.3"/>
  </r>
  <r>
    <n v="1359"/>
    <s v="I"/>
    <n v="0.60499999999999998"/>
    <n v="0.48499999999999999"/>
    <n v="0.15"/>
    <n v="1.238"/>
    <n v="0.63149999999999995"/>
    <n v="0.22600000000000001"/>
    <n v="0.33"/>
    <n v="11"/>
    <n v="15"/>
    <s v="Conan"/>
    <s v="Dalton"/>
    <s v="University of Houston"/>
    <x v="1"/>
    <x v="1"/>
    <n v="2.5"/>
  </r>
  <r>
    <n v="2564"/>
    <s v="I"/>
    <n v="0.44"/>
    <n v="0.35499999999999998"/>
    <n v="0.12"/>
    <n v="0.495"/>
    <n v="0.23100000000000001"/>
    <n v="0.11"/>
    <n v="0.125"/>
    <n v="7"/>
    <n v="4"/>
    <s v="Nate"/>
    <s v="Craig"/>
    <s v="NOAA Fisheries"/>
    <x v="0"/>
    <x v="0"/>
    <n v="1.9"/>
  </r>
  <r>
    <n v="1865"/>
    <s v="I"/>
    <n v="0.52"/>
    <n v="0.39500000000000002"/>
    <n v="0.125"/>
    <n v="0.58050000000000002"/>
    <n v="0.2445"/>
    <n v="0.14599999999999999"/>
    <n v="0.16500000000000001"/>
    <n v="9"/>
    <n v="2"/>
    <s v="Tiegan"/>
    <s v="Davie"/>
    <s v="University of California, Davis"/>
    <x v="6"/>
    <x v="6"/>
    <n v="22.1"/>
  </r>
  <r>
    <n v="2167"/>
    <s v="I"/>
    <n v="0.38"/>
    <n v="0.28000000000000003"/>
    <n v="8.5000000000000006E-2"/>
    <n v="0.27350000000000002"/>
    <n v="0.115"/>
    <n v="6.0999999999999999E-2"/>
    <n v="8.5000000000000006E-2"/>
    <n v="6"/>
    <n v="6"/>
    <s v="Martin"/>
    <s v="Gaines"/>
    <s v="San Diego State University"/>
    <x v="5"/>
    <x v="5"/>
    <n v="6.1"/>
  </r>
  <r>
    <n v="3636"/>
    <s v="I"/>
    <n v="0.37"/>
    <n v="0.27500000000000002"/>
    <n v="9.5000000000000001E-2"/>
    <n v="0.25700000000000001"/>
    <n v="0.10150000000000001"/>
    <n v="5.5E-2"/>
    <n v="8.2500000000000004E-2"/>
    <n v="6"/>
    <n v="12"/>
    <s v="Rebecca"/>
    <s v="Bennett"/>
    <s v="University of Houston"/>
    <x v="4"/>
    <x v="4"/>
    <n v="18"/>
  </r>
  <r>
    <n v="3853"/>
    <s v="I"/>
    <n v="0.55000000000000004"/>
    <n v="0.41"/>
    <n v="0.15"/>
    <n v="0.78500000000000003"/>
    <n v="0.28199999999999997"/>
    <n v="0.186"/>
    <n v="0.27500000000000002"/>
    <n v="12"/>
    <n v="7"/>
    <s v="Iona"/>
    <s v="Connolly"/>
    <s v="Florida Atlantic University"/>
    <x v="4"/>
    <x v="4"/>
    <n v="18"/>
  </r>
  <r>
    <n v="1624"/>
    <s v="I"/>
    <n v="0.56499999999999995"/>
    <n v="0.44"/>
    <n v="0.15"/>
    <n v="0.86299999999999999"/>
    <n v="0.435"/>
    <n v="0.14899999999999999"/>
    <n v="0.27"/>
    <n v="9"/>
    <n v="5"/>
    <s v="Haniya"/>
    <s v="Talley"/>
    <s v="Prince William Sound Science Center"/>
    <x v="2"/>
    <x v="2"/>
    <n v="12.3"/>
  </r>
  <r>
    <n v="811"/>
    <s v="I"/>
    <n v="0.505"/>
    <n v="0.40500000000000003"/>
    <n v="0.14000000000000001"/>
    <n v="0.875"/>
    <n v="0.26650000000000001"/>
    <n v="0.17399999999999999"/>
    <n v="0.28499999999999998"/>
    <n v="12"/>
    <n v="4"/>
    <s v="Nate"/>
    <s v="Craig"/>
    <s v="NOAA Fisheries"/>
    <x v="3"/>
    <x v="3"/>
    <n v="3.6"/>
  </r>
  <r>
    <n v="1964"/>
    <s v="I"/>
    <n v="0.65500000000000003"/>
    <n v="0.52"/>
    <n v="0.17"/>
    <n v="1.1445000000000001"/>
    <n v="0.53"/>
    <n v="0.223"/>
    <n v="0.34799999999999998"/>
    <n v="9"/>
    <n v="2"/>
    <s v="Tiegan"/>
    <s v="Davie"/>
    <s v="University of California, Davis"/>
    <x v="3"/>
    <x v="3"/>
    <n v="3.6"/>
  </r>
  <r>
    <n v="3315"/>
    <s v="I"/>
    <n v="0.45"/>
    <n v="0.35499999999999998"/>
    <n v="0.115"/>
    <n v="0.4385"/>
    <n v="0.184"/>
    <n v="0.108"/>
    <n v="0.1125"/>
    <n v="11"/>
    <n v="4"/>
    <s v="Nate"/>
    <s v="Craig"/>
    <s v="NOAA Fisheries"/>
    <x v="0"/>
    <x v="0"/>
    <n v="1.9"/>
  </r>
  <r>
    <n v="1482"/>
    <s v="I"/>
    <n v="0.57999999999999996"/>
    <n v="0.435"/>
    <n v="0.14000000000000001"/>
    <n v="0.95299999999999996"/>
    <n v="0.47499999999999998"/>
    <n v="0.2165"/>
    <n v="0.20949999999999999"/>
    <n v="9"/>
    <n v="12"/>
    <s v="Rebecca"/>
    <s v="Bennett"/>
    <s v="University of Houston"/>
    <x v="7"/>
    <x v="7"/>
    <n v="12.8"/>
  </r>
  <r>
    <n v="754"/>
    <s v="I"/>
    <n v="0.57999999999999996"/>
    <n v="0.45500000000000002"/>
    <n v="0.16500000000000001"/>
    <n v="1.1365000000000001"/>
    <n v="0.36899999999999999"/>
    <n v="0.30049999999999999"/>
    <n v="0.27500000000000002"/>
    <n v="13"/>
    <n v="9"/>
    <s v="Danica"/>
    <s v="Tyler"/>
    <s v="University of Florida_x0009_"/>
    <x v="8"/>
    <x v="8"/>
    <n v="14.1"/>
  </r>
  <r>
    <n v="1066"/>
    <s v="I"/>
    <n v="0.315"/>
    <n v="0.23499999999999999"/>
    <n v="5.5E-2"/>
    <n v="0.151"/>
    <n v="6.5000000000000002E-2"/>
    <n v="2.7E-2"/>
    <n v="3.9E-2"/>
    <n v="6"/>
    <n v="6"/>
    <s v="Martin"/>
    <s v="Gaines"/>
    <s v="San Diego State University"/>
    <x v="4"/>
    <x v="4"/>
    <n v="18"/>
  </r>
  <r>
    <n v="239"/>
    <s v="I"/>
    <n v="0.11"/>
    <n v="0.09"/>
    <n v="0.03"/>
    <n v="8.0000000000000002E-3"/>
    <n v="2.5000000000000001E-3"/>
    <n v="2E-3"/>
    <n v="3.0000000000000001E-3"/>
    <n v="3"/>
    <n v="4"/>
    <s v="Nate"/>
    <s v="Craig"/>
    <s v="NOAA Fisheries"/>
    <x v="8"/>
    <x v="8"/>
    <n v="14.1"/>
  </r>
  <r>
    <n v="3932"/>
    <s v="I"/>
    <n v="0.55000000000000004"/>
    <n v="0.44"/>
    <n v="0.16500000000000001"/>
    <n v="0.86050000000000004"/>
    <n v="0.312"/>
    <n v="0.16900000000000001"/>
    <n v="0.3"/>
    <n v="17"/>
    <n v="13"/>
    <s v="Betty"/>
    <s v="Berg"/>
    <s v="University of Houston"/>
    <x v="2"/>
    <x v="2"/>
    <n v="12.3"/>
  </r>
  <r>
    <n v="900"/>
    <s v="I"/>
    <n v="0.29499999999999998"/>
    <n v="0.23"/>
    <n v="0.08"/>
    <n v="0.16250000000000001"/>
    <n v="6.5000000000000002E-2"/>
    <n v="0.05"/>
    <n v="3.85E-2"/>
    <n v="5"/>
    <n v="3"/>
    <s v="Inaya"/>
    <s v="Bernard"/>
    <s v="Stanford University"/>
    <x v="4"/>
    <x v="4"/>
    <n v="18"/>
  </r>
  <r>
    <n v="711"/>
    <s v="I"/>
    <n v="0.32500000000000001"/>
    <n v="0.25"/>
    <n v="0.08"/>
    <n v="0.17599999999999999"/>
    <n v="5.9499999999999997E-2"/>
    <n v="3.5499999999999997E-2"/>
    <n v="6.3E-2"/>
    <n v="7"/>
    <n v="4"/>
    <s v="Nate"/>
    <s v="Craig"/>
    <s v="NOAA Fisheries"/>
    <x v="2"/>
    <x v="2"/>
    <n v="12.3"/>
  </r>
  <r>
    <n v="3100"/>
    <s v="I"/>
    <n v="0.57499999999999996"/>
    <n v="0.48"/>
    <n v="0.15"/>
    <n v="0.94650000000000001"/>
    <n v="0.4355"/>
    <n v="0.26050000000000001"/>
    <n v="0.2505"/>
    <n v="9"/>
    <n v="12"/>
    <s v="Rebecca"/>
    <s v="Bennett"/>
    <s v="University of Houston"/>
    <x v="5"/>
    <x v="5"/>
    <n v="6.1"/>
  </r>
  <r>
    <n v="1918"/>
    <s v="I"/>
    <n v="0.6"/>
    <n v="0.47499999999999998"/>
    <n v="0.15"/>
    <n v="0.99"/>
    <n v="0.38600000000000001"/>
    <n v="0.2195"/>
    <n v="0.3105"/>
    <n v="10"/>
    <n v="9"/>
    <s v="Danica"/>
    <s v="Tyler"/>
    <s v="University of Florida_x0009_"/>
    <x v="7"/>
    <x v="7"/>
    <n v="12.8"/>
  </r>
  <r>
    <n v="781"/>
    <s v="I"/>
    <n v="0.56000000000000005"/>
    <n v="0.41"/>
    <n v="0.16500000000000001"/>
    <n v="0.93"/>
    <n v="0.35049999999999998"/>
    <n v="0.23699999999999999"/>
    <n v="0.3"/>
    <n v="13"/>
    <n v="12"/>
    <s v="Rebecca"/>
    <s v="Bennett"/>
    <s v="University of Houston"/>
    <x v="6"/>
    <x v="6"/>
    <n v="22.1"/>
  </r>
  <r>
    <n v="2025"/>
    <s v="I"/>
    <n v="0.54500000000000004"/>
    <n v="0.44"/>
    <n v="0.14000000000000001"/>
    <n v="0.83950000000000002"/>
    <n v="0.35599999999999998"/>
    <n v="0.1905"/>
    <n v="0.23849999999999999"/>
    <n v="11"/>
    <n v="13"/>
    <s v="Betty"/>
    <s v="Berg"/>
    <s v="University of Houston"/>
    <x v="8"/>
    <x v="8"/>
    <n v="14.1"/>
  </r>
  <r>
    <n v="1173"/>
    <s v="I"/>
    <n v="0.63"/>
    <n v="0.47"/>
    <n v="0.155"/>
    <n v="1.1325000000000001"/>
    <n v="0.58899999999999997"/>
    <n v="0.21099999999999999"/>
    <n v="0.28699999999999998"/>
    <n v="8"/>
    <n v="3"/>
    <s v="Inaya"/>
    <s v="Bernard"/>
    <s v="Stanford University"/>
    <x v="1"/>
    <x v="1"/>
    <n v="2.5"/>
  </r>
  <r>
    <n v="1109"/>
    <s v="I"/>
    <n v="0.51500000000000001"/>
    <n v="0.38500000000000001"/>
    <n v="0.125"/>
    <n v="0.61150000000000004"/>
    <n v="0.3175"/>
    <n v="0.1265"/>
    <n v="0.15"/>
    <n v="8"/>
    <n v="12"/>
    <s v="Rebecca"/>
    <s v="Bennett"/>
    <s v="University of Houston"/>
    <x v="0"/>
    <x v="0"/>
    <n v="1.9"/>
  </r>
  <r>
    <n v="655"/>
    <s v="I"/>
    <n v="0.37"/>
    <n v="0.28000000000000003"/>
    <n v="0.11"/>
    <n v="0.23050000000000001"/>
    <n v="9.4500000000000001E-2"/>
    <n v="4.65E-2"/>
    <n v="7.4999999999999997E-2"/>
    <n v="10"/>
    <n v="5"/>
    <s v="Haniya"/>
    <s v="Talley"/>
    <s v="Prince William Sound Science Center"/>
    <x v="6"/>
    <x v="6"/>
    <n v="22.1"/>
  </r>
  <r>
    <n v="1240"/>
    <s v="I"/>
    <n v="0.375"/>
    <n v="0.27"/>
    <n v="8.5000000000000006E-2"/>
    <n v="0.218"/>
    <n v="9.4500000000000001E-2"/>
    <n v="3.9E-2"/>
    <n v="7.0000000000000007E-2"/>
    <n v="7"/>
    <n v="5"/>
    <s v="Haniya"/>
    <s v="Talley"/>
    <s v="Prince William Sound Science Center"/>
    <x v="6"/>
    <x v="6"/>
    <n v="22.1"/>
  </r>
  <r>
    <n v="2479"/>
    <s v="I"/>
    <n v="0.47"/>
    <n v="0.35499999999999998"/>
    <n v="0.18"/>
    <n v="0.441"/>
    <n v="0.1525"/>
    <n v="0.11650000000000001"/>
    <n v="0.13500000000000001"/>
    <n v="8"/>
    <n v="9"/>
    <s v="Danica"/>
    <s v="Tyler"/>
    <s v="University of Florida_x0009_"/>
    <x v="9"/>
    <x v="9"/>
    <n v="24.1"/>
  </r>
  <r>
    <n v="1685"/>
    <s v="I"/>
    <n v="0.62"/>
    <n v="0.47"/>
    <n v="0.14000000000000001"/>
    <n v="0.85650000000000004"/>
    <n v="0.35949999999999999"/>
    <n v="0.16"/>
    <n v="0.29499999999999998"/>
    <n v="9"/>
    <n v="8"/>
    <s v="Kali"/>
    <s v="Metcalfe"/>
    <s v="Mote Marine Laboratory"/>
    <x v="8"/>
    <x v="8"/>
    <n v="14.1"/>
  </r>
  <r>
    <n v="675"/>
    <s v="I"/>
    <n v="0.49"/>
    <n v="0.38500000000000001"/>
    <n v="0.15"/>
    <n v="0.78649999999999998"/>
    <n v="0.24099999999999999"/>
    <n v="0.14000000000000001"/>
    <n v="0.24"/>
    <n v="23"/>
    <n v="13"/>
    <s v="Betty"/>
    <s v="Berg"/>
    <s v="University of Houston"/>
    <x v="9"/>
    <x v="9"/>
    <n v="24.1"/>
  </r>
  <r>
    <n v="156"/>
    <s v="I"/>
    <n v="0.51500000000000001"/>
    <n v="0.40500000000000003"/>
    <n v="0.13"/>
    <n v="0.72199999999999998"/>
    <n v="0.32"/>
    <n v="0.13100000000000001"/>
    <n v="0.21"/>
    <n v="10"/>
    <n v="15"/>
    <s v="Conan"/>
    <s v="Dalton"/>
    <s v="University of Houston"/>
    <x v="4"/>
    <x v="4"/>
    <n v="18"/>
  </r>
  <r>
    <n v="1153"/>
    <s v="I"/>
    <n v="0.59"/>
    <n v="0.47"/>
    <n v="0.15"/>
    <n v="0.99550000000000005"/>
    <n v="0.48099999999999998"/>
    <n v="0.23200000000000001"/>
    <n v="0.24"/>
    <n v="8"/>
    <n v="14"/>
    <s v="Jose"/>
    <s v="Vaughan"/>
    <s v="Ohio State University_x0009_"/>
    <x v="9"/>
    <x v="9"/>
    <n v="24.1"/>
  </r>
  <r>
    <n v="2519"/>
    <s v="I"/>
    <n v="0.5"/>
    <n v="0.4"/>
    <n v="0.13"/>
    <n v="0.77149999999999996"/>
    <n v="0.37"/>
    <n v="0.16"/>
    <n v="0.21099999999999999"/>
    <n v="8"/>
    <n v="10"/>
    <s v="Hazel"/>
    <s v="Villa"/>
    <s v="University of Minnesota"/>
    <x v="1"/>
    <x v="1"/>
    <n v="2.5"/>
  </r>
  <r>
    <n v="3580"/>
    <s v="I"/>
    <n v="0.6"/>
    <n v="0.48499999999999999"/>
    <n v="0.14499999999999999"/>
    <n v="0.77600000000000002"/>
    <n v="0.35449999999999998"/>
    <n v="0.1585"/>
    <n v="0.23899999999999999"/>
    <n v="9"/>
    <n v="13"/>
    <s v="Betty"/>
    <s v="Berg"/>
    <s v="University of Houston"/>
    <x v="3"/>
    <x v="3"/>
    <n v="3.6"/>
  </r>
  <r>
    <n v="2898"/>
    <s v="I"/>
    <n v="0.54500000000000004"/>
    <n v="0.43"/>
    <n v="0.15"/>
    <n v="0.74199999999999999"/>
    <n v="0.35249999999999998"/>
    <n v="0.158"/>
    <n v="0.20799999999999999"/>
    <n v="10"/>
    <n v="12"/>
    <s v="Rebecca"/>
    <s v="Bennett"/>
    <s v="University of Houston"/>
    <x v="1"/>
    <x v="1"/>
    <n v="2.5"/>
  </r>
  <r>
    <n v="1772"/>
    <s v="I"/>
    <n v="0.45500000000000002"/>
    <n v="0.32500000000000001"/>
    <n v="0.13500000000000001"/>
    <n v="0.82"/>
    <n v="0.40050000000000002"/>
    <n v="0.17150000000000001"/>
    <n v="0.21099999999999999"/>
    <n v="8"/>
    <n v="12"/>
    <s v="Rebecca"/>
    <s v="Bennett"/>
    <s v="University of Houston"/>
    <x v="3"/>
    <x v="3"/>
    <n v="3.6"/>
  </r>
  <r>
    <n v="3899"/>
    <s v="I"/>
    <n v="0.56499999999999995"/>
    <n v="0.46"/>
    <n v="0.15"/>
    <n v="0.87649999999999995"/>
    <n v="0.34549999999999997"/>
    <n v="0.1925"/>
    <n v="0.27500000000000002"/>
    <n v="10"/>
    <n v="7"/>
    <s v="Iona"/>
    <s v="Connolly"/>
    <s v="Florida Atlantic University"/>
    <x v="0"/>
    <x v="0"/>
    <n v="1.9"/>
  </r>
  <r>
    <n v="686"/>
    <s v="I"/>
    <n v="0.56499999999999995"/>
    <n v="0.44"/>
    <n v="0.185"/>
    <n v="0.90900000000000003"/>
    <n v="0.34399999999999997"/>
    <n v="0.23250000000000001"/>
    <n v="0.255"/>
    <n v="15"/>
    <n v="9"/>
    <s v="Danica"/>
    <s v="Tyler"/>
    <s v="University of Florida_x0009_"/>
    <x v="1"/>
    <x v="1"/>
    <n v="2.5"/>
  </r>
  <r>
    <n v="1316"/>
    <s v="I"/>
    <n v="0.55000000000000004"/>
    <n v="0.42499999999999999"/>
    <n v="0.13500000000000001"/>
    <n v="0.73050000000000004"/>
    <n v="0.33250000000000002"/>
    <n v="0.1545"/>
    <n v="0.215"/>
    <n v="9"/>
    <n v="4"/>
    <s v="Nate"/>
    <s v="Craig"/>
    <s v="NOAA Fisheries"/>
    <x v="2"/>
    <x v="2"/>
    <n v="12.3"/>
  </r>
  <r>
    <n v="3900"/>
    <s v="I"/>
    <n v="0.14000000000000001"/>
    <n v="0.105"/>
    <n v="3.5000000000000003E-2"/>
    <n v="1.4500000000000001E-2"/>
    <n v="5.0000000000000001E-3"/>
    <n v="3.5000000000000001E-3"/>
    <n v="5.0000000000000001E-3"/>
    <n v="4"/>
    <n v="12"/>
    <s v="Rebecca"/>
    <s v="Bennett"/>
    <s v="University of Houston"/>
    <x v="7"/>
    <x v="7"/>
    <n v="12.8"/>
  </r>
  <r>
    <n v="2550"/>
    <s v="I"/>
    <n v="0.28000000000000003"/>
    <n v="0.21"/>
    <n v="5.5E-2"/>
    <n v="0.106"/>
    <n v="4.1500000000000002E-2"/>
    <n v="2.6499999999999999E-2"/>
    <n v="3.1E-2"/>
    <n v="5"/>
    <n v="6"/>
    <s v="Martin"/>
    <s v="Gaines"/>
    <s v="San Diego State University"/>
    <x v="8"/>
    <x v="8"/>
    <n v="14.1"/>
  </r>
  <r>
    <n v="1128"/>
    <s v="I"/>
    <n v="0.56000000000000005"/>
    <n v="0.44500000000000001"/>
    <n v="0.16"/>
    <n v="0.89649999999999996"/>
    <n v="0.42"/>
    <n v="0.2175"/>
    <n v="0.2215"/>
    <n v="8"/>
    <n v="11"/>
    <s v="Naima"/>
    <s v="Reyes"/>
    <s v="University of Houston"/>
    <x v="3"/>
    <x v="3"/>
    <n v="3.6"/>
  </r>
  <r>
    <n v="1264"/>
    <s v="I"/>
    <n v="0.45500000000000002"/>
    <n v="0.36499999999999999"/>
    <n v="0.115"/>
    <n v="0.43049999999999999"/>
    <n v="0.184"/>
    <n v="0.108"/>
    <n v="0.1245"/>
    <n v="8"/>
    <n v="3"/>
    <s v="Inaya"/>
    <s v="Bernard"/>
    <s v="Stanford University"/>
    <x v="6"/>
    <x v="6"/>
    <n v="22.1"/>
  </r>
  <r>
    <n v="506"/>
    <s v="I"/>
    <n v="0.6"/>
    <n v="0.47"/>
    <n v="0.17499999999999999"/>
    <n v="1.105"/>
    <n v="0.48649999999999999"/>
    <n v="0.247"/>
    <n v="0.315"/>
    <n v="15"/>
    <n v="2"/>
    <s v="Tiegan"/>
    <s v="Davie"/>
    <s v="University of California, Davis"/>
    <x v="6"/>
    <x v="6"/>
    <n v="22.1"/>
  </r>
  <r>
    <n v="2174"/>
    <s v="I"/>
    <n v="0.59499999999999997"/>
    <n v="0.46500000000000002"/>
    <n v="0.125"/>
    <n v="0.79900000000000004"/>
    <n v="0.32450000000000001"/>
    <n v="0.2"/>
    <n v="0.23"/>
    <n v="10"/>
    <n v="8"/>
    <s v="Kali"/>
    <s v="Metcalfe"/>
    <s v="Mote Marine Laboratory"/>
    <x v="0"/>
    <x v="0"/>
    <n v="1.9"/>
  </r>
  <r>
    <n v="438"/>
    <s v="I"/>
    <n v="0.38500000000000001"/>
    <n v="0.30499999999999999"/>
    <n v="9.5000000000000001E-2"/>
    <n v="0.252"/>
    <n v="9.1499999999999998E-2"/>
    <n v="5.5E-2"/>
    <n v="0.09"/>
    <n v="14"/>
    <n v="2"/>
    <s v="Tiegan"/>
    <s v="Davie"/>
    <s v="University of California, Davis"/>
    <x v="8"/>
    <x v="8"/>
    <n v="14.1"/>
  </r>
  <r>
    <n v="3321"/>
    <s v="I"/>
    <n v="0.53500000000000003"/>
    <n v="0.42499999999999999"/>
    <n v="0.155"/>
    <n v="0.77649999999999997"/>
    <n v="0.30199999999999999"/>
    <n v="0.1565"/>
    <n v="0.25"/>
    <n v="16"/>
    <n v="7"/>
    <s v="Iona"/>
    <s v="Connolly"/>
    <s v="Florida Atlantic University"/>
    <x v="0"/>
    <x v="0"/>
    <n v="1.9"/>
  </r>
  <r>
    <n v="2005"/>
    <s v="I"/>
    <n v="0.375"/>
    <n v="0.27500000000000002"/>
    <n v="8.5000000000000006E-2"/>
    <n v="0.22"/>
    <n v="0.109"/>
    <n v="0.05"/>
    <n v="6.0499999999999998E-2"/>
    <n v="7"/>
    <n v="15"/>
    <s v="Conan"/>
    <s v="Dalton"/>
    <s v="University of Houston"/>
    <x v="0"/>
    <x v="0"/>
    <n v="1.9"/>
  </r>
  <r>
    <n v="1288"/>
    <s v="I"/>
    <n v="0.505"/>
    <n v="0.40500000000000003"/>
    <n v="0.13"/>
    <n v="0.60150000000000003"/>
    <n v="0.30149999999999999"/>
    <n v="0.11"/>
    <n v="0.18"/>
    <n v="8"/>
    <n v="4"/>
    <s v="Nate"/>
    <s v="Craig"/>
    <s v="NOAA Fisheries"/>
    <x v="7"/>
    <x v="7"/>
    <n v="12.8"/>
  </r>
  <r>
    <n v="1224"/>
    <s v="I"/>
    <n v="0.34"/>
    <n v="0.25"/>
    <n v="0.09"/>
    <n v="0.17899999999999999"/>
    <n v="7.7499999999999999E-2"/>
    <n v="3.3000000000000002E-2"/>
    <n v="5.5E-2"/>
    <n v="6"/>
    <n v="14"/>
    <s v="Jose"/>
    <s v="Vaughan"/>
    <s v="Ohio State University_x0009_"/>
    <x v="2"/>
    <x v="2"/>
    <n v="12.3"/>
  </r>
  <r>
    <n v="3868"/>
    <s v="I"/>
    <n v="0.5"/>
    <n v="0.39"/>
    <n v="0.13"/>
    <n v="0.63549999999999995"/>
    <n v="0.2505"/>
    <n v="0.16350000000000001"/>
    <n v="0.19500000000000001"/>
    <n v="15"/>
    <n v="6"/>
    <s v="Martin"/>
    <s v="Gaines"/>
    <s v="San Diego State University"/>
    <x v="9"/>
    <x v="9"/>
    <n v="24.1"/>
  </r>
  <r>
    <n v="301"/>
    <s v="I"/>
    <n v="0.40500000000000003"/>
    <n v="0.30499999999999999"/>
    <n v="9.5000000000000001E-2"/>
    <n v="0.34849999999999998"/>
    <n v="0.14549999999999999"/>
    <n v="8.9499999999999996E-2"/>
    <n v="0.1"/>
    <n v="9"/>
    <n v="1"/>
    <s v="Jan"/>
    <s v="Odom"/>
    <s v="University of Houston"/>
    <x v="7"/>
    <x v="7"/>
    <n v="12.8"/>
  </r>
  <r>
    <n v="3038"/>
    <s v="I"/>
    <n v="0.56000000000000005"/>
    <n v="0.45"/>
    <n v="0.14499999999999999"/>
    <n v="0.89400000000000002"/>
    <n v="0.38850000000000001"/>
    <n v="0.20949999999999999"/>
    <n v="0.26400000000000001"/>
    <n v="9"/>
    <n v="8"/>
    <s v="Kali"/>
    <s v="Metcalfe"/>
    <s v="Mote Marine Laboratory"/>
    <x v="5"/>
    <x v="5"/>
    <n v="6.1"/>
  </r>
  <r>
    <n v="38"/>
    <s v="I"/>
    <n v="0.45"/>
    <n v="0.35499999999999998"/>
    <n v="0.105"/>
    <n v="0.52249999999999996"/>
    <n v="0.23699999999999999"/>
    <n v="0.11650000000000001"/>
    <n v="0.14499999999999999"/>
    <n v="8"/>
    <n v="13"/>
    <s v="Betty"/>
    <s v="Berg"/>
    <s v="University of Houston"/>
    <x v="7"/>
    <x v="7"/>
    <n v="12.8"/>
  </r>
  <r>
    <n v="80"/>
    <s v="I"/>
    <n v="0.61499999999999999"/>
    <n v="0.47499999999999998"/>
    <n v="0.17"/>
    <n v="1.1025"/>
    <n v="0.46949999999999997"/>
    <n v="0.23549999999999999"/>
    <n v="0.34499999999999997"/>
    <n v="14"/>
    <n v="15"/>
    <s v="Conan"/>
    <s v="Dalton"/>
    <s v="University of Houston"/>
    <x v="2"/>
    <x v="2"/>
    <n v="12.3"/>
  </r>
  <r>
    <n v="3811"/>
    <s v="I"/>
    <n v="0.52500000000000002"/>
    <n v="0.4"/>
    <n v="0.125"/>
    <n v="0.5655"/>
    <n v="0.24349999999999999"/>
    <n v="0.11899999999999999"/>
    <n v="0.17499999999999999"/>
    <n v="8"/>
    <n v="1"/>
    <s v="Jan"/>
    <s v="Odom"/>
    <s v="University of Houston"/>
    <x v="2"/>
    <x v="2"/>
    <n v="12.3"/>
  </r>
  <r>
    <n v="1582"/>
    <s v="I"/>
    <n v="0.5"/>
    <n v="0.39"/>
    <n v="0.12"/>
    <n v="0.59550000000000003"/>
    <n v="0.2455"/>
    <n v="0.14699999999999999"/>
    <n v="0.17299999999999999"/>
    <n v="8"/>
    <n v="2"/>
    <s v="Tiegan"/>
    <s v="Davie"/>
    <s v="University of California, Davis"/>
    <x v="0"/>
    <x v="0"/>
    <n v="1.9"/>
  </r>
  <r>
    <n v="1092"/>
    <s v="I"/>
    <n v="0.45"/>
    <n v="0.33"/>
    <n v="0.11"/>
    <n v="0.36849999999999999"/>
    <n v="0.16"/>
    <n v="8.8499999999999995E-2"/>
    <n v="0.10199999999999999"/>
    <n v="6"/>
    <n v="2"/>
    <s v="Tiegan"/>
    <s v="Davie"/>
    <s v="University of California, Davis"/>
    <x v="3"/>
    <x v="3"/>
    <n v="3.6"/>
  </r>
  <r>
    <n v="4130"/>
    <s v="I"/>
    <n v="0.56999999999999995"/>
    <n v="0.42499999999999999"/>
    <n v="0.14000000000000001"/>
    <n v="0.76549999999999996"/>
    <n v="0.33100000000000002"/>
    <n v="0.14000000000000001"/>
    <n v="0.24"/>
    <n v="10"/>
    <n v="5"/>
    <s v="Haniya"/>
    <s v="Talley"/>
    <s v="Prince William Sound Science Center"/>
    <x v="3"/>
    <x v="3"/>
    <n v="3.6"/>
  </r>
  <r>
    <n v="2237"/>
    <s v="I"/>
    <n v="0.56000000000000005"/>
    <n v="0.435"/>
    <n v="0.185"/>
    <n v="1.1060000000000001"/>
    <n v="0.42199999999999999"/>
    <n v="0.24349999999999999"/>
    <n v="0.33"/>
    <n v="15"/>
    <n v="6"/>
    <s v="Martin"/>
    <s v="Gaines"/>
    <s v="San Diego State University"/>
    <x v="8"/>
    <x v="8"/>
    <n v="14.1"/>
  </r>
  <r>
    <n v="2135"/>
    <s v="I"/>
    <n v="0.44"/>
    <n v="0.33"/>
    <n v="0.115"/>
    <n v="0.40050000000000002"/>
    <n v="0.14299999999999999"/>
    <n v="0.113"/>
    <n v="0.12"/>
    <n v="8"/>
    <n v="2"/>
    <s v="Tiegan"/>
    <s v="Davie"/>
    <s v="University of California, Davis"/>
    <x v="6"/>
    <x v="6"/>
    <n v="22.1"/>
  </r>
  <r>
    <n v="3439"/>
    <s v="I"/>
    <n v="0.43"/>
    <n v="0.33500000000000002"/>
    <n v="0.105"/>
    <n v="0.378"/>
    <n v="0.188"/>
    <n v="7.85E-2"/>
    <n v="0.09"/>
    <n v="6"/>
    <n v="4"/>
    <s v="Nate"/>
    <s v="Craig"/>
    <s v="NOAA Fisheries"/>
    <x v="2"/>
    <x v="2"/>
    <n v="12.3"/>
  </r>
  <r>
    <n v="703"/>
    <s v="I"/>
    <n v="0.44500000000000001"/>
    <n v="0.33"/>
    <n v="0.105"/>
    <n v="0.45250000000000001"/>
    <n v="0.18"/>
    <n v="0.10299999999999999"/>
    <n v="0.123"/>
    <n v="9"/>
    <n v="9"/>
    <s v="Danica"/>
    <s v="Tyler"/>
    <s v="University of Florida_x0009_"/>
    <x v="1"/>
    <x v="1"/>
    <n v="2.5"/>
  </r>
  <r>
    <n v="2362"/>
    <s v="I"/>
    <n v="0.55000000000000004"/>
    <n v="0.45"/>
    <n v="0.155"/>
    <n v="0.78949999999999998"/>
    <n v="0.34300000000000003"/>
    <n v="0.159"/>
    <n v="0.25"/>
    <n v="12"/>
    <n v="4"/>
    <s v="Nate"/>
    <s v="Craig"/>
    <s v="NOAA Fisheries"/>
    <x v="2"/>
    <x v="2"/>
    <n v="12.3"/>
  </r>
  <r>
    <n v="337"/>
    <s v="I"/>
    <n v="0.6"/>
    <n v="0.47499999999999998"/>
    <n v="0.19"/>
    <n v="1.0874999999999999"/>
    <n v="0.40300000000000002"/>
    <n v="0.26550000000000001"/>
    <n v="0.32500000000000001"/>
    <n v="14"/>
    <n v="3"/>
    <s v="Inaya"/>
    <s v="Bernard"/>
    <s v="Stanford University"/>
    <x v="3"/>
    <x v="3"/>
    <n v="3.6"/>
  </r>
  <r>
    <n v="2000"/>
    <s v="M"/>
    <n v="0.35"/>
    <n v="0.25"/>
    <n v="7.0000000000000007E-2"/>
    <n v="0.1605"/>
    <n v="7.1499999999999994E-2"/>
    <n v="3.3500000000000002E-2"/>
    <n v="4.5999999999999999E-2"/>
    <n v="6"/>
    <n v="1"/>
    <s v="Jan"/>
    <s v="Odom"/>
    <s v="University of Houston"/>
    <x v="7"/>
    <x v="7"/>
    <n v="12.8"/>
  </r>
  <r>
    <n v="419"/>
    <s v="M"/>
    <n v="0.63"/>
    <n v="0.5"/>
    <n v="0.155"/>
    <n v="1.0049999999999999"/>
    <n v="0.36699999999999999"/>
    <n v="0.19900000000000001"/>
    <n v="0.36"/>
    <n v="16"/>
    <n v="1"/>
    <s v="Jan"/>
    <s v="Odom"/>
    <s v="University of Houston"/>
    <x v="9"/>
    <x v="9"/>
    <n v="24.1"/>
  </r>
  <r>
    <n v="176"/>
    <s v="M"/>
    <n v="0.36"/>
    <n v="0.26"/>
    <n v="0.09"/>
    <n v="0.17849999999999999"/>
    <n v="6.4500000000000002E-2"/>
    <n v="3.6999999999999998E-2"/>
    <n v="7.4999999999999997E-2"/>
    <n v="7"/>
    <n v="9"/>
    <s v="Danica"/>
    <s v="Tyler"/>
    <s v="University of Florida_x0009_"/>
    <x v="7"/>
    <x v="7"/>
    <n v="12.8"/>
  </r>
  <r>
    <n v="3207"/>
    <s v="M"/>
    <n v="0.29499999999999998"/>
    <n v="0.215"/>
    <n v="7.4999999999999997E-2"/>
    <n v="0.11600000000000001"/>
    <n v="3.6999999999999998E-2"/>
    <n v="2.9499999999999998E-2"/>
    <n v="0.04"/>
    <n v="8"/>
    <n v="14"/>
    <s v="Jose"/>
    <s v="Vaughan"/>
    <s v="Ohio State University_x0009_"/>
    <x v="3"/>
    <x v="3"/>
    <n v="3.6"/>
  </r>
  <r>
    <n v="2421"/>
    <s v="M"/>
    <n v="0.35"/>
    <n v="0.255"/>
    <n v="8.5000000000000006E-2"/>
    <n v="0.2145"/>
    <n v="0.1"/>
    <n v="4.65E-2"/>
    <n v="0.06"/>
    <n v="13"/>
    <n v="12"/>
    <s v="Rebecca"/>
    <s v="Bennett"/>
    <s v="University of Houston"/>
    <x v="8"/>
    <x v="8"/>
    <n v="14.1"/>
  </r>
  <r>
    <n v="29"/>
    <s v="M"/>
    <n v="0.60499999999999998"/>
    <n v="0.47499999999999998"/>
    <n v="0.18"/>
    <n v="0.9365"/>
    <n v="0.39400000000000002"/>
    <n v="0.219"/>
    <n v="0.29499999999999998"/>
    <n v="15"/>
    <n v="5"/>
    <s v="Haniya"/>
    <s v="Talley"/>
    <s v="Prince William Sound Science Center"/>
    <x v="3"/>
    <x v="3"/>
    <n v="3.6"/>
  </r>
  <r>
    <n v="474"/>
    <s v="M"/>
    <n v="0.52"/>
    <n v="0.40500000000000003"/>
    <n v="0.12"/>
    <n v="0.627"/>
    <n v="0.26450000000000001"/>
    <n v="0.14149999999999999"/>
    <n v="0.18099999999999999"/>
    <n v="11"/>
    <n v="4"/>
    <s v="Nate"/>
    <s v="Craig"/>
    <s v="NOAA Fisheries"/>
    <x v="0"/>
    <x v="0"/>
    <n v="1.9"/>
  </r>
  <r>
    <n v="1175"/>
    <s v="M"/>
    <n v="0.63500000000000001"/>
    <n v="0.495"/>
    <n v="1.4999999999999999E-2"/>
    <n v="1.1565000000000001"/>
    <n v="0.51149999999999995"/>
    <n v="0.308"/>
    <n v="0.28849999999999998"/>
    <n v="9"/>
    <n v="12"/>
    <s v="Rebecca"/>
    <s v="Bennett"/>
    <s v="University of Houston"/>
    <x v="9"/>
    <x v="9"/>
    <n v="24.1"/>
  </r>
  <r>
    <n v="490"/>
    <s v="M"/>
    <n v="0.56999999999999995"/>
    <n v="0.45500000000000002"/>
    <n v="0.16500000000000001"/>
    <n v="1.0595000000000001"/>
    <n v="0.44"/>
    <n v="0.2195"/>
    <n v="0.28499999999999998"/>
    <n v="14"/>
    <n v="8"/>
    <s v="Kali"/>
    <s v="Metcalfe"/>
    <s v="Mote Marine Laboratory"/>
    <x v="8"/>
    <x v="8"/>
    <n v="14.1"/>
  </r>
  <r>
    <n v="1442"/>
    <s v="M"/>
    <n v="0.40500000000000003"/>
    <n v="0.3"/>
    <n v="0.105"/>
    <n v="0.30399999999999999"/>
    <n v="0.14549999999999999"/>
    <n v="6.0999999999999999E-2"/>
    <n v="8.0500000000000002E-2"/>
    <n v="6"/>
    <n v="1"/>
    <s v="Jan"/>
    <s v="Odom"/>
    <s v="University of Houston"/>
    <x v="8"/>
    <x v="8"/>
    <n v="14.1"/>
  </r>
  <r>
    <n v="3610"/>
    <s v="M"/>
    <n v="0.55500000000000005"/>
    <n v="0.40500000000000003"/>
    <n v="0.12"/>
    <n v="0.91300000000000003"/>
    <n v="0.45850000000000002"/>
    <n v="0.19600000000000001"/>
    <n v="0.20649999999999999"/>
    <n v="9"/>
    <n v="15"/>
    <s v="Conan"/>
    <s v="Dalton"/>
    <s v="University of Houston"/>
    <x v="8"/>
    <x v="8"/>
    <n v="14.1"/>
  </r>
  <r>
    <n v="826"/>
    <s v="M"/>
    <n v="0.39500000000000002"/>
    <n v="0.28999999999999998"/>
    <n v="9.5000000000000001E-2"/>
    <n v="0.31900000000000001"/>
    <n v="0.13800000000000001"/>
    <n v="0.08"/>
    <n v="8.2000000000000003E-2"/>
    <n v="7"/>
    <n v="13"/>
    <s v="Betty"/>
    <s v="Berg"/>
    <s v="University of Houston"/>
    <x v="3"/>
    <x v="3"/>
    <n v="3.6"/>
  </r>
  <r>
    <n v="11"/>
    <s v="M"/>
    <n v="0.52500000000000002"/>
    <n v="0.38"/>
    <n v="0.14000000000000001"/>
    <n v="0.60650000000000004"/>
    <n v="0.19400000000000001"/>
    <n v="0.14749999999999999"/>
    <n v="0.21"/>
    <n v="14"/>
    <n v="5"/>
    <s v="Haniya"/>
    <s v="Talley"/>
    <s v="Prince William Sound Science Center"/>
    <x v="0"/>
    <x v="0"/>
    <n v="1.9"/>
  </r>
  <r>
    <n v="3525"/>
    <s v="M"/>
    <n v="0.32"/>
    <n v="0.24"/>
    <n v="8.5000000000000006E-2"/>
    <n v="0.13100000000000001"/>
    <n v="6.1499999999999999E-2"/>
    <n v="2.6499999999999999E-2"/>
    <n v="3.7999999999999999E-2"/>
    <n v="6"/>
    <n v="10"/>
    <s v="Hazel"/>
    <s v="Villa"/>
    <s v="University of Minnesota"/>
    <x v="2"/>
    <x v="2"/>
    <n v="12.3"/>
  </r>
  <r>
    <n v="690"/>
    <s v="M"/>
    <n v="0.59"/>
    <n v="0.44"/>
    <n v="0.15"/>
    <n v="0.95550000000000002"/>
    <n v="0.36599999999999999"/>
    <n v="0.24249999999999999"/>
    <n v="0.29499999999999998"/>
    <n v="11"/>
    <n v="1"/>
    <s v="Jan"/>
    <s v="Odom"/>
    <s v="University of Houston"/>
    <x v="8"/>
    <x v="8"/>
    <n v="14.1"/>
  </r>
  <r>
    <n v="1787"/>
    <s v="M"/>
    <n v="0.53500000000000003"/>
    <n v="0.38500000000000001"/>
    <n v="0.18"/>
    <n v="1.0834999999999999"/>
    <n v="0.4955"/>
    <n v="0.22950000000000001"/>
    <n v="0.30399999999999999"/>
    <n v="8"/>
    <n v="7"/>
    <s v="Iona"/>
    <s v="Connolly"/>
    <s v="Florida Atlantic University"/>
    <x v="7"/>
    <x v="7"/>
    <n v="12.8"/>
  </r>
  <r>
    <n v="87"/>
    <s v="M"/>
    <n v="0.625"/>
    <n v="0.46500000000000002"/>
    <n v="0.14000000000000001"/>
    <n v="1.1950000000000001"/>
    <n v="0.48249999999999998"/>
    <n v="0.20499999999999999"/>
    <n v="0.4"/>
    <n v="13"/>
    <n v="7"/>
    <s v="Iona"/>
    <s v="Connolly"/>
    <s v="Florida Atlantic University"/>
    <x v="3"/>
    <x v="3"/>
    <n v="3.6"/>
  </r>
  <r>
    <n v="3601"/>
    <s v="M"/>
    <n v="0.17499999999999999"/>
    <n v="0.125"/>
    <n v="0.04"/>
    <n v="2.8000000000000001E-2"/>
    <n v="9.4999999999999998E-3"/>
    <n v="8.0000000000000002E-3"/>
    <n v="8.9999999999999993E-3"/>
    <n v="4"/>
    <n v="7"/>
    <s v="Iona"/>
    <s v="Connolly"/>
    <s v="Florida Atlantic University"/>
    <x v="4"/>
    <x v="4"/>
    <n v="18"/>
  </r>
  <r>
    <n v="1279"/>
    <s v="M"/>
    <n v="0.495"/>
    <n v="0.35499999999999998"/>
    <n v="0.12"/>
    <n v="0.4965"/>
    <n v="0.214"/>
    <n v="0.1045"/>
    <n v="0.14949999999999999"/>
    <n v="8"/>
    <n v="8"/>
    <s v="Kali"/>
    <s v="Metcalfe"/>
    <s v="Mote Marine Laboratory"/>
    <x v="3"/>
    <x v="3"/>
    <n v="3.6"/>
  </r>
  <r>
    <n v="2933"/>
    <s v="M"/>
    <n v="0.61499999999999999"/>
    <n v="0.45500000000000002"/>
    <n v="0.15"/>
    <n v="0.9335"/>
    <n v="0.38200000000000001"/>
    <n v="0.247"/>
    <n v="0.26150000000000001"/>
    <n v="10"/>
    <n v="8"/>
    <s v="Kali"/>
    <s v="Metcalfe"/>
    <s v="Mote Marine Laboratory"/>
    <x v="9"/>
    <x v="9"/>
    <n v="24.1"/>
  </r>
  <r>
    <n v="2995"/>
    <s v="M"/>
    <n v="0.61"/>
    <n v="0.47499999999999998"/>
    <n v="0.17499999999999999"/>
    <n v="1.024"/>
    <n v="0.40899999999999997"/>
    <n v="0.26100000000000001"/>
    <n v="0.32200000000000001"/>
    <n v="9"/>
    <n v="8"/>
    <s v="Kali"/>
    <s v="Metcalfe"/>
    <s v="Mote Marine Laboratory"/>
    <x v="9"/>
    <x v="9"/>
    <n v="24.1"/>
  </r>
  <r>
    <n v="929"/>
    <s v="M"/>
    <n v="0.435"/>
    <n v="0.34"/>
    <n v="0.115"/>
    <n v="0.39250000000000002"/>
    <n v="0.1825"/>
    <n v="7.8E-2"/>
    <n v="0.1145"/>
    <n v="6"/>
    <n v="9"/>
    <s v="Danica"/>
    <s v="Tyler"/>
    <s v="University of Florida_x0009_"/>
    <x v="8"/>
    <x v="8"/>
    <n v="14.1"/>
  </r>
  <r>
    <n v="2690"/>
    <s v="M"/>
    <n v="0.64500000000000002"/>
    <n v="0.51500000000000001"/>
    <n v="0.16"/>
    <n v="1.1845000000000001"/>
    <n v="0.50600000000000001"/>
    <n v="0.311"/>
    <n v="0.33500000000000002"/>
    <n v="9"/>
    <n v="2"/>
    <s v="Tiegan"/>
    <s v="Davie"/>
    <s v="University of California, Davis"/>
    <x v="3"/>
    <x v="3"/>
    <n v="3.6"/>
  </r>
  <r>
    <n v="3199"/>
    <s v="M"/>
    <n v="0.45"/>
    <n v="0.33500000000000002"/>
    <n v="0.14000000000000001"/>
    <n v="0.47799999999999998"/>
    <n v="0.1865"/>
    <n v="0.115"/>
    <n v="0.16"/>
    <n v="11"/>
    <n v="13"/>
    <s v="Betty"/>
    <s v="Berg"/>
    <s v="University of Houston"/>
    <x v="0"/>
    <x v="0"/>
    <n v="1.9"/>
  </r>
  <r>
    <n v="3978"/>
    <s v="M"/>
    <n v="0.47499999999999998"/>
    <n v="0.35"/>
    <n v="0.12"/>
    <n v="0.49049999999999999"/>
    <n v="0.20349999999999999"/>
    <n v="0.13"/>
    <n v="0.13500000000000001"/>
    <n v="7"/>
    <n v="15"/>
    <s v="Conan"/>
    <s v="Dalton"/>
    <s v="University of Houston"/>
    <x v="4"/>
    <x v="4"/>
    <n v="18"/>
  </r>
  <r>
    <n v="1261"/>
    <s v="M"/>
    <n v="0.44"/>
    <n v="0.34"/>
    <n v="0.12"/>
    <n v="0.438"/>
    <n v="0.21149999999999999"/>
    <n v="8.3000000000000004E-2"/>
    <n v="0.12"/>
    <n v="9"/>
    <n v="1"/>
    <s v="Jan"/>
    <s v="Odom"/>
    <s v="University of Houston"/>
    <x v="8"/>
    <x v="8"/>
    <n v="14.1"/>
  </r>
  <r>
    <n v="1912"/>
    <s v="M"/>
    <n v="0.57999999999999996"/>
    <n v="0.44"/>
    <n v="0.15"/>
    <n v="1.0465"/>
    <n v="0.51800000000000002"/>
    <n v="0.2185"/>
    <n v="0.27950000000000003"/>
    <n v="10"/>
    <n v="13"/>
    <s v="Betty"/>
    <s v="Berg"/>
    <s v="University of Houston"/>
    <x v="6"/>
    <x v="6"/>
    <n v="22.1"/>
  </r>
  <r>
    <n v="674"/>
    <s v="M"/>
    <n v="0.49"/>
    <n v="0.39"/>
    <n v="0.15"/>
    <n v="0.57299999999999995"/>
    <n v="0.22500000000000001"/>
    <n v="0.124"/>
    <n v="0.17"/>
    <n v="21"/>
    <n v="10"/>
    <s v="Hazel"/>
    <s v="Villa"/>
    <s v="University of Minnesota"/>
    <x v="1"/>
    <x v="1"/>
    <n v="2.5"/>
  </r>
  <r>
    <n v="968"/>
    <s v="M"/>
    <n v="0.51"/>
    <n v="0.40500000000000003"/>
    <n v="0.13500000000000001"/>
    <n v="0.76900000000000002"/>
    <n v="0.36549999999999999"/>
    <n v="0.1585"/>
    <n v="0.18"/>
    <n v="7"/>
    <n v="15"/>
    <s v="Conan"/>
    <s v="Dalton"/>
    <s v="University of Houston"/>
    <x v="1"/>
    <x v="1"/>
    <n v="2.5"/>
  </r>
  <r>
    <n v="533"/>
    <s v="M"/>
    <n v="0.47"/>
    <n v="0.37"/>
    <n v="0.12"/>
    <n v="0.47049999999999997"/>
    <n v="0.1845"/>
    <n v="0.1055"/>
    <n v="0.155"/>
    <n v="12"/>
    <n v="12"/>
    <s v="Rebecca"/>
    <s v="Bennett"/>
    <s v="University of Houston"/>
    <x v="3"/>
    <x v="3"/>
    <n v="3.6"/>
  </r>
  <r>
    <n v="898"/>
    <s v="M"/>
    <n v="0.26500000000000001"/>
    <n v="0.19500000000000001"/>
    <n v="0.06"/>
    <n v="9.1999999999999998E-2"/>
    <n v="3.4500000000000003E-2"/>
    <n v="2.5000000000000001E-2"/>
    <n v="2.4500000000000001E-2"/>
    <n v="6"/>
    <n v="6"/>
    <s v="Martin"/>
    <s v="Gaines"/>
    <s v="San Diego State University"/>
    <x v="9"/>
    <x v="9"/>
    <n v="24.1"/>
  </r>
  <r>
    <n v="1884"/>
    <s v="M"/>
    <n v="0.55500000000000005"/>
    <n v="0.41"/>
    <n v="0.125"/>
    <n v="0.59899999999999998"/>
    <n v="0.23449999999999999"/>
    <n v="0.14649999999999999"/>
    <n v="0.19400000000000001"/>
    <n v="8"/>
    <n v="12"/>
    <s v="Rebecca"/>
    <s v="Bennett"/>
    <s v="University of Houston"/>
    <x v="7"/>
    <x v="7"/>
    <n v="12.8"/>
  </r>
  <r>
    <n v="687"/>
    <s v="M"/>
    <n v="0.53500000000000003"/>
    <n v="0.4"/>
    <n v="0.15"/>
    <n v="0.80449999999999999"/>
    <n v="0.33450000000000002"/>
    <n v="0.21249999999999999"/>
    <n v="0.21"/>
    <n v="13"/>
    <n v="13"/>
    <s v="Betty"/>
    <s v="Berg"/>
    <s v="University of Houston"/>
    <x v="1"/>
    <x v="1"/>
    <n v="2.5"/>
  </r>
  <r>
    <n v="83"/>
    <s v="M"/>
    <n v="0.52"/>
    <n v="0.42499999999999999"/>
    <n v="0.16500000000000001"/>
    <n v="0.98850000000000005"/>
    <n v="0.39600000000000002"/>
    <n v="0.22500000000000001"/>
    <n v="0.32"/>
    <n v="16"/>
    <n v="6"/>
    <s v="Martin"/>
    <s v="Gaines"/>
    <s v="San Diego State University"/>
    <x v="4"/>
    <x v="4"/>
    <n v="18"/>
  </r>
  <r>
    <n v="648"/>
    <s v="M"/>
    <n v="0.48"/>
    <n v="0.375"/>
    <n v="0.14499999999999999"/>
    <n v="0.77700000000000002"/>
    <n v="0.216"/>
    <n v="0.13"/>
    <n v="0.17"/>
    <n v="9"/>
    <n v="13"/>
    <s v="Betty"/>
    <s v="Berg"/>
    <s v="University of Houston"/>
    <x v="6"/>
    <x v="6"/>
    <n v="22.1"/>
  </r>
  <r>
    <n v="2287"/>
    <s v="M"/>
    <n v="0.5"/>
    <n v="0.39500000000000002"/>
    <n v="0.15"/>
    <n v="0.71450000000000002"/>
    <n v="0.32350000000000001"/>
    <n v="0.17299999999999999"/>
    <n v="0.19500000000000001"/>
    <n v="9"/>
    <n v="9"/>
    <s v="Danica"/>
    <s v="Tyler"/>
    <s v="University of Florida_x0009_"/>
    <x v="5"/>
    <x v="5"/>
    <n v="6.1"/>
  </r>
  <r>
    <n v="2489"/>
    <s v="M"/>
    <n v="0.5"/>
    <n v="0.38500000000000001"/>
    <n v="0.14499999999999999"/>
    <n v="0.76149999999999995"/>
    <n v="0.246"/>
    <n v="0.19500000000000001"/>
    <n v="0.20399999999999999"/>
    <n v="14"/>
    <n v="11"/>
    <s v="Naima"/>
    <s v="Reyes"/>
    <s v="University of Houston"/>
    <x v="9"/>
    <x v="9"/>
    <n v="24.1"/>
  </r>
  <r>
    <n v="2985"/>
    <s v="M"/>
    <n v="0.53500000000000003"/>
    <n v="0.4"/>
    <n v="0.15"/>
    <n v="1.224"/>
    <n v="0.61799999999999999"/>
    <n v="0.27500000000000002"/>
    <n v="0.28749999999999998"/>
    <n v="10"/>
    <n v="11"/>
    <s v="Naima"/>
    <s v="Reyes"/>
    <s v="University of Houston"/>
    <x v="4"/>
    <x v="4"/>
    <n v="18"/>
  </r>
  <r>
    <n v="1368"/>
    <s v="M"/>
    <n v="0.61"/>
    <n v="0.48"/>
    <n v="0.17"/>
    <n v="1.137"/>
    <n v="0.45650000000000002"/>
    <n v="0.28999999999999998"/>
    <n v="0.34699999999999998"/>
    <n v="10"/>
    <n v="6"/>
    <s v="Martin"/>
    <s v="Gaines"/>
    <s v="San Diego State University"/>
    <x v="9"/>
    <x v="9"/>
    <n v="24.1"/>
  </r>
  <r>
    <n v="1925"/>
    <s v="M"/>
    <n v="0.61"/>
    <n v="0.46"/>
    <n v="0.155"/>
    <n v="0.95699999999999996"/>
    <n v="0.42549999999999999"/>
    <n v="0.19750000000000001"/>
    <n v="0.26500000000000001"/>
    <n v="8"/>
    <n v="2"/>
    <s v="Tiegan"/>
    <s v="Davie"/>
    <s v="University of California, Davis"/>
    <x v="6"/>
    <x v="6"/>
    <n v="22.1"/>
  </r>
  <r>
    <n v="3445"/>
    <s v="M"/>
    <n v="0.49"/>
    <n v="0.4"/>
    <n v="0.115"/>
    <n v="0.56899999999999995"/>
    <n v="0.25600000000000001"/>
    <n v="0.13250000000000001"/>
    <n v="0.14499999999999999"/>
    <n v="9"/>
    <n v="10"/>
    <s v="Hazel"/>
    <s v="Villa"/>
    <s v="University of Minnesota"/>
    <x v="0"/>
    <x v="0"/>
    <n v="1.9"/>
  </r>
  <r>
    <n v="923"/>
    <s v="M"/>
    <n v="0.42"/>
    <n v="0.315"/>
    <n v="0.1"/>
    <n v="0.34350000000000003"/>
    <n v="0.157"/>
    <n v="7.9500000000000001E-2"/>
    <n v="0.09"/>
    <n v="6"/>
    <n v="3"/>
    <s v="Inaya"/>
    <s v="Bernard"/>
    <s v="Stanford University"/>
    <x v="2"/>
    <x v="2"/>
    <n v="12.3"/>
  </r>
  <r>
    <n v="3213"/>
    <s v="M"/>
    <n v="0.58499999999999996"/>
    <n v="0.46"/>
    <n v="0.17"/>
    <n v="1.0834999999999999"/>
    <n v="0.3745"/>
    <n v="0.32600000000000001"/>
    <n v="0.32500000000000001"/>
    <n v="14"/>
    <n v="3"/>
    <s v="Inaya"/>
    <s v="Bernard"/>
    <s v="Stanford University"/>
    <x v="6"/>
    <x v="6"/>
    <n v="22.1"/>
  </r>
  <r>
    <n v="2062"/>
    <s v="M"/>
    <n v="0.5"/>
    <n v="0.38"/>
    <n v="0.14000000000000001"/>
    <n v="0.63549999999999995"/>
    <n v="0.27700000000000002"/>
    <n v="0.14299999999999999"/>
    <n v="0.17849999999999999"/>
    <n v="8"/>
    <n v="13"/>
    <s v="Betty"/>
    <s v="Berg"/>
    <s v="University of Houston"/>
    <x v="6"/>
    <x v="6"/>
    <n v="22.1"/>
  </r>
  <r>
    <n v="2194"/>
    <s v="M"/>
    <n v="0.215"/>
    <n v="0.17"/>
    <n v="5.5E-2"/>
    <n v="6.0499999999999998E-2"/>
    <n v="2.0500000000000001E-2"/>
    <n v="1.4E-2"/>
    <n v="0.02"/>
    <n v="6"/>
    <n v="3"/>
    <s v="Inaya"/>
    <s v="Bernard"/>
    <s v="Stanford University"/>
    <x v="0"/>
    <x v="0"/>
    <n v="1.9"/>
  </r>
  <r>
    <n v="1860"/>
    <s v="M"/>
    <n v="0.51500000000000001"/>
    <n v="0.41499999999999998"/>
    <n v="0.13500000000000001"/>
    <n v="0.71250000000000002"/>
    <n v="0.28499999999999998"/>
    <n v="0.152"/>
    <n v="0.245"/>
    <n v="10"/>
    <n v="11"/>
    <s v="Naima"/>
    <s v="Reyes"/>
    <s v="University of Houston"/>
    <x v="7"/>
    <x v="7"/>
    <n v="12.8"/>
  </r>
  <r>
    <n v="938"/>
    <s v="M"/>
    <n v="0.45500000000000002"/>
    <n v="0.35499999999999998"/>
    <n v="0.125"/>
    <n v="0.53249999999999997"/>
    <n v="0.22500000000000001"/>
    <n v="0.126"/>
    <n v="0.14649999999999999"/>
    <n v="7"/>
    <n v="14"/>
    <s v="Jose"/>
    <s v="Vaughan"/>
    <s v="Ohio State University_x0009_"/>
    <x v="8"/>
    <x v="8"/>
    <n v="14.1"/>
  </r>
  <r>
    <n v="3172"/>
    <s v="M"/>
    <n v="0.52500000000000002"/>
    <n v="0.40500000000000003"/>
    <n v="0.16"/>
    <n v="0.79200000000000004"/>
    <n v="0.316"/>
    <n v="0.14549999999999999"/>
    <n v="0.28000000000000003"/>
    <n v="13"/>
    <n v="10"/>
    <s v="Hazel"/>
    <s v="Villa"/>
    <s v="University of Minnesota"/>
    <x v="2"/>
    <x v="2"/>
    <n v="12.3"/>
  </r>
  <r>
    <n v="2300"/>
    <s v="M"/>
    <n v="0.495"/>
    <n v="0.38500000000000001"/>
    <n v="0.125"/>
    <n v="0.58499999999999996"/>
    <n v="0.27550000000000002"/>
    <n v="0.1235"/>
    <n v="0.16500000000000001"/>
    <n v="8"/>
    <n v="3"/>
    <s v="Inaya"/>
    <s v="Bernard"/>
    <s v="Stanford University"/>
    <x v="2"/>
    <x v="2"/>
    <n v="12.3"/>
  </r>
  <r>
    <n v="203"/>
    <s v="M"/>
    <n v="0.5"/>
    <n v="0.4"/>
    <n v="0.14499999999999999"/>
    <n v="0.63"/>
    <n v="0.23400000000000001"/>
    <n v="0.14649999999999999"/>
    <n v="0.23"/>
    <n v="12"/>
    <n v="12"/>
    <s v="Rebecca"/>
    <s v="Bennett"/>
    <s v="University of Houston"/>
    <x v="4"/>
    <x v="4"/>
    <n v="18"/>
  </r>
  <r>
    <n v="3918"/>
    <s v="M"/>
    <n v="0.61499999999999999"/>
    <n v="0.46"/>
    <n v="0.19"/>
    <n v="1.0660000000000001"/>
    <n v="0.4335"/>
    <n v="0.22600000000000001"/>
    <n v="0.33"/>
    <n v="13"/>
    <n v="1"/>
    <s v="Jan"/>
    <s v="Odom"/>
    <s v="University of Houston"/>
    <x v="5"/>
    <x v="5"/>
    <n v="6.1"/>
  </r>
  <r>
    <n v="2982"/>
    <s v="M"/>
    <n v="0.505"/>
    <n v="0.38"/>
    <n v="0.13"/>
    <n v="0.69299999999999995"/>
    <n v="0.39100000000000001"/>
    <n v="0.1195"/>
    <n v="0.1515"/>
    <n v="8"/>
    <n v="13"/>
    <s v="Betty"/>
    <s v="Berg"/>
    <s v="University of Houston"/>
    <x v="4"/>
    <x v="4"/>
    <n v="18"/>
  </r>
  <r>
    <n v="4034"/>
    <s v="M"/>
    <n v="0.495"/>
    <n v="0.38500000000000001"/>
    <n v="0.125"/>
    <n v="0.51249999999999996"/>
    <n v="0.20749999999999999"/>
    <n v="0.11550000000000001"/>
    <n v="0.17199999999999999"/>
    <n v="10"/>
    <n v="7"/>
    <s v="Iona"/>
    <s v="Connolly"/>
    <s v="Florida Atlantic University"/>
    <x v="4"/>
    <x v="4"/>
    <n v="18"/>
  </r>
  <r>
    <n v="384"/>
    <s v="M"/>
    <n v="0.47"/>
    <n v="0.375"/>
    <n v="0.12"/>
    <n v="0.55649999999999999"/>
    <n v="0.22600000000000001"/>
    <n v="0.122"/>
    <n v="0.19500000000000001"/>
    <n v="12"/>
    <n v="15"/>
    <s v="Conan"/>
    <s v="Dalton"/>
    <s v="University of Houston"/>
    <x v="8"/>
    <x v="8"/>
    <n v="14.1"/>
  </r>
  <r>
    <n v="449"/>
    <s v="M"/>
    <n v="0.60499999999999998"/>
    <n v="0.5"/>
    <n v="0.17499999999999999"/>
    <n v="1.0980000000000001"/>
    <n v="0.47649999999999998"/>
    <n v="0.23200000000000001"/>
    <n v="0.375"/>
    <n v="12"/>
    <n v="10"/>
    <s v="Hazel"/>
    <s v="Villa"/>
    <s v="University of Minnesota"/>
    <x v="2"/>
    <x v="2"/>
    <n v="12.3"/>
  </r>
  <r>
    <n v="1845"/>
    <s v="M"/>
    <n v="0.435"/>
    <n v="0.34499999999999997"/>
    <n v="0.12"/>
    <n v="0.32150000000000001"/>
    <n v="0.13"/>
    <n v="5.6000000000000001E-2"/>
    <n v="0.11849999999999999"/>
    <n v="7"/>
    <n v="2"/>
    <s v="Tiegan"/>
    <s v="Davie"/>
    <s v="University of California, Davis"/>
    <x v="6"/>
    <x v="6"/>
    <n v="22.1"/>
  </r>
  <r>
    <n v="1369"/>
    <s v="M"/>
    <n v="0.61"/>
    <n v="0.46"/>
    <n v="0.16"/>
    <n v="1"/>
    <n v="0.49399999999999999"/>
    <n v="0.19700000000000001"/>
    <n v="0.27500000000000002"/>
    <n v="10"/>
    <n v="7"/>
    <s v="Iona"/>
    <s v="Connolly"/>
    <s v="Florida Atlantic University"/>
    <x v="9"/>
    <x v="9"/>
    <n v="24.1"/>
  </r>
  <r>
    <n v="369"/>
    <s v="M"/>
    <n v="0.63"/>
    <n v="0.49"/>
    <n v="0.18"/>
    <n v="1.1299999999999999"/>
    <n v="0.45800000000000002"/>
    <n v="0.27650000000000002"/>
    <n v="0.315"/>
    <n v="12"/>
    <n v="12"/>
    <s v="Rebecca"/>
    <s v="Bennett"/>
    <s v="University of Houston"/>
    <x v="9"/>
    <x v="9"/>
    <n v="24.1"/>
  </r>
  <r>
    <n v="3585"/>
    <s v="M"/>
    <n v="0.625"/>
    <n v="0.49"/>
    <n v="0.16500000000000001"/>
    <n v="1.1835"/>
    <n v="0.51700000000000002"/>
    <n v="0.23749999999999999"/>
    <n v="0.39"/>
    <n v="11"/>
    <n v="14"/>
    <s v="Jose"/>
    <s v="Vaughan"/>
    <s v="Ohio State University_x0009_"/>
    <x v="6"/>
    <x v="6"/>
    <n v="22.1"/>
  </r>
  <r>
    <n v="2760"/>
    <s v="M"/>
    <n v="0.54500000000000004"/>
    <n v="0.44"/>
    <n v="0.15"/>
    <n v="0.94750000000000001"/>
    <n v="0.36599999999999999"/>
    <n v="0.23899999999999999"/>
    <n v="0.27500000000000002"/>
    <n v="8"/>
    <n v="3"/>
    <s v="Inaya"/>
    <s v="Bernard"/>
    <s v="Stanford University"/>
    <x v="5"/>
    <x v="5"/>
    <n v="6.1"/>
  </r>
  <r>
    <n v="550"/>
    <s v="M"/>
    <n v="0.55500000000000005"/>
    <n v="0.42499999999999999"/>
    <n v="0.18"/>
    <n v="0.875"/>
    <n v="0.3695"/>
    <n v="0.20050000000000001"/>
    <n v="0.255"/>
    <n v="11"/>
    <n v="5"/>
    <s v="Haniya"/>
    <s v="Talley"/>
    <s v="Prince William Sound Science Center"/>
    <x v="2"/>
    <x v="2"/>
    <n v="12.3"/>
  </r>
  <r>
    <n v="269"/>
    <s v="M"/>
    <n v="0.47"/>
    <n v="0.39"/>
    <n v="0.15"/>
    <n v="0.63549999999999995"/>
    <n v="0.2185"/>
    <n v="8.8499999999999995E-2"/>
    <n v="0.255"/>
    <n v="9"/>
    <n v="11"/>
    <s v="Naima"/>
    <s v="Reyes"/>
    <s v="University of Houston"/>
    <x v="7"/>
    <x v="7"/>
    <n v="12.8"/>
  </r>
  <r>
    <n v="3906"/>
    <s v="M"/>
    <n v="0.38"/>
    <n v="0.27"/>
    <n v="9.5000000000000001E-2"/>
    <n v="0.219"/>
    <n v="8.3500000000000005E-2"/>
    <n v="5.1499999999999997E-2"/>
    <n v="7.0000000000000007E-2"/>
    <n v="6"/>
    <n v="8"/>
    <s v="Kali"/>
    <s v="Metcalfe"/>
    <s v="Mote Marine Laboratory"/>
    <x v="5"/>
    <x v="5"/>
    <n v="6.1"/>
  </r>
  <r>
    <n v="293"/>
    <s v="M"/>
    <n v="0.61"/>
    <n v="0.47499999999999998"/>
    <n v="0.16500000000000001"/>
    <n v="1.1160000000000001"/>
    <n v="0.42799999999999999"/>
    <n v="0.2205"/>
    <n v="0.315"/>
    <n v="15"/>
    <n v="14"/>
    <s v="Jose"/>
    <s v="Vaughan"/>
    <s v="Ohio State University_x0009_"/>
    <x v="7"/>
    <x v="7"/>
    <n v="12.8"/>
  </r>
  <r>
    <n v="429"/>
    <s v="M"/>
    <n v="0.56000000000000005"/>
    <n v="0.45500000000000002"/>
    <n v="0.125"/>
    <n v="0.94299999999999995"/>
    <n v="0.34399999999999997"/>
    <n v="0.129"/>
    <n v="0.375"/>
    <n v="21"/>
    <n v="12"/>
    <s v="Rebecca"/>
    <s v="Bennett"/>
    <s v="University of Houston"/>
    <x v="0"/>
    <x v="0"/>
    <n v="1.9"/>
  </r>
  <r>
    <n v="3997"/>
    <s v="M"/>
    <n v="0.315"/>
    <n v="0.23"/>
    <n v="0"/>
    <n v="0.13400000000000001"/>
    <n v="5.7500000000000002E-2"/>
    <n v="2.8500000000000001E-2"/>
    <n v="0.35049999999999998"/>
    <n v="6"/>
    <n v="9"/>
    <s v="Danica"/>
    <s v="Tyler"/>
    <s v="University of Florida_x0009_"/>
    <x v="7"/>
    <x v="7"/>
    <n v="12.8"/>
  </r>
  <r>
    <n v="962"/>
    <s v="M"/>
    <n v="0.505"/>
    <n v="0.39"/>
    <n v="0.13"/>
    <n v="0.67400000000000004"/>
    <n v="0.3165"/>
    <n v="0.14099999999999999"/>
    <n v="0.17849999999999999"/>
    <n v="9"/>
    <n v="6"/>
    <s v="Martin"/>
    <s v="Gaines"/>
    <s v="San Diego State University"/>
    <x v="9"/>
    <x v="9"/>
    <n v="24.1"/>
  </r>
  <r>
    <n v="3803"/>
    <s v="M"/>
    <n v="0.30499999999999999"/>
    <n v="0.23"/>
    <n v="7.4999999999999997E-2"/>
    <n v="0.14549999999999999"/>
    <n v="5.9499999999999997E-2"/>
    <n v="3.0499999999999999E-2"/>
    <n v="0.05"/>
    <n v="6"/>
    <n v="5"/>
    <s v="Haniya"/>
    <s v="Talley"/>
    <s v="Prince William Sound Science Center"/>
    <x v="6"/>
    <x v="6"/>
    <n v="22.1"/>
  </r>
  <r>
    <n v="300"/>
    <s v="M"/>
    <n v="0.37"/>
    <n v="0.28000000000000003"/>
    <n v="0.105"/>
    <n v="0.23400000000000001"/>
    <n v="9.0499999999999997E-2"/>
    <n v="5.8500000000000003E-2"/>
    <n v="7.4999999999999997E-2"/>
    <n v="9"/>
    <n v="9"/>
    <s v="Danica"/>
    <s v="Tyler"/>
    <s v="University of Florida_x0009_"/>
    <x v="0"/>
    <x v="0"/>
    <n v="1.9"/>
  </r>
  <r>
    <n v="3019"/>
    <s v="M"/>
    <n v="0.44"/>
    <n v="0.32"/>
    <n v="0.105"/>
    <n v="0.38750000000000001"/>
    <n v="0.17549999999999999"/>
    <n v="7.3999999999999996E-2"/>
    <n v="0.12"/>
    <n v="9"/>
    <n v="1"/>
    <s v="Jan"/>
    <s v="Odom"/>
    <s v="University of Houston"/>
    <x v="3"/>
    <x v="3"/>
    <n v="3.6"/>
  </r>
  <r>
    <n v="2225"/>
    <s v="M"/>
    <n v="0.55000000000000004"/>
    <n v="0.42499999999999999"/>
    <n v="0.14499999999999999"/>
    <n v="0.79700000000000004"/>
    <n v="0.29699999999999999"/>
    <n v="0.15"/>
    <n v="0.26500000000000001"/>
    <n v="9"/>
    <n v="5"/>
    <s v="Haniya"/>
    <s v="Talley"/>
    <s v="Prince William Sound Science Center"/>
    <x v="4"/>
    <x v="4"/>
    <n v="18"/>
  </r>
  <r>
    <n v="3491"/>
    <s v="M"/>
    <n v="0.53500000000000003"/>
    <n v="0.42"/>
    <n v="0.16"/>
    <n v="0.74650000000000005"/>
    <n v="0.34799999999999998"/>
    <n v="0.1515"/>
    <n v="0.2185"/>
    <n v="10"/>
    <n v="10"/>
    <s v="Hazel"/>
    <s v="Villa"/>
    <s v="University of Minnesota"/>
    <x v="4"/>
    <x v="4"/>
    <n v="18"/>
  </r>
  <r>
    <n v="1243"/>
    <s v="M"/>
    <n v="0.38500000000000001"/>
    <n v="0.28999999999999998"/>
    <n v="0.09"/>
    <n v="0.26150000000000001"/>
    <n v="0.111"/>
    <n v="5.9499999999999997E-2"/>
    <n v="7.4499999999999997E-2"/>
    <n v="9"/>
    <n v="8"/>
    <s v="Kali"/>
    <s v="Metcalfe"/>
    <s v="Mote Marine Laboratory"/>
    <x v="9"/>
    <x v="9"/>
    <n v="24.1"/>
  </r>
  <r>
    <n v="2940"/>
    <s v="M"/>
    <n v="0.625"/>
    <n v="0.49"/>
    <n v="0.14499999999999999"/>
    <n v="0.92"/>
    <n v="0.437"/>
    <n v="0.17349999999999999"/>
    <n v="0.28000000000000003"/>
    <n v="10"/>
    <n v="7"/>
    <s v="Iona"/>
    <s v="Connolly"/>
    <s v="Florida Atlantic University"/>
    <x v="6"/>
    <x v="6"/>
    <n v="22.1"/>
  </r>
  <r>
    <n v="304"/>
    <s v="M"/>
    <n v="0.36"/>
    <n v="0.27"/>
    <n v="0.1"/>
    <n v="0.217"/>
    <n v="8.8499999999999995E-2"/>
    <n v="4.9500000000000002E-2"/>
    <n v="7.1499999999999994E-2"/>
    <n v="6"/>
    <n v="7"/>
    <s v="Iona"/>
    <s v="Connolly"/>
    <s v="Florida Atlantic University"/>
    <x v="7"/>
    <x v="7"/>
    <n v="12.8"/>
  </r>
  <r>
    <n v="3316"/>
    <s v="M"/>
    <n v="0.35"/>
    <n v="0.26"/>
    <n v="0.09"/>
    <n v="0.19500000000000001"/>
    <n v="7.4499999999999997E-2"/>
    <n v="4.1000000000000002E-2"/>
    <n v="6.5500000000000003E-2"/>
    <n v="9"/>
    <n v="10"/>
    <s v="Hazel"/>
    <s v="Villa"/>
    <s v="University of Minnesota"/>
    <x v="9"/>
    <x v="9"/>
    <n v="24.1"/>
  </r>
  <r>
    <n v="3869"/>
    <s v="M"/>
    <n v="0.44"/>
    <n v="0.34"/>
    <n v="0.13500000000000001"/>
    <n v="0.39750000000000002"/>
    <n v="0.15049999999999999"/>
    <n v="9.4500000000000001E-2"/>
    <n v="0.13500000000000001"/>
    <n v="8"/>
    <n v="4"/>
    <s v="Nate"/>
    <s v="Craig"/>
    <s v="NOAA Fisheries"/>
    <x v="2"/>
    <x v="2"/>
    <n v="12.3"/>
  </r>
  <r>
    <n v="818"/>
    <s v="M"/>
    <n v="0.35"/>
    <n v="0.27"/>
    <n v="0.09"/>
    <n v="0.20549999999999999"/>
    <n v="7.4999999999999997E-2"/>
    <n v="5.7500000000000002E-2"/>
    <n v="6.2E-2"/>
    <n v="6"/>
    <n v="7"/>
    <s v="Iona"/>
    <s v="Connolly"/>
    <s v="Florida Atlantic University"/>
    <x v="6"/>
    <x v="6"/>
    <n v="22.1"/>
  </r>
  <r>
    <n v="3668"/>
    <s v="M"/>
    <n v="0.58499999999999996"/>
    <n v="0.42"/>
    <n v="0.155"/>
    <n v="1.034"/>
    <n v="0.437"/>
    <n v="0.2225"/>
    <n v="0.32"/>
    <n v="11"/>
    <n v="15"/>
    <s v="Conan"/>
    <s v="Dalton"/>
    <s v="University of Houston"/>
    <x v="3"/>
    <x v="3"/>
    <n v="3.6"/>
  </r>
  <r>
    <n v="3728"/>
    <s v="M"/>
    <n v="0.505"/>
    <n v="0.4"/>
    <n v="0.15"/>
    <n v="0.77500000000000002"/>
    <n v="0.34449999999999997"/>
    <n v="0.157"/>
    <n v="0.185"/>
    <n v="7"/>
    <n v="13"/>
    <s v="Betty"/>
    <s v="Berg"/>
    <s v="University of Houston"/>
    <x v="8"/>
    <x v="8"/>
    <n v="14.1"/>
  </r>
  <r>
    <n v="1157"/>
    <s v="M"/>
    <n v="0.6"/>
    <n v="0.46500000000000002"/>
    <n v="0.155"/>
    <n v="1.0165"/>
    <n v="0.51200000000000001"/>
    <n v="0.2465"/>
    <n v="0.22500000000000001"/>
    <n v="10"/>
    <n v="5"/>
    <s v="Haniya"/>
    <s v="Talley"/>
    <s v="Prince William Sound Science Center"/>
    <x v="1"/>
    <x v="1"/>
    <n v="2.5"/>
  </r>
  <r>
    <n v="3784"/>
    <s v="M"/>
    <n v="0.62"/>
    <n v="0.48"/>
    <n v="0.18"/>
    <n v="1.1305000000000001"/>
    <n v="0.52849999999999997"/>
    <n v="0.26550000000000001"/>
    <n v="0.30599999999999999"/>
    <n v="12"/>
    <n v="14"/>
    <s v="Jose"/>
    <s v="Vaughan"/>
    <s v="Ohio State University_x0009_"/>
    <x v="0"/>
    <x v="0"/>
    <n v="1.9"/>
  </r>
  <r>
    <n v="641"/>
    <s v="M"/>
    <n v="0.32500000000000001"/>
    <n v="0.24"/>
    <n v="8.5000000000000006E-2"/>
    <n v="0.17299999999999999"/>
    <n v="7.9500000000000001E-2"/>
    <n v="3.7999999999999999E-2"/>
    <n v="0.05"/>
    <n v="7"/>
    <n v="14"/>
    <s v="Jose"/>
    <s v="Vaughan"/>
    <s v="Ohio State University_x0009_"/>
    <x v="1"/>
    <x v="1"/>
    <n v="2.5"/>
  </r>
  <r>
    <n v="1255"/>
    <s v="M"/>
    <n v="0.42499999999999999"/>
    <n v="0.32500000000000001"/>
    <n v="0.11"/>
    <n v="0.33350000000000002"/>
    <n v="0.17299999999999999"/>
    <n v="4.4999999999999998E-2"/>
    <n v="0.1"/>
    <n v="7"/>
    <n v="14"/>
    <s v="Jose"/>
    <s v="Vaughan"/>
    <s v="Ohio State University_x0009_"/>
    <x v="2"/>
    <x v="2"/>
    <n v="12.3"/>
  </r>
  <r>
    <n v="132"/>
    <s v="M"/>
    <n v="0.44"/>
    <n v="0.35"/>
    <n v="0.125"/>
    <n v="0.40350000000000003"/>
    <n v="0.17499999999999999"/>
    <n v="6.3E-2"/>
    <n v="0.129"/>
    <n v="9"/>
    <n v="8"/>
    <s v="Kali"/>
    <s v="Metcalfe"/>
    <s v="Mote Marine Laboratory"/>
    <x v="2"/>
    <x v="2"/>
    <n v="12.3"/>
  </r>
  <r>
    <n v="1942"/>
    <s v="M"/>
    <n v="0.625"/>
    <n v="0.47"/>
    <n v="0.14499999999999999"/>
    <n v="0.98399999999999999"/>
    <n v="0.47499999999999998"/>
    <n v="0.2"/>
    <n v="0.26500000000000001"/>
    <n v="11"/>
    <n v="7"/>
    <s v="Iona"/>
    <s v="Connolly"/>
    <s v="Florida Atlantic University"/>
    <x v="8"/>
    <x v="8"/>
    <n v="14.1"/>
  </r>
  <r>
    <n v="501"/>
    <s v="M"/>
    <n v="0.57999999999999996"/>
    <n v="0.44"/>
    <n v="0.18"/>
    <n v="0.85399999999999998"/>
    <n v="0.36649999999999999"/>
    <n v="0.16350000000000001"/>
    <n v="0.245"/>
    <n v="12"/>
    <n v="3"/>
    <s v="Inaya"/>
    <s v="Bernard"/>
    <s v="Stanford University"/>
    <x v="4"/>
    <x v="4"/>
    <n v="18"/>
  </r>
  <r>
    <n v="223"/>
    <s v="M"/>
    <n v="0.49"/>
    <n v="0.375"/>
    <n v="0.15"/>
    <n v="0.57550000000000001"/>
    <n v="0.22"/>
    <n v="0.14399999999999999"/>
    <n v="0.19"/>
    <n v="9"/>
    <n v="12"/>
    <s v="Rebecca"/>
    <s v="Bennett"/>
    <s v="University of Houston"/>
    <x v="2"/>
    <x v="2"/>
    <n v="12.3"/>
  </r>
  <r>
    <n v="1152"/>
    <s v="M"/>
    <n v="0.58499999999999996"/>
    <n v="0.46500000000000002"/>
    <n v="0.16"/>
    <n v="0.95550000000000002"/>
    <n v="0.45950000000000002"/>
    <n v="0.23599999999999999"/>
    <n v="0.26500000000000001"/>
    <n v="7"/>
    <n v="5"/>
    <s v="Haniya"/>
    <s v="Talley"/>
    <s v="Prince William Sound Science Center"/>
    <x v="2"/>
    <x v="2"/>
    <n v="12.3"/>
  </r>
  <r>
    <n v="2912"/>
    <s v="M"/>
    <n v="0.57999999999999996"/>
    <n v="0.44"/>
    <n v="0.125"/>
    <n v="0.78549999999999998"/>
    <n v="0.36299999999999999"/>
    <n v="0.19550000000000001"/>
    <n v="0.19500000000000001"/>
    <n v="11"/>
    <n v="10"/>
    <s v="Hazel"/>
    <s v="Villa"/>
    <s v="University of Minnesota"/>
    <x v="0"/>
    <x v="0"/>
    <n v="1.9"/>
  </r>
  <r>
    <n v="3673"/>
    <s v="M"/>
    <n v="0.59499999999999997"/>
    <n v="0.44"/>
    <n v="0.13500000000000001"/>
    <n v="0.96399999999999997"/>
    <n v="0.50049999999999994"/>
    <n v="0.17150000000000001"/>
    <n v="0.25750000000000001"/>
    <n v="10"/>
    <n v="10"/>
    <s v="Hazel"/>
    <s v="Villa"/>
    <s v="University of Minnesota"/>
    <x v="3"/>
    <x v="3"/>
    <n v="3.6"/>
  </r>
  <r>
    <n v="1990"/>
    <s v="M"/>
    <n v="0.28000000000000003"/>
    <n v="0.21"/>
    <n v="7.4999999999999997E-2"/>
    <n v="0.1195"/>
    <n v="5.2999999999999999E-2"/>
    <n v="2.6499999999999999E-2"/>
    <n v="0.03"/>
    <n v="6"/>
    <n v="2"/>
    <s v="Tiegan"/>
    <s v="Davie"/>
    <s v="University of California, Davis"/>
    <x v="8"/>
    <x v="8"/>
    <n v="14.1"/>
  </r>
  <r>
    <n v="2342"/>
    <s v="M"/>
    <n v="0.31"/>
    <n v="0.24"/>
    <n v="0.09"/>
    <n v="0.14549999999999999"/>
    <n v="6.0499999999999998E-2"/>
    <n v="3.15E-2"/>
    <n v="4.4999999999999998E-2"/>
    <n v="7"/>
    <n v="15"/>
    <s v="Conan"/>
    <s v="Dalton"/>
    <s v="University of Houston"/>
    <x v="3"/>
    <x v="3"/>
    <n v="3.6"/>
  </r>
  <r>
    <n v="2739"/>
    <s v="M"/>
    <n v="0.45"/>
    <n v="0.32500000000000001"/>
    <n v="0.115"/>
    <n v="0.43049999999999999"/>
    <n v="0.2235"/>
    <n v="7.85E-2"/>
    <n v="0.11550000000000001"/>
    <n v="8"/>
    <n v="1"/>
    <s v="Jan"/>
    <s v="Odom"/>
    <s v="University of Houston"/>
    <x v="4"/>
    <x v="4"/>
    <n v="18"/>
  </r>
  <r>
    <n v="2347"/>
    <s v="M"/>
    <n v="0.56000000000000005"/>
    <n v="0.43"/>
    <n v="0.125"/>
    <n v="0.80249999999999999"/>
    <n v="0.313"/>
    <n v="0.17150000000000001"/>
    <n v="0.26300000000000001"/>
    <n v="13"/>
    <n v="9"/>
    <s v="Danica"/>
    <s v="Tyler"/>
    <s v="University of Florida_x0009_"/>
    <x v="9"/>
    <x v="9"/>
    <n v="24.1"/>
  </r>
  <r>
    <n v="3966"/>
    <s v="M"/>
    <n v="0.29499999999999998"/>
    <n v="0.22"/>
    <n v="7.0000000000000007E-2"/>
    <n v="0.13650000000000001"/>
    <n v="5.7500000000000002E-2"/>
    <n v="2.9499999999999998E-2"/>
    <n v="3.5000000000000003E-2"/>
    <n v="6"/>
    <n v="13"/>
    <s v="Betty"/>
    <s v="Berg"/>
    <s v="University of Houston"/>
    <x v="5"/>
    <x v="5"/>
    <n v="6.1"/>
  </r>
  <r>
    <n v="738"/>
    <s v="M"/>
    <n v="0.52"/>
    <n v="0.40500000000000003"/>
    <n v="0.125"/>
    <n v="0.64349999999999996"/>
    <n v="0.24149999999999999"/>
    <n v="0.17349999999999999"/>
    <n v="0.21"/>
    <n v="12"/>
    <n v="8"/>
    <s v="Kali"/>
    <s v="Metcalfe"/>
    <s v="Mote Marine Laboratory"/>
    <x v="8"/>
    <x v="8"/>
    <n v="14.1"/>
  </r>
  <r>
    <n v="437"/>
    <s v="M"/>
    <n v="0.36"/>
    <n v="0.27500000000000002"/>
    <n v="9.5000000000000001E-2"/>
    <n v="0.217"/>
    <n v="8.4000000000000005E-2"/>
    <n v="4.3499999999999997E-2"/>
    <n v="0.09"/>
    <n v="7"/>
    <n v="15"/>
    <s v="Conan"/>
    <s v="Dalton"/>
    <s v="University of Houston"/>
    <x v="4"/>
    <x v="4"/>
    <n v="18"/>
  </r>
  <r>
    <n v="150"/>
    <s v="M"/>
    <n v="0.17"/>
    <n v="0.13"/>
    <n v="9.5000000000000001E-2"/>
    <n v="0.03"/>
    <n v="1.2999999999999999E-2"/>
    <n v="8.0000000000000002E-3"/>
    <n v="0.01"/>
    <n v="4"/>
    <n v="7"/>
    <s v="Iona"/>
    <s v="Connolly"/>
    <s v="Florida Atlantic University"/>
    <x v="8"/>
    <x v="8"/>
    <n v="14.1"/>
  </r>
  <r>
    <n v="2660"/>
    <s v="M"/>
    <n v="0.55000000000000004"/>
    <n v="0.44"/>
    <n v="0.13500000000000001"/>
    <n v="0.84350000000000003"/>
    <n v="0.434"/>
    <n v="0.19950000000000001"/>
    <n v="0.185"/>
    <n v="8"/>
    <n v="14"/>
    <s v="Jose"/>
    <s v="Vaughan"/>
    <s v="Ohio State University_x0009_"/>
    <x v="1"/>
    <x v="1"/>
    <n v="2.5"/>
  </r>
  <r>
    <n v="2934"/>
    <s v="M"/>
    <n v="0.61499999999999999"/>
    <n v="0.495"/>
    <n v="0.16500000000000001"/>
    <n v="1.198"/>
    <n v="0.54149999999999998"/>
    <n v="0.28649999999999998"/>
    <n v="0.31850000000000001"/>
    <n v="10"/>
    <n v="6"/>
    <s v="Martin"/>
    <s v="Gaines"/>
    <s v="San Diego State University"/>
    <x v="0"/>
    <x v="0"/>
    <n v="1.9"/>
  </r>
  <r>
    <n v="1256"/>
    <s v="M"/>
    <n v="0.42499999999999999"/>
    <n v="0.32"/>
    <n v="0.1"/>
    <n v="0.30549999999999999"/>
    <n v="0.126"/>
    <n v="0.06"/>
    <n v="0.106"/>
    <n v="7"/>
    <n v="4"/>
    <s v="Nate"/>
    <s v="Craig"/>
    <s v="NOAA Fisheries"/>
    <x v="3"/>
    <x v="3"/>
    <n v="3.6"/>
  </r>
  <r>
    <n v="751"/>
    <s v="M"/>
    <n v="0.51"/>
    <n v="0.39"/>
    <n v="0.105"/>
    <n v="0.61199999999999999"/>
    <n v="0.187"/>
    <n v="0.15"/>
    <n v="0.19500000000000001"/>
    <n v="13"/>
    <n v="5"/>
    <s v="Haniya"/>
    <s v="Talley"/>
    <s v="Prince William Sound Science Center"/>
    <x v="7"/>
    <x v="7"/>
    <n v="12.8"/>
  </r>
  <r>
    <n v="2637"/>
    <s v="M"/>
    <n v="0.44"/>
    <n v="0.34"/>
    <n v="0.1"/>
    <n v="0.40699999999999997"/>
    <n v="0.20899999999999999"/>
    <n v="7.3499999999999996E-2"/>
    <n v="0.10299999999999999"/>
    <n v="7"/>
    <n v="6"/>
    <s v="Martin"/>
    <s v="Gaines"/>
    <s v="San Diego State University"/>
    <x v="0"/>
    <x v="0"/>
    <n v="1.9"/>
  </r>
  <r>
    <n v="1373"/>
    <s v="M"/>
    <n v="0.61499999999999999"/>
    <n v="0.47499999999999998"/>
    <n v="0.16500000000000001"/>
    <n v="1.0229999999999999"/>
    <n v="0.49049999999999999"/>
    <n v="0.19550000000000001"/>
    <n v="0.30349999999999999"/>
    <n v="12"/>
    <n v="7"/>
    <s v="Iona"/>
    <s v="Connolly"/>
    <s v="Florida Atlantic University"/>
    <x v="4"/>
    <x v="4"/>
    <n v="18"/>
  </r>
  <r>
    <n v="1783"/>
    <s v="M"/>
    <n v="0.52500000000000002"/>
    <n v="0.36499999999999999"/>
    <n v="0.17"/>
    <n v="0.96050000000000002"/>
    <n v="0.438"/>
    <n v="0.2225"/>
    <n v="0.27600000000000002"/>
    <n v="10"/>
    <n v="11"/>
    <s v="Naima"/>
    <s v="Reyes"/>
    <s v="University of Houston"/>
    <x v="7"/>
    <x v="7"/>
    <n v="12.8"/>
  </r>
  <r>
    <n v="2901"/>
    <s v="M"/>
    <n v="0.55000000000000004"/>
    <n v="0.435"/>
    <n v="0.14000000000000001"/>
    <n v="0.745"/>
    <n v="0.34699999999999998"/>
    <n v="0.17399999999999999"/>
    <n v="0.22650000000000001"/>
    <n v="9"/>
    <n v="7"/>
    <s v="Iona"/>
    <s v="Connolly"/>
    <s v="Florida Atlantic University"/>
    <x v="7"/>
    <x v="7"/>
    <n v="12.8"/>
  </r>
  <r>
    <n v="256"/>
    <s v="M"/>
    <n v="0.56000000000000005"/>
    <n v="0.45"/>
    <n v="0.17499999999999999"/>
    <n v="1.0109999999999999"/>
    <n v="0.38350000000000001"/>
    <n v="0.20649999999999999"/>
    <n v="0.37"/>
    <n v="15"/>
    <n v="12"/>
    <s v="Rebecca"/>
    <s v="Bennett"/>
    <s v="University of Houston"/>
    <x v="1"/>
    <x v="1"/>
    <n v="2.5"/>
  </r>
  <r>
    <n v="608"/>
    <s v="M"/>
    <n v="0.48499999999999999"/>
    <n v="0.37"/>
    <n v="0.13"/>
    <n v="0.45800000000000002"/>
    <n v="0.18099999999999999"/>
    <n v="0.113"/>
    <n v="0.13600000000000001"/>
    <n v="10"/>
    <n v="13"/>
    <s v="Betty"/>
    <s v="Berg"/>
    <s v="University of Houston"/>
    <x v="1"/>
    <x v="1"/>
    <n v="2.5"/>
  </r>
  <r>
    <n v="3413"/>
    <s v="M"/>
    <n v="0.48"/>
    <n v="0.35499999999999998"/>
    <n v="0.115"/>
    <n v="0.57850000000000001"/>
    <n v="0.25"/>
    <n v="0.106"/>
    <n v="0.184"/>
    <n v="8"/>
    <n v="9"/>
    <s v="Danica"/>
    <s v="Tyler"/>
    <s v="University of Florida_x0009_"/>
    <x v="8"/>
    <x v="8"/>
    <n v="14.1"/>
  </r>
  <r>
    <n v="2143"/>
    <s v="M"/>
    <n v="0.46"/>
    <n v="0.35"/>
    <n v="0.11"/>
    <n v="0.39450000000000002"/>
    <n v="0.16850000000000001"/>
    <n v="8.6499999999999994E-2"/>
    <n v="0.125"/>
    <n v="9"/>
    <n v="2"/>
    <s v="Tiegan"/>
    <s v="Davie"/>
    <s v="University of California, Davis"/>
    <x v="8"/>
    <x v="8"/>
    <n v="14.1"/>
  </r>
  <r>
    <n v="1310"/>
    <s v="M"/>
    <n v="0.54500000000000004"/>
    <n v="0.43"/>
    <n v="0.15"/>
    <n v="0.72850000000000004"/>
    <n v="0.30199999999999999"/>
    <n v="0.13150000000000001"/>
    <n v="0.2545"/>
    <n v="10"/>
    <n v="8"/>
    <s v="Kali"/>
    <s v="Metcalfe"/>
    <s v="Mote Marine Laboratory"/>
    <x v="5"/>
    <x v="5"/>
    <n v="6.1"/>
  </r>
  <r>
    <n v="682"/>
    <s v="M"/>
    <n v="0.48499999999999999"/>
    <n v="0.37"/>
    <n v="0.14000000000000001"/>
    <n v="0.57250000000000001"/>
    <n v="0.20399999999999999"/>
    <n v="0.14149999999999999"/>
    <n v="0.17499999999999999"/>
    <n v="10"/>
    <n v="12"/>
    <s v="Rebecca"/>
    <s v="Bennett"/>
    <s v="University of Houston"/>
    <x v="4"/>
    <x v="4"/>
    <n v="18"/>
  </r>
  <r>
    <n v="746"/>
    <s v="M"/>
    <n v="0.53"/>
    <n v="0.42"/>
    <n v="0.13"/>
    <n v="1.0009999999999999"/>
    <n v="0.34"/>
    <n v="0.22600000000000001"/>
    <n v="0.26500000000000001"/>
    <n v="17"/>
    <n v="2"/>
    <s v="Tiegan"/>
    <s v="Davie"/>
    <s v="University of California, Davis"/>
    <x v="3"/>
    <x v="3"/>
    <n v="3.6"/>
  </r>
  <r>
    <n v="3526"/>
    <s v="M"/>
    <n v="0.33"/>
    <n v="0.23"/>
    <n v="8.5000000000000006E-2"/>
    <n v="0.16950000000000001"/>
    <n v="7.9000000000000001E-2"/>
    <n v="2.5999999999999999E-2"/>
    <n v="5.0500000000000003E-2"/>
    <n v="6"/>
    <n v="5"/>
    <s v="Haniya"/>
    <s v="Talley"/>
    <s v="Prince William Sound Science Center"/>
    <x v="3"/>
    <x v="3"/>
    <n v="3.6"/>
  </r>
  <r>
    <n v="615"/>
    <s v="M"/>
    <n v="0.45"/>
    <n v="0.35"/>
    <n v="0.14499999999999999"/>
    <n v="0.52500000000000002"/>
    <n v="0.20849999999999999"/>
    <n v="0.1"/>
    <n v="0.16550000000000001"/>
    <n v="15"/>
    <n v="8"/>
    <s v="Kali"/>
    <s v="Metcalfe"/>
    <s v="Mote Marine Laboratory"/>
    <x v="7"/>
    <x v="7"/>
    <n v="12.8"/>
  </r>
  <r>
    <n v="848"/>
    <s v="M"/>
    <n v="0.54500000000000004"/>
    <n v="0.44"/>
    <n v="0.13500000000000001"/>
    <n v="0.91849999999999998"/>
    <n v="0.42899999999999999"/>
    <n v="0.20150000000000001"/>
    <n v="0.23749999999999999"/>
    <n v="10"/>
    <n v="13"/>
    <s v="Betty"/>
    <s v="Berg"/>
    <s v="University of Houston"/>
    <x v="5"/>
    <x v="5"/>
    <n v="6.1"/>
  </r>
  <r>
    <n v="3112"/>
    <s v="M"/>
    <n v="0.41"/>
    <n v="0.32500000000000001"/>
    <n v="0.105"/>
    <n v="0.36099999999999999"/>
    <n v="0.1605"/>
    <n v="6.6500000000000004E-2"/>
    <n v="0.10299999999999999"/>
    <n v="8"/>
    <n v="11"/>
    <s v="Naima"/>
    <s v="Reyes"/>
    <s v="University of Houston"/>
    <x v="7"/>
    <x v="7"/>
    <n v="12.8"/>
  </r>
  <r>
    <n v="483"/>
    <s v="M"/>
    <n v="0.56999999999999995"/>
    <n v="0.46500000000000002"/>
    <n v="0.125"/>
    <n v="0.84899999999999998"/>
    <n v="0.3785"/>
    <n v="0.17649999999999999"/>
    <n v="0.24"/>
    <n v="15"/>
    <n v="15"/>
    <s v="Conan"/>
    <s v="Dalton"/>
    <s v="University of Houston"/>
    <x v="1"/>
    <x v="1"/>
    <n v="2.5"/>
  </r>
  <r>
    <n v="3155"/>
    <s v="M"/>
    <n v="0.54"/>
    <n v="0.41"/>
    <n v="0.13"/>
    <n v="0.56000000000000005"/>
    <n v="0.23749999999999999"/>
    <n v="0.1065"/>
    <n v="0.17499999999999999"/>
    <n v="7"/>
    <n v="11"/>
    <s v="Naima"/>
    <s v="Reyes"/>
    <s v="University of Houston"/>
    <x v="9"/>
    <x v="9"/>
    <n v="24.1"/>
  </r>
  <r>
    <n v="3736"/>
    <s v="M"/>
    <n v="0.61499999999999999"/>
    <n v="0.47499999999999998"/>
    <n v="0.15"/>
    <n v="1.0375000000000001"/>
    <n v="0.47599999999999998"/>
    <n v="0.23250000000000001"/>
    <n v="0.28299999999999997"/>
    <n v="9"/>
    <n v="13"/>
    <s v="Betty"/>
    <s v="Berg"/>
    <s v="University of Houston"/>
    <x v="7"/>
    <x v="7"/>
    <n v="12.8"/>
  </r>
  <r>
    <n v="1169"/>
    <s v="M"/>
    <n v="0.62"/>
    <n v="0.45"/>
    <n v="0.2"/>
    <n v="0.85799999999999998"/>
    <n v="0.42849999999999999"/>
    <n v="0.1525"/>
    <n v="0.24049999999999999"/>
    <n v="8"/>
    <n v="12"/>
    <s v="Rebecca"/>
    <s v="Bennett"/>
    <s v="University of Houston"/>
    <x v="8"/>
    <x v="8"/>
    <n v="14.1"/>
  </r>
  <r>
    <n v="385"/>
    <s v="M"/>
    <n v="0.54500000000000004"/>
    <n v="0.42499999999999999"/>
    <n v="0.13500000000000001"/>
    <n v="0.84450000000000003"/>
    <n v="0.373"/>
    <n v="0.21"/>
    <n v="0.23499999999999999"/>
    <n v="10"/>
    <n v="11"/>
    <s v="Naima"/>
    <s v="Reyes"/>
    <s v="University of Houston"/>
    <x v="8"/>
    <x v="8"/>
    <n v="14.1"/>
  </r>
  <r>
    <n v="3188"/>
    <s v="M"/>
    <n v="0.51"/>
    <n v="0.38500000000000001"/>
    <n v="0.13500000000000001"/>
    <n v="0.63200000000000001"/>
    <n v="0.28199999999999997"/>
    <n v="0.14499999999999999"/>
    <n v="0.17"/>
    <n v="8"/>
    <n v="15"/>
    <s v="Conan"/>
    <s v="Dalton"/>
    <s v="University of Houston"/>
    <x v="9"/>
    <x v="9"/>
    <n v="24.1"/>
  </r>
  <r>
    <n v="118"/>
    <s v="M"/>
    <n v="0.44"/>
    <n v="0.34"/>
    <n v="0.105"/>
    <n v="0.40200000000000002"/>
    <n v="0.1305"/>
    <n v="9.5500000000000002E-2"/>
    <n v="0.16500000000000001"/>
    <n v="10"/>
    <n v="4"/>
    <s v="Nate"/>
    <s v="Craig"/>
    <s v="NOAA Fisheries"/>
    <x v="6"/>
    <x v="6"/>
    <n v="22.1"/>
  </r>
  <r>
    <n v="2449"/>
    <s v="M"/>
    <n v="0.35"/>
    <n v="0.26500000000000001"/>
    <n v="0.09"/>
    <n v="0.1855"/>
    <n v="7.4499999999999997E-2"/>
    <n v="4.1500000000000002E-2"/>
    <n v="0.06"/>
    <n v="7"/>
    <n v="14"/>
    <s v="Jose"/>
    <s v="Vaughan"/>
    <s v="Ohio State University_x0009_"/>
    <x v="3"/>
    <x v="3"/>
    <n v="3.6"/>
  </r>
  <r>
    <n v="4155"/>
    <s v="M"/>
    <n v="0.435"/>
    <n v="0.33"/>
    <n v="9.5000000000000001E-2"/>
    <n v="0.39300000000000002"/>
    <n v="0.219"/>
    <n v="7.4999999999999997E-2"/>
    <n v="8.8499999999999995E-2"/>
    <n v="6"/>
    <n v="1"/>
    <s v="Jan"/>
    <s v="Odom"/>
    <s v="University of Houston"/>
    <x v="4"/>
    <x v="4"/>
    <n v="18"/>
  </r>
  <r>
    <n v="2116"/>
    <s v="M"/>
    <n v="0.18"/>
    <n v="0.13"/>
    <n v="4.4999999999999998E-2"/>
    <n v="2.75E-2"/>
    <n v="1.2500000000000001E-2"/>
    <n v="0.01"/>
    <n v="8.9999999999999993E-3"/>
    <n v="3"/>
    <n v="5"/>
    <s v="Haniya"/>
    <s v="Talley"/>
    <s v="Prince William Sound Science Center"/>
    <x v="8"/>
    <x v="8"/>
    <n v="14.1"/>
  </r>
  <r>
    <n v="3569"/>
    <s v="M"/>
    <n v="0.57999999999999996"/>
    <n v="0.46"/>
    <n v="0.14000000000000001"/>
    <n v="0.82950000000000002"/>
    <n v="0.39150000000000001"/>
    <n v="0.16500000000000001"/>
    <n v="0.23799999999999999"/>
    <n v="10"/>
    <n v="8"/>
    <s v="Kali"/>
    <s v="Metcalfe"/>
    <s v="Mote Marine Laboratory"/>
    <x v="0"/>
    <x v="0"/>
    <n v="1.9"/>
  </r>
  <r>
    <n v="3949"/>
    <s v="M"/>
    <n v="0.53"/>
    <n v="0.4"/>
    <n v="0.16500000000000001"/>
    <n v="0.77200000000000002"/>
    <n v="0.28549999999999998"/>
    <n v="0.19750000000000001"/>
    <n v="0.23"/>
    <n v="12"/>
    <n v="12"/>
    <s v="Rebecca"/>
    <s v="Bennett"/>
    <s v="University of Houston"/>
    <x v="0"/>
    <x v="0"/>
    <n v="1.9"/>
  </r>
  <r>
    <n v="3282"/>
    <s v="M"/>
    <n v="0.55000000000000004"/>
    <n v="0.45"/>
    <n v="0.17"/>
    <n v="0.81"/>
    <n v="0.317"/>
    <n v="0.157"/>
    <n v="0.22"/>
    <n v="11"/>
    <n v="5"/>
    <s v="Haniya"/>
    <s v="Talley"/>
    <s v="Prince William Sound Science Center"/>
    <x v="8"/>
    <x v="8"/>
    <n v="14.1"/>
  </r>
  <r>
    <n v="1225"/>
    <s v="M"/>
    <n v="0.34499999999999997"/>
    <n v="0.255"/>
    <n v="9.5000000000000001E-2"/>
    <n v="0.19450000000000001"/>
    <n v="9.2499999999999999E-2"/>
    <n v="3.6999999999999998E-2"/>
    <n v="5.5E-2"/>
    <n v="6"/>
    <n v="7"/>
    <s v="Iona"/>
    <s v="Connolly"/>
    <s v="Florida Atlantic University"/>
    <x v="9"/>
    <x v="9"/>
    <n v="24.1"/>
  </r>
  <r>
    <n v="2010"/>
    <s v="M"/>
    <n v="0.43"/>
    <n v="0.32"/>
    <n v="0.11"/>
    <n v="0.36749999999999999"/>
    <n v="0.16750000000000001"/>
    <n v="0.10199999999999999"/>
    <n v="0.105"/>
    <n v="8"/>
    <n v="1"/>
    <s v="Jan"/>
    <s v="Odom"/>
    <s v="University of Houston"/>
    <x v="1"/>
    <x v="1"/>
    <n v="2.5"/>
  </r>
  <r>
    <n v="1654"/>
    <s v="M"/>
    <n v="0.59499999999999997"/>
    <n v="0.45"/>
    <n v="0.14499999999999999"/>
    <n v="0.95899999999999996"/>
    <n v="0.46300000000000002"/>
    <n v="0.20649999999999999"/>
    <n v="0.2535"/>
    <n v="10"/>
    <n v="3"/>
    <s v="Inaya"/>
    <s v="Bernard"/>
    <s v="Stanford University"/>
    <x v="7"/>
    <x v="7"/>
    <n v="12.8"/>
  </r>
  <r>
    <n v="4"/>
    <s v="M"/>
    <n v="0.44"/>
    <n v="0.36499999999999999"/>
    <n v="0.125"/>
    <n v="0.51600000000000001"/>
    <n v="0.2155"/>
    <n v="0.114"/>
    <n v="0.155"/>
    <n v="10"/>
    <n v="8"/>
    <s v="Kali"/>
    <s v="Metcalfe"/>
    <s v="Mote Marine Laboratory"/>
    <x v="8"/>
    <x v="8"/>
    <n v="14.1"/>
  </r>
  <r>
    <n v="1589"/>
    <s v="M"/>
    <n v="0.51500000000000001"/>
    <n v="0.39"/>
    <n v="0.125"/>
    <n v="0.57050000000000001"/>
    <n v="0.23799999999999999"/>
    <n v="0.1265"/>
    <n v="0.185"/>
    <n v="8"/>
    <n v="6"/>
    <s v="Martin"/>
    <s v="Gaines"/>
    <s v="San Diego State University"/>
    <x v="3"/>
    <x v="3"/>
    <n v="3.6"/>
  </r>
  <r>
    <n v="477"/>
    <s v="M"/>
    <n v="0.46500000000000002"/>
    <n v="0.35"/>
    <n v="0.115"/>
    <n v="0.42099999999999999"/>
    <n v="0.1565"/>
    <n v="9.0999999999999998E-2"/>
    <n v="0.13450000000000001"/>
    <n v="9"/>
    <n v="1"/>
    <s v="Jan"/>
    <s v="Odom"/>
    <s v="University of Houston"/>
    <x v="0"/>
    <x v="0"/>
    <n v="1.9"/>
  </r>
  <r>
    <n v="663"/>
    <s v="M"/>
    <n v="0.41499999999999998"/>
    <n v="0.34"/>
    <n v="0.13"/>
    <n v="0.36749999999999999"/>
    <n v="0.14599999999999999"/>
    <n v="8.8499999999999995E-2"/>
    <n v="0.12"/>
    <n v="10"/>
    <n v="1"/>
    <s v="Jan"/>
    <s v="Odom"/>
    <s v="University of Houston"/>
    <x v="7"/>
    <x v="7"/>
    <n v="12.8"/>
  </r>
  <r>
    <n v="1488"/>
    <s v="M"/>
    <n v="0.6"/>
    <n v="0.45500000000000002"/>
    <n v="0.155"/>
    <n v="0.94499999999999995"/>
    <n v="0.4365"/>
    <n v="0.20849999999999999"/>
    <n v="0.25"/>
    <n v="8"/>
    <n v="7"/>
    <s v="Iona"/>
    <s v="Connolly"/>
    <s v="Florida Atlantic University"/>
    <x v="1"/>
    <x v="1"/>
    <n v="2.5"/>
  </r>
  <r>
    <n v="2611"/>
    <s v="M"/>
    <n v="0.63"/>
    <n v="0.495"/>
    <n v="0.14499999999999999"/>
    <n v="1.147"/>
    <n v="0.54549999999999998"/>
    <n v="0.26600000000000001"/>
    <n v="0.28849999999999998"/>
    <n v="9"/>
    <n v="12"/>
    <s v="Rebecca"/>
    <s v="Bennett"/>
    <s v="University of Houston"/>
    <x v="0"/>
    <x v="0"/>
    <n v="1.9"/>
  </r>
  <r>
    <n v="1064"/>
    <s v="M"/>
    <n v="0.28499999999999998"/>
    <n v="0.22"/>
    <n v="6.5000000000000002E-2"/>
    <n v="9.6000000000000002E-2"/>
    <n v="4.0500000000000001E-2"/>
    <n v="2.0500000000000001E-2"/>
    <n v="0.03"/>
    <n v="5"/>
    <n v="5"/>
    <s v="Haniya"/>
    <s v="Talley"/>
    <s v="Prince William Sound Science Center"/>
    <x v="8"/>
    <x v="8"/>
    <n v="14.1"/>
  </r>
  <r>
    <n v="3771"/>
    <s v="M"/>
    <n v="0.56499999999999995"/>
    <n v="0.43"/>
    <n v="0.125"/>
    <n v="0.65449999999999997"/>
    <n v="0.28149999999999997"/>
    <n v="0.13900000000000001"/>
    <n v="0.21"/>
    <n v="9"/>
    <n v="3"/>
    <s v="Inaya"/>
    <s v="Bernard"/>
    <s v="Stanford University"/>
    <x v="5"/>
    <x v="5"/>
    <n v="6.1"/>
  </r>
  <r>
    <n v="2240"/>
    <s v="M"/>
    <n v="0.46"/>
    <n v="0.36"/>
    <n v="0.115"/>
    <n v="0.47549999999999998"/>
    <n v="0.21049999999999999"/>
    <n v="0.105"/>
    <n v="0.16"/>
    <n v="8"/>
    <n v="2"/>
    <s v="Tiegan"/>
    <s v="Davie"/>
    <s v="University of California, Davis"/>
    <x v="9"/>
    <x v="9"/>
    <n v="24.1"/>
  </r>
  <r>
    <n v="1690"/>
    <s v="M"/>
    <n v="0.625"/>
    <n v="0.47499999999999998"/>
    <n v="0.16"/>
    <n v="1.0845"/>
    <n v="0.50049999999999994"/>
    <n v="0.23549999999999999"/>
    <n v="0.3105"/>
    <n v="10"/>
    <n v="8"/>
    <s v="Kali"/>
    <s v="Metcalfe"/>
    <s v="Mote Marine Laboratory"/>
    <x v="2"/>
    <x v="2"/>
    <n v="12.3"/>
  </r>
  <r>
    <n v="3545"/>
    <s v="M"/>
    <n v="0.47499999999999998"/>
    <n v="0.35499999999999998"/>
    <n v="0.125"/>
    <n v="0.48649999999999999"/>
    <n v="0.2155"/>
    <n v="0.1105"/>
    <n v="0.14199999999999999"/>
    <n v="9"/>
    <n v="1"/>
    <s v="Jan"/>
    <s v="Odom"/>
    <s v="University of Houston"/>
    <x v="4"/>
    <x v="4"/>
    <n v="18"/>
  </r>
  <r>
    <n v="3311"/>
    <s v="M"/>
    <n v="0.62"/>
    <n v="0.48499999999999999"/>
    <n v="0.16500000000000001"/>
    <n v="1.1659999999999999"/>
    <n v="0.48299999999999998"/>
    <n v="0.23799999999999999"/>
    <n v="0.35499999999999998"/>
    <n v="13"/>
    <n v="11"/>
    <s v="Naima"/>
    <s v="Reyes"/>
    <s v="University of Houston"/>
    <x v="6"/>
    <x v="6"/>
    <n v="22.1"/>
  </r>
  <r>
    <n v="901"/>
    <s v="M"/>
    <n v="0.3"/>
    <n v="0.23499999999999999"/>
    <n v="0.08"/>
    <n v="0.13100000000000001"/>
    <n v="0.05"/>
    <n v="2.6499999999999999E-2"/>
    <n v="4.2999999999999997E-2"/>
    <n v="4"/>
    <n v="4"/>
    <s v="Nate"/>
    <s v="Craig"/>
    <s v="NOAA Fisheries"/>
    <x v="2"/>
    <x v="2"/>
    <n v="12.3"/>
  </r>
  <r>
    <n v="249"/>
    <s v="M"/>
    <n v="0.30499999999999999"/>
    <n v="0.245"/>
    <n v="7.4999999999999997E-2"/>
    <n v="0.156"/>
    <n v="6.7500000000000004E-2"/>
    <n v="3.7999999999999999E-2"/>
    <n v="4.4999999999999998E-2"/>
    <n v="7"/>
    <n v="7"/>
    <s v="Iona"/>
    <s v="Connolly"/>
    <s v="Florida Atlantic University"/>
    <x v="0"/>
    <x v="0"/>
    <n v="1.9"/>
  </r>
  <r>
    <n v="135"/>
    <s v="M"/>
    <n v="0.26500000000000001"/>
    <n v="0.2"/>
    <n v="6.5000000000000002E-2"/>
    <n v="9.7500000000000003E-2"/>
    <n v="0.04"/>
    <n v="2.0500000000000001E-2"/>
    <n v="2.8000000000000001E-2"/>
    <n v="7"/>
    <n v="12"/>
    <s v="Rebecca"/>
    <s v="Bennett"/>
    <s v="University of Houston"/>
    <x v="0"/>
    <x v="0"/>
    <n v="1.9"/>
  </r>
  <r>
    <n v="3746"/>
    <s v="M"/>
    <n v="0.28499999999999998"/>
    <n v="0.20499999999999999"/>
    <n v="7.0000000000000007E-2"/>
    <n v="0.106"/>
    <n v="3.9E-2"/>
    <n v="2.8500000000000001E-2"/>
    <n v="3.4000000000000002E-2"/>
    <n v="5"/>
    <n v="11"/>
    <s v="Naima"/>
    <s v="Reyes"/>
    <s v="University of Houston"/>
    <x v="9"/>
    <x v="9"/>
    <n v="24.1"/>
  </r>
  <r>
    <n v="4026"/>
    <s v="M"/>
    <n v="0.33"/>
    <n v="0.26"/>
    <n v="8.5000000000000006E-2"/>
    <n v="0.19650000000000001"/>
    <n v="9.1499999999999998E-2"/>
    <n v="4.2500000000000003E-2"/>
    <n v="5.5E-2"/>
    <n v="7"/>
    <n v="3"/>
    <s v="Inaya"/>
    <s v="Bernard"/>
    <s v="Stanford University"/>
    <x v="6"/>
    <x v="6"/>
    <n v="22.1"/>
  </r>
  <r>
    <n v="3501"/>
    <s v="M"/>
    <n v="0.6"/>
    <n v="0.41"/>
    <n v="0.14499999999999999"/>
    <n v="0.93899999999999995"/>
    <n v="0.44750000000000001"/>
    <n v="0.19600000000000001"/>
    <n v="0.26800000000000002"/>
    <n v="8"/>
    <n v="10"/>
    <s v="Hazel"/>
    <s v="Villa"/>
    <s v="University of Minnesota"/>
    <x v="2"/>
    <x v="2"/>
    <n v="12.3"/>
  </r>
  <r>
    <n v="3974"/>
    <s v="M"/>
    <n v="0.41499999999999998"/>
    <n v="0.33"/>
    <n v="0.1"/>
    <n v="0.39050000000000001"/>
    <n v="0.1925"/>
    <n v="7.5499999999999998E-2"/>
    <n v="0.10249999999999999"/>
    <n v="7"/>
    <n v="6"/>
    <s v="Martin"/>
    <s v="Gaines"/>
    <s v="San Diego State University"/>
    <x v="2"/>
    <x v="2"/>
    <n v="12.3"/>
  </r>
  <r>
    <n v="175"/>
    <s v="M"/>
    <n v="0.23499999999999999"/>
    <n v="0.16"/>
    <n v="0.04"/>
    <n v="4.8000000000000001E-2"/>
    <n v="1.8499999999999999E-2"/>
    <n v="1.7999999999999999E-2"/>
    <n v="1.4999999999999999E-2"/>
    <n v="5"/>
    <n v="11"/>
    <s v="Naima"/>
    <s v="Reyes"/>
    <s v="University of Houston"/>
    <x v="9"/>
    <x v="9"/>
    <n v="24.1"/>
  </r>
  <r>
    <n v="522"/>
    <s v="M"/>
    <n v="0.36"/>
    <n v="0.27"/>
    <n v="0.09"/>
    <n v="0.1885"/>
    <n v="8.4500000000000006E-2"/>
    <n v="3.85E-2"/>
    <n v="5.5E-2"/>
    <n v="5"/>
    <n v="13"/>
    <s v="Betty"/>
    <s v="Berg"/>
    <s v="University of Houston"/>
    <x v="7"/>
    <x v="7"/>
    <n v="12.8"/>
  </r>
  <r>
    <n v="3297"/>
    <s v="M"/>
    <n v="0.60499999999999998"/>
    <n v="0.48499999999999999"/>
    <n v="0.16500000000000001"/>
    <n v="1.0734999999999999"/>
    <n v="0.437"/>
    <n v="0.20499999999999999"/>
    <n v="0.33"/>
    <n v="14"/>
    <n v="15"/>
    <s v="Conan"/>
    <s v="Dalton"/>
    <s v="University of Houston"/>
    <x v="6"/>
    <x v="6"/>
    <n v="22.1"/>
  </r>
  <r>
    <n v="3412"/>
    <s v="M"/>
    <n v="0.43"/>
    <n v="0.32"/>
    <n v="0.1"/>
    <n v="0.38550000000000001"/>
    <n v="0.192"/>
    <n v="7.4499999999999997E-2"/>
    <n v="0.1"/>
    <n v="7"/>
    <n v="11"/>
    <s v="Naima"/>
    <s v="Reyes"/>
    <s v="University of Houston"/>
    <x v="8"/>
    <x v="8"/>
    <n v="14.1"/>
  </r>
  <r>
    <n v="858"/>
    <s v="M"/>
    <n v="0.59"/>
    <n v="0.46"/>
    <n v="0.13"/>
    <n v="1.1020000000000001"/>
    <n v="0.45500000000000002"/>
    <n v="0.20549999999999999"/>
    <n v="0.33"/>
    <n v="12"/>
    <n v="14"/>
    <s v="Jose"/>
    <s v="Vaughan"/>
    <s v="Ohio State University_x0009_"/>
    <x v="3"/>
    <x v="3"/>
    <n v="3.6"/>
  </r>
  <r>
    <n v="1245"/>
    <s v="M"/>
    <n v="0.38500000000000001"/>
    <n v="0.3"/>
    <n v="9.5000000000000001E-2"/>
    <n v="0.30199999999999999"/>
    <n v="0.152"/>
    <n v="6.1499999999999999E-2"/>
    <n v="7.3499999999999996E-2"/>
    <n v="7"/>
    <n v="13"/>
    <s v="Betty"/>
    <s v="Berg"/>
    <s v="University of Houston"/>
    <x v="1"/>
    <x v="1"/>
    <n v="2.5"/>
  </r>
  <r>
    <n v="1677"/>
    <s v="M"/>
    <n v="0.61499999999999999"/>
    <n v="0.47"/>
    <n v="0.16"/>
    <n v="1.0175000000000001"/>
    <n v="0.47299999999999998"/>
    <n v="0.23949999999999999"/>
    <n v="0.28000000000000003"/>
    <n v="10"/>
    <n v="6"/>
    <s v="Martin"/>
    <s v="Gaines"/>
    <s v="San Diego State University"/>
    <x v="4"/>
    <x v="4"/>
    <n v="18"/>
  </r>
  <r>
    <n v="2365"/>
    <s v="M"/>
    <n v="0.6"/>
    <n v="0.47"/>
    <n v="0.2"/>
    <n v="1.0309999999999999"/>
    <n v="0.39200000000000002"/>
    <n v="0.20349999999999999"/>
    <n v="0.28999999999999998"/>
    <n v="15"/>
    <n v="14"/>
    <s v="Jose"/>
    <s v="Vaughan"/>
    <s v="Ohio State University_x0009_"/>
    <x v="9"/>
    <x v="9"/>
    <n v="24.1"/>
  </r>
  <r>
    <n v="148"/>
    <s v="M"/>
    <n v="0.28000000000000003"/>
    <n v="0.20499999999999999"/>
    <n v="0.08"/>
    <n v="0.127"/>
    <n v="5.1999999999999998E-2"/>
    <n v="3.9E-2"/>
    <n v="4.2000000000000003E-2"/>
    <n v="9"/>
    <n v="7"/>
    <s v="Iona"/>
    <s v="Connolly"/>
    <s v="Florida Atlantic University"/>
    <x v="7"/>
    <x v="7"/>
    <n v="12.8"/>
  </r>
  <r>
    <n v="3737"/>
    <s v="M"/>
    <n v="0.625"/>
    <n v="0.48"/>
    <n v="0.18"/>
    <n v="1.2230000000000001"/>
    <n v="0.56499999999999995"/>
    <n v="0.29749999999999999"/>
    <n v="0.33750000000000002"/>
    <n v="10"/>
    <n v="11"/>
    <s v="Naima"/>
    <s v="Reyes"/>
    <s v="University of Houston"/>
    <x v="8"/>
    <x v="8"/>
    <n v="14.1"/>
  </r>
  <r>
    <n v="250"/>
    <s v="M"/>
    <n v="0.34499999999999997"/>
    <n v="0.27"/>
    <n v="0.11"/>
    <n v="0.2135"/>
    <n v="8.2000000000000003E-2"/>
    <n v="5.45E-2"/>
    <n v="7.0000000000000007E-2"/>
    <n v="7"/>
    <n v="14"/>
    <s v="Jose"/>
    <s v="Vaughan"/>
    <s v="Ohio State University_x0009_"/>
    <x v="1"/>
    <x v="1"/>
    <n v="2.5"/>
  </r>
  <r>
    <n v="4069"/>
    <s v="M"/>
    <n v="0.41"/>
    <n v="0.30499999999999999"/>
    <n v="0.1"/>
    <n v="0.26450000000000001"/>
    <n v="0.1"/>
    <n v="6.5500000000000003E-2"/>
    <n v="8.5000000000000006E-2"/>
    <n v="7"/>
    <n v="1"/>
    <s v="Jan"/>
    <s v="Odom"/>
    <s v="University of Houston"/>
    <x v="1"/>
    <x v="1"/>
    <n v="2.5"/>
  </r>
  <r>
    <n v="3061"/>
    <s v="M"/>
    <n v="0.63"/>
    <n v="0.51500000000000001"/>
    <n v="0.17499999999999999"/>
    <n v="1.1955"/>
    <n v="0.49199999999999999"/>
    <n v="0.247"/>
    <n v="0.37"/>
    <n v="11"/>
    <n v="12"/>
    <s v="Rebecca"/>
    <s v="Bennett"/>
    <s v="University of Houston"/>
    <x v="0"/>
    <x v="0"/>
    <n v="1.9"/>
  </r>
  <r>
    <n v="3867"/>
    <s v="M"/>
    <n v="0.52500000000000002"/>
    <n v="0.43"/>
    <n v="0.16500000000000001"/>
    <n v="0.71699999999999997"/>
    <n v="0.28899999999999998"/>
    <n v="0.17449999999999999"/>
    <n v="0.19500000000000001"/>
    <n v="10"/>
    <n v="2"/>
    <s v="Tiegan"/>
    <s v="Davie"/>
    <s v="University of California, Davis"/>
    <x v="6"/>
    <x v="6"/>
    <n v="22.1"/>
  </r>
  <r>
    <n v="1490"/>
    <s v="M"/>
    <n v="0.60499999999999998"/>
    <n v="0.48499999999999999"/>
    <n v="0.16500000000000001"/>
    <n v="0.95150000000000001"/>
    <n v="0.45350000000000001"/>
    <n v="0.193"/>
    <n v="0.27650000000000002"/>
    <n v="11"/>
    <n v="9"/>
    <s v="Danica"/>
    <s v="Tyler"/>
    <s v="University of Florida_x0009_"/>
    <x v="2"/>
    <x v="2"/>
    <n v="12.3"/>
  </r>
  <r>
    <n v="1004"/>
    <s v="M"/>
    <n v="0.59499999999999997"/>
    <n v="0.45500000000000002"/>
    <n v="0.15"/>
    <n v="1.044"/>
    <n v="0.51800000000000002"/>
    <n v="0.2205"/>
    <n v="0.27"/>
    <n v="9"/>
    <n v="14"/>
    <s v="Jose"/>
    <s v="Vaughan"/>
    <s v="Ohio State University_x0009_"/>
    <x v="8"/>
    <x v="8"/>
    <n v="14.1"/>
  </r>
  <r>
    <n v="2685"/>
    <s v="M"/>
    <n v="0.625"/>
    <n v="0.49"/>
    <n v="0.155"/>
    <n v="1.115"/>
    <n v="0.48399999999999999"/>
    <n v="0.27700000000000002"/>
    <n v="0.3095"/>
    <n v="9"/>
    <n v="8"/>
    <s v="Kali"/>
    <s v="Metcalfe"/>
    <s v="Mote Marine Laboratory"/>
    <x v="0"/>
    <x v="0"/>
    <n v="1.9"/>
  </r>
  <r>
    <n v="2079"/>
    <s v="M"/>
    <n v="0.61"/>
    <n v="0.48"/>
    <n v="0.16500000000000001"/>
    <n v="1.2435"/>
    <n v="0.5575"/>
    <n v="0.26750000000000002"/>
    <n v="0.372"/>
    <n v="8"/>
    <n v="7"/>
    <s v="Iona"/>
    <s v="Connolly"/>
    <s v="Florida Atlantic University"/>
    <x v="5"/>
    <x v="5"/>
    <n v="6.1"/>
  </r>
  <r>
    <n v="3729"/>
    <s v="M"/>
    <n v="0.51"/>
    <n v="0.375"/>
    <n v="0.15"/>
    <n v="0.84150000000000003"/>
    <n v="0.38450000000000001"/>
    <n v="0.156"/>
    <n v="0.255"/>
    <n v="10"/>
    <n v="4"/>
    <s v="Nate"/>
    <s v="Craig"/>
    <s v="NOAA Fisheries"/>
    <x v="9"/>
    <x v="9"/>
    <n v="24.1"/>
  </r>
  <r>
    <n v="1649"/>
    <s v="M"/>
    <n v="0.59"/>
    <n v="0.49"/>
    <n v="0.16500000000000001"/>
    <n v="1.2070000000000001"/>
    <n v="0.55900000000000005"/>
    <n v="0.23499999999999999"/>
    <n v="0.309"/>
    <n v="10"/>
    <n v="13"/>
    <s v="Betty"/>
    <s v="Berg"/>
    <s v="University of Houston"/>
    <x v="8"/>
    <x v="8"/>
    <n v="14.1"/>
  </r>
  <r>
    <n v="265"/>
    <s v="M"/>
    <n v="0.27"/>
    <n v="0.2"/>
    <n v="0.08"/>
    <n v="0.1205"/>
    <n v="4.65E-2"/>
    <n v="2.8000000000000001E-2"/>
    <n v="0.04"/>
    <n v="6"/>
    <n v="8"/>
    <s v="Kali"/>
    <s v="Metcalfe"/>
    <s v="Mote Marine Laboratory"/>
    <x v="5"/>
    <x v="5"/>
    <n v="6.1"/>
  </r>
  <r>
    <n v="1840"/>
    <s v="M"/>
    <n v="0.42"/>
    <n v="0.32500000000000001"/>
    <n v="0.1"/>
    <n v="0.36799999999999999"/>
    <n v="0.16750000000000001"/>
    <n v="6.25E-2"/>
    <n v="0.1135"/>
    <n v="11"/>
    <n v="13"/>
    <s v="Betty"/>
    <s v="Berg"/>
    <s v="University of Houston"/>
    <x v="5"/>
    <x v="5"/>
    <n v="6.1"/>
  </r>
  <r>
    <n v="3299"/>
    <s v="M"/>
    <n v="0.62"/>
    <n v="0.5"/>
    <n v="0.17499999999999999"/>
    <n v="1.1459999999999999"/>
    <n v="0.47699999999999998"/>
    <n v="0.23"/>
    <n v="0.39"/>
    <n v="13"/>
    <n v="1"/>
    <s v="Jan"/>
    <s v="Odom"/>
    <s v="University of Houston"/>
    <x v="7"/>
    <x v="7"/>
    <n v="12.8"/>
  </r>
  <r>
    <n v="3898"/>
    <s v="M"/>
    <n v="0.61499999999999999"/>
    <n v="0.5"/>
    <n v="0.16500000000000001"/>
    <n v="1.1765000000000001"/>
    <n v="0.48799999999999999"/>
    <n v="0.24399999999999999"/>
    <n v="0.34499999999999997"/>
    <n v="17"/>
    <n v="1"/>
    <s v="Jan"/>
    <s v="Odom"/>
    <s v="University of Houston"/>
    <x v="6"/>
    <x v="6"/>
    <n v="22.1"/>
  </r>
  <r>
    <n v="3164"/>
    <s v="M"/>
    <n v="0.55000000000000004"/>
    <n v="0.44"/>
    <n v="0.125"/>
    <n v="0.76500000000000001"/>
    <n v="0.33"/>
    <n v="0.21249999999999999"/>
    <n v="0.245"/>
    <n v="9"/>
    <n v="1"/>
    <s v="Jan"/>
    <s v="Odom"/>
    <s v="University of Houston"/>
    <x v="6"/>
    <x v="6"/>
    <n v="22.1"/>
  </r>
  <r>
    <n v="2294"/>
    <s v="M"/>
    <n v="0.34"/>
    <n v="0.26"/>
    <n v="0.09"/>
    <n v="0.17899999999999999"/>
    <n v="7.5999999999999998E-2"/>
    <n v="5.2499999999999998E-2"/>
    <n v="5.5E-2"/>
    <n v="6"/>
    <n v="11"/>
    <s v="Naima"/>
    <s v="Reyes"/>
    <s v="University of Houston"/>
    <x v="0"/>
    <x v="0"/>
    <n v="1.9"/>
  </r>
  <r>
    <n v="3322"/>
    <s v="M"/>
    <n v="0.49"/>
    <n v="0.38500000000000001"/>
    <n v="0.14000000000000001"/>
    <n v="0.54249999999999998"/>
    <n v="0.19800000000000001"/>
    <n v="0.127"/>
    <n v="0.17499999999999999"/>
    <n v="11"/>
    <n v="2"/>
    <s v="Tiegan"/>
    <s v="Davie"/>
    <s v="University of California, Davis"/>
    <x v="6"/>
    <x v="6"/>
    <n v="22.1"/>
  </r>
  <r>
    <n v="3330"/>
    <s v="M"/>
    <n v="0.54500000000000004"/>
    <n v="0.435"/>
    <n v="0.15"/>
    <n v="0.6855"/>
    <n v="0.29049999999999998"/>
    <n v="0.14499999999999999"/>
    <n v="0.22500000000000001"/>
    <n v="10"/>
    <n v="12"/>
    <s v="Rebecca"/>
    <s v="Bennett"/>
    <s v="University of Houston"/>
    <x v="5"/>
    <x v="5"/>
    <n v="6.1"/>
  </r>
  <r>
    <n v="177"/>
    <s v="M"/>
    <n v="0.315"/>
    <n v="0.21"/>
    <n v="0.06"/>
    <n v="0.125"/>
    <n v="0.06"/>
    <n v="3.7499999999999999E-2"/>
    <n v="3.5000000000000003E-2"/>
    <n v="5"/>
    <n v="8"/>
    <s v="Kali"/>
    <s v="Metcalfe"/>
    <s v="Mote Marine Laboratory"/>
    <x v="2"/>
    <x v="2"/>
    <n v="12.3"/>
  </r>
  <r>
    <n v="1770"/>
    <s v="M"/>
    <n v="0.44500000000000001"/>
    <n v="0.32"/>
    <n v="0.12"/>
    <n v="0.41399999999999998"/>
    <n v="0.19900000000000001"/>
    <n v="0.09"/>
    <n v="0.11700000000000001"/>
    <n v="7"/>
    <n v="10"/>
    <s v="Hazel"/>
    <s v="Villa"/>
    <s v="University of Minnesota"/>
    <x v="8"/>
    <x v="8"/>
    <n v="14.1"/>
  </r>
  <r>
    <n v="982"/>
    <s v="M"/>
    <n v="0.55000000000000004"/>
    <n v="0.43"/>
    <n v="0.14000000000000001"/>
    <n v="0.8105"/>
    <n v="0.36799999999999999"/>
    <n v="0.161"/>
    <n v="0.27500000000000002"/>
    <n v="9"/>
    <n v="13"/>
    <s v="Betty"/>
    <s v="Berg"/>
    <s v="University of Houston"/>
    <x v="4"/>
    <x v="4"/>
    <n v="18"/>
  </r>
  <r>
    <n v="4062"/>
    <s v="M"/>
    <n v="0.62"/>
    <n v="0.46500000000000002"/>
    <n v="0.14499999999999999"/>
    <n v="0.91100000000000003"/>
    <n v="0.375"/>
    <n v="0.2145"/>
    <n v="0.27800000000000002"/>
    <n v="10"/>
    <n v="9"/>
    <s v="Danica"/>
    <s v="Tyler"/>
    <s v="University of Florida_x0009_"/>
    <x v="1"/>
    <x v="1"/>
    <n v="2.5"/>
  </r>
  <r>
    <n v="3907"/>
    <s v="M"/>
    <n v="0.245"/>
    <n v="0.18"/>
    <n v="6.5000000000000002E-2"/>
    <n v="6.3500000000000001E-2"/>
    <n v="2.4500000000000001E-2"/>
    <n v="1.35E-2"/>
    <n v="0.02"/>
    <n v="4"/>
    <n v="12"/>
    <s v="Rebecca"/>
    <s v="Bennett"/>
    <s v="University of Houston"/>
    <x v="3"/>
    <x v="3"/>
    <n v="3.6"/>
  </r>
  <r>
    <n v="2331"/>
    <s v="M"/>
    <n v="0.42"/>
    <n v="0.34499999999999997"/>
    <n v="0.115"/>
    <n v="0.34350000000000003"/>
    <n v="0.1515"/>
    <n v="7.9500000000000001E-2"/>
    <n v="0.115"/>
    <n v="9"/>
    <n v="3"/>
    <s v="Inaya"/>
    <s v="Bernard"/>
    <s v="Stanford University"/>
    <x v="4"/>
    <x v="4"/>
    <n v="18"/>
  </r>
  <r>
    <n v="1562"/>
    <s v="M"/>
    <n v="0.45"/>
    <n v="0.34"/>
    <n v="9.5000000000000001E-2"/>
    <n v="0.32450000000000001"/>
    <n v="0.13850000000000001"/>
    <n v="6.4000000000000001E-2"/>
    <n v="0.105"/>
    <n v="8"/>
    <n v="7"/>
    <s v="Iona"/>
    <s v="Connolly"/>
    <s v="Florida Atlantic University"/>
    <x v="1"/>
    <x v="1"/>
    <n v="2.5"/>
  </r>
  <r>
    <n v="65"/>
    <s v="M"/>
    <n v="0.52"/>
    <n v="0.4"/>
    <n v="0.12"/>
    <n v="0.57999999999999996"/>
    <n v="0.23400000000000001"/>
    <n v="0.13150000000000001"/>
    <n v="0.185"/>
    <n v="8"/>
    <n v="4"/>
    <s v="Nate"/>
    <s v="Craig"/>
    <s v="NOAA Fisheries"/>
    <x v="1"/>
    <x v="1"/>
    <n v="2.5"/>
  </r>
  <r>
    <n v="942"/>
    <s v="M"/>
    <n v="0.46500000000000002"/>
    <n v="0.36499999999999999"/>
    <n v="0.115"/>
    <n v="0.46700000000000003"/>
    <n v="0.23150000000000001"/>
    <n v="9.2499999999999999E-2"/>
    <n v="0.113"/>
    <n v="7"/>
    <n v="8"/>
    <s v="Kali"/>
    <s v="Metcalfe"/>
    <s v="Mote Marine Laboratory"/>
    <x v="7"/>
    <x v="7"/>
    <n v="12.8"/>
  </r>
  <r>
    <n v="3524"/>
    <s v="M"/>
    <n v="0.26"/>
    <n v="0.20499999999999999"/>
    <n v="7.0000000000000007E-2"/>
    <n v="9.7000000000000003E-2"/>
    <n v="4.1500000000000002E-2"/>
    <n v="1.9E-2"/>
    <n v="3.0499999999999999E-2"/>
    <n v="4"/>
    <n v="6"/>
    <s v="Martin"/>
    <s v="Gaines"/>
    <s v="San Diego State University"/>
    <x v="9"/>
    <x v="9"/>
    <n v="24.1"/>
  </r>
  <r>
    <n v="3265"/>
    <s v="M"/>
    <n v="0.65500000000000003"/>
    <n v="0.5"/>
    <n v="0.14000000000000001"/>
    <n v="1.1705000000000001"/>
    <n v="0.54049999999999998"/>
    <n v="0.3175"/>
    <n v="0.28499999999999998"/>
    <n v="12"/>
    <n v="7"/>
    <s v="Iona"/>
    <s v="Connolly"/>
    <s v="Florida Atlantic University"/>
    <x v="1"/>
    <x v="1"/>
    <n v="2.5"/>
  </r>
  <r>
    <n v="3332"/>
    <s v="M"/>
    <n v="0.51"/>
    <n v="0.34"/>
    <n v="0.18"/>
    <n v="0.70050000000000001"/>
    <n v="0.312"/>
    <n v="0.16500000000000001"/>
    <n v="0.2"/>
    <n v="11"/>
    <n v="5"/>
    <s v="Haniya"/>
    <s v="Talley"/>
    <s v="Prince William Sound Science Center"/>
    <x v="6"/>
    <x v="6"/>
    <n v="22.1"/>
  </r>
  <r>
    <n v="27"/>
    <s v="M"/>
    <n v="0.57999999999999996"/>
    <n v="0.45"/>
    <n v="0.185"/>
    <n v="0.99550000000000005"/>
    <n v="0.39450000000000002"/>
    <n v="0.27200000000000002"/>
    <n v="0.28499999999999998"/>
    <n v="11"/>
    <n v="14"/>
    <s v="Jose"/>
    <s v="Vaughan"/>
    <s v="Ohio State University_x0009_"/>
    <x v="2"/>
    <x v="2"/>
    <n v="12.3"/>
  </r>
  <r>
    <n v="1660"/>
    <s v="M"/>
    <n v="0.6"/>
    <n v="0.48"/>
    <n v="0.18"/>
    <n v="1.0645"/>
    <n v="0.44950000000000001"/>
    <n v="0.2455"/>
    <n v="0.32500000000000001"/>
    <n v="10"/>
    <n v="6"/>
    <s v="Martin"/>
    <s v="Gaines"/>
    <s v="San Diego State University"/>
    <x v="5"/>
    <x v="5"/>
    <n v="6.1"/>
  </r>
  <r>
    <n v="3506"/>
    <s v="M"/>
    <n v="0.625"/>
    <n v="0.495"/>
    <n v="0.18"/>
    <n v="1.0814999999999999"/>
    <n v="0.47149999999999997"/>
    <n v="0.254"/>
    <n v="0.3135"/>
    <n v="10"/>
    <n v="1"/>
    <s v="Jan"/>
    <s v="Odom"/>
    <s v="University of Houston"/>
    <x v="5"/>
    <x v="5"/>
    <n v="6.1"/>
  </r>
  <r>
    <n v="2402"/>
    <s v="M"/>
    <n v="0.58499999999999996"/>
    <n v="0.41499999999999998"/>
    <n v="0.155"/>
    <n v="0.69850000000000001"/>
    <n v="0.3"/>
    <n v="0.14599999999999999"/>
    <n v="0.19500000000000001"/>
    <n v="12"/>
    <n v="4"/>
    <s v="Nate"/>
    <s v="Craig"/>
    <s v="NOAA Fisheries"/>
    <x v="5"/>
    <x v="5"/>
    <n v="6.1"/>
  </r>
  <r>
    <n v="24"/>
    <s v="M"/>
    <n v="0.55000000000000004"/>
    <n v="0.41499999999999998"/>
    <n v="0.13500000000000001"/>
    <n v="0.76349999999999996"/>
    <n v="0.318"/>
    <n v="0.21"/>
    <n v="0.2"/>
    <n v="9"/>
    <n v="7"/>
    <s v="Iona"/>
    <s v="Connolly"/>
    <s v="Florida Atlantic University"/>
    <x v="2"/>
    <x v="2"/>
    <n v="12.3"/>
  </r>
  <r>
    <n v="2118"/>
    <s v="M"/>
    <n v="0.375"/>
    <n v="0.28999999999999998"/>
    <n v="0.08"/>
    <n v="0.28199999999999997"/>
    <n v="0.14050000000000001"/>
    <n v="7.2499999999999995E-2"/>
    <n v="0.08"/>
    <n v="7"/>
    <n v="10"/>
    <s v="Hazel"/>
    <s v="Villa"/>
    <s v="University of Minnesota"/>
    <x v="5"/>
    <x v="5"/>
    <n v="6.1"/>
  </r>
  <r>
    <n v="3681"/>
    <s v="M"/>
    <n v="0.61"/>
    <n v="0.495"/>
    <n v="0.16500000000000001"/>
    <n v="1.0834999999999999"/>
    <n v="0.45250000000000001"/>
    <n v="0.27300000000000002"/>
    <n v="0.317"/>
    <n v="9"/>
    <n v="9"/>
    <s v="Danica"/>
    <s v="Tyler"/>
    <s v="University of Florida_x0009_"/>
    <x v="3"/>
    <x v="3"/>
    <n v="3.6"/>
  </r>
  <r>
    <n v="737"/>
    <s v="M"/>
    <n v="0.52"/>
    <n v="0.38500000000000001"/>
    <n v="0.115"/>
    <n v="0.66900000000000004"/>
    <n v="0.23849999999999999"/>
    <n v="0.17199999999999999"/>
    <n v="0.20499999999999999"/>
    <n v="12"/>
    <n v="7"/>
    <s v="Iona"/>
    <s v="Connolly"/>
    <s v="Florida Atlantic University"/>
    <x v="4"/>
    <x v="4"/>
    <n v="18"/>
  </r>
  <r>
    <n v="2078"/>
    <s v="M"/>
    <n v="0.61"/>
    <n v="0.43"/>
    <n v="0.14000000000000001"/>
    <n v="0.90900000000000003"/>
    <n v="0.438"/>
    <n v="0.2"/>
    <n v="0.22"/>
    <n v="8"/>
    <n v="15"/>
    <s v="Conan"/>
    <s v="Dalton"/>
    <s v="University of Houston"/>
    <x v="3"/>
    <x v="3"/>
    <n v="3.6"/>
  </r>
  <r>
    <n v="4169"/>
    <s v="M"/>
    <n v="0.51500000000000001"/>
    <n v="0.4"/>
    <n v="0.125"/>
    <n v="0.61499999999999999"/>
    <n v="0.28649999999999998"/>
    <n v="0.123"/>
    <n v="0.17649999999999999"/>
    <n v="8"/>
    <n v="5"/>
    <s v="Haniya"/>
    <s v="Talley"/>
    <s v="Prince William Sound Science Center"/>
    <x v="9"/>
    <x v="9"/>
    <n v="24.1"/>
  </r>
  <r>
    <n v="2788"/>
    <s v="M"/>
    <n v="0.61"/>
    <n v="0.45"/>
    <n v="0.13"/>
    <n v="0.87250000000000005"/>
    <n v="0.38900000000000001"/>
    <n v="0.17150000000000001"/>
    <n v="0.27200000000000002"/>
    <n v="11"/>
    <n v="5"/>
    <s v="Haniya"/>
    <s v="Talley"/>
    <s v="Prince William Sound Science Center"/>
    <x v="7"/>
    <x v="7"/>
    <n v="12.8"/>
  </r>
  <r>
    <n v="306"/>
    <s v="M"/>
    <n v="0.2"/>
    <n v="0.14499999999999999"/>
    <n v="0.06"/>
    <n v="3.6999999999999998E-2"/>
    <n v="1.2500000000000001E-2"/>
    <n v="9.4999999999999998E-3"/>
    <n v="1.0999999999999999E-2"/>
    <n v="4"/>
    <n v="6"/>
    <s v="Martin"/>
    <s v="Gaines"/>
    <s v="San Diego State University"/>
    <x v="6"/>
    <x v="6"/>
    <n v="22.1"/>
  </r>
  <r>
    <n v="3294"/>
    <s v="M"/>
    <n v="0.57499999999999996"/>
    <n v="0.45500000000000002"/>
    <n v="0.185"/>
    <n v="1.1559999999999999"/>
    <n v="0.55249999999999999"/>
    <n v="0.24299999999999999"/>
    <n v="0.29499999999999998"/>
    <n v="13"/>
    <n v="3"/>
    <s v="Inaya"/>
    <s v="Bernard"/>
    <s v="Stanford University"/>
    <x v="0"/>
    <x v="0"/>
    <n v="1.9"/>
  </r>
  <r>
    <n v="3399"/>
    <s v="M"/>
    <n v="0.36499999999999999"/>
    <n v="0.28499999999999998"/>
    <n v="8.5000000000000006E-2"/>
    <n v="0.2205"/>
    <n v="8.5500000000000007E-2"/>
    <n v="5.1499999999999997E-2"/>
    <n v="7.0000000000000007E-2"/>
    <n v="9"/>
    <n v="5"/>
    <s v="Haniya"/>
    <s v="Talley"/>
    <s v="Prince William Sound Science Center"/>
    <x v="4"/>
    <x v="4"/>
    <n v="18"/>
  </r>
  <r>
    <n v="2453"/>
    <s v="M"/>
    <n v="0.39500000000000002"/>
    <n v="0.30499999999999999"/>
    <n v="0.105"/>
    <n v="0.28199999999999997"/>
    <n v="9.7500000000000003E-2"/>
    <n v="6.5000000000000002E-2"/>
    <n v="9.6000000000000002E-2"/>
    <n v="9"/>
    <n v="2"/>
    <s v="Tiegan"/>
    <s v="Davie"/>
    <s v="University of California, Davis"/>
    <x v="6"/>
    <x v="6"/>
    <n v="22.1"/>
  </r>
  <r>
    <n v="508"/>
    <s v="M"/>
    <n v="0.58499999999999996"/>
    <n v="0.45500000000000002"/>
    <n v="0.22500000000000001"/>
    <n v="1.0549999999999999"/>
    <n v="0.38150000000000001"/>
    <n v="0.221"/>
    <n v="0.36499999999999999"/>
    <n v="15"/>
    <n v="4"/>
    <s v="Nate"/>
    <s v="Craig"/>
    <s v="NOAA Fisheries"/>
    <x v="5"/>
    <x v="5"/>
    <n v="6.1"/>
  </r>
  <r>
    <n v="3566"/>
    <s v="M"/>
    <n v="0.57499999999999996"/>
    <n v="0.47499999999999998"/>
    <n v="0.16"/>
    <n v="0.89500000000000002"/>
    <n v="0.36049999999999999"/>
    <n v="0.221"/>
    <n v="0.27100000000000002"/>
    <n v="9"/>
    <n v="13"/>
    <s v="Betty"/>
    <s v="Berg"/>
    <s v="University of Houston"/>
    <x v="7"/>
    <x v="7"/>
    <n v="12.8"/>
  </r>
  <r>
    <n v="2555"/>
    <s v="M"/>
    <n v="0.34"/>
    <n v="0.26500000000000001"/>
    <n v="7.0000000000000007E-2"/>
    <n v="0.185"/>
    <n v="6.25E-2"/>
    <n v="3.95E-2"/>
    <n v="7.0000000000000007E-2"/>
    <n v="7"/>
    <n v="1"/>
    <s v="Jan"/>
    <s v="Odom"/>
    <s v="University of Houston"/>
    <x v="9"/>
    <x v="9"/>
    <n v="24.1"/>
  </r>
  <r>
    <n v="1632"/>
    <s v="M"/>
    <n v="0.56999999999999995"/>
    <n v="0.44500000000000001"/>
    <n v="0.14499999999999999"/>
    <n v="0.74050000000000005"/>
    <n v="0.30599999999999999"/>
    <n v="0.17199999999999999"/>
    <n v="0.1825"/>
    <n v="12"/>
    <n v="9"/>
    <s v="Danica"/>
    <s v="Tyler"/>
    <s v="University of Florida_x0009_"/>
    <x v="2"/>
    <x v="2"/>
    <n v="12.3"/>
  </r>
  <r>
    <n v="1087"/>
    <s v="M"/>
    <n v="0.44500000000000001"/>
    <n v="0.33500000000000002"/>
    <n v="0.11"/>
    <n v="0.41099999999999998"/>
    <n v="0.19850000000000001"/>
    <n v="9.35E-2"/>
    <n v="0.109"/>
    <n v="8"/>
    <n v="10"/>
    <s v="Hazel"/>
    <s v="Villa"/>
    <s v="University of Minnesota"/>
    <x v="1"/>
    <x v="1"/>
    <n v="2.5"/>
  </r>
  <r>
    <n v="3231"/>
    <s v="M"/>
    <n v="0.56999999999999995"/>
    <n v="0.45500000000000002"/>
    <n v="0.15"/>
    <n v="0.96"/>
    <n v="0.38700000000000001"/>
    <n v="0.23849999999999999"/>
    <n v="0.27500000000000002"/>
    <n v="11"/>
    <n v="14"/>
    <s v="Jose"/>
    <s v="Vaughan"/>
    <s v="Ohio State University_x0009_"/>
    <x v="8"/>
    <x v="8"/>
    <n v="14.1"/>
  </r>
  <r>
    <n v="3786"/>
    <s v="M"/>
    <n v="0.625"/>
    <n v="0.495"/>
    <n v="0.155"/>
    <n v="1.177"/>
    <n v="0.50549999999999995"/>
    <n v="0.27800000000000002"/>
    <n v="0.34499999999999997"/>
    <n v="9"/>
    <n v="7"/>
    <s v="Iona"/>
    <s v="Connolly"/>
    <s v="Florida Atlantic University"/>
    <x v="9"/>
    <x v="9"/>
    <n v="24.1"/>
  </r>
  <r>
    <n v="3645"/>
    <s v="M"/>
    <n v="0.47499999999999998"/>
    <n v="0.36499999999999999"/>
    <n v="0.105"/>
    <n v="0.41749999999999998"/>
    <n v="0.16450000000000001"/>
    <n v="9.9000000000000005E-2"/>
    <n v="0.127"/>
    <n v="7"/>
    <n v="9"/>
    <s v="Danica"/>
    <s v="Tyler"/>
    <s v="University of Florida_x0009_"/>
    <x v="0"/>
    <x v="0"/>
    <n v="1.9"/>
  </r>
  <r>
    <n v="2720"/>
    <s v="M"/>
    <n v="0.36"/>
    <n v="0.26"/>
    <n v="0.08"/>
    <n v="0.17949999999999999"/>
    <n v="7.3999999999999996E-2"/>
    <n v="3.15E-2"/>
    <n v="0.06"/>
    <n v="5"/>
    <n v="7"/>
    <s v="Iona"/>
    <s v="Connolly"/>
    <s v="Florida Atlantic University"/>
    <x v="8"/>
    <x v="8"/>
    <n v="14.1"/>
  </r>
  <r>
    <n v="776"/>
    <s v="M"/>
    <n v="0.53"/>
    <n v="0.41"/>
    <n v="0.16500000000000001"/>
    <n v="0.73199999999999998"/>
    <n v="0.189"/>
    <n v="0.17"/>
    <n v="0.31"/>
    <n v="11"/>
    <n v="2"/>
    <s v="Tiegan"/>
    <s v="Davie"/>
    <s v="University of California, Davis"/>
    <x v="8"/>
    <x v="8"/>
    <n v="14.1"/>
  </r>
  <r>
    <n v="3731"/>
    <s v="M"/>
    <n v="0.51500000000000001"/>
    <n v="0.37"/>
    <n v="0.115"/>
    <n v="0.61450000000000005"/>
    <n v="0.34150000000000003"/>
    <n v="0.155"/>
    <n v="0.14599999999999999"/>
    <n v="9"/>
    <n v="8"/>
    <s v="Kali"/>
    <s v="Metcalfe"/>
    <s v="Mote Marine Laboratory"/>
    <x v="0"/>
    <x v="0"/>
    <n v="1.9"/>
  </r>
  <r>
    <n v="779"/>
    <s v="M"/>
    <n v="0.46500000000000002"/>
    <n v="0.35"/>
    <n v="0.14000000000000001"/>
    <n v="0.57550000000000001"/>
    <n v="0.20150000000000001"/>
    <n v="0.15049999999999999"/>
    <n v="0.19"/>
    <n v="15"/>
    <n v="12"/>
    <s v="Rebecca"/>
    <s v="Bennett"/>
    <s v="University of Houston"/>
    <x v="5"/>
    <x v="5"/>
    <n v="6.1"/>
  </r>
  <r>
    <n v="424"/>
    <s v="M"/>
    <n v="0.28999999999999998"/>
    <n v="0.22500000000000001"/>
    <n v="7.0000000000000007E-2"/>
    <n v="0.10100000000000001"/>
    <n v="3.5999999999999997E-2"/>
    <n v="2.35E-2"/>
    <n v="3.5000000000000003E-2"/>
    <n v="8"/>
    <n v="12"/>
    <s v="Rebecca"/>
    <s v="Bennett"/>
    <s v="University of Houston"/>
    <x v="2"/>
    <x v="2"/>
    <n v="12.3"/>
  </r>
  <r>
    <n v="2243"/>
    <s v="M"/>
    <n v="0.47499999999999998"/>
    <n v="0.38"/>
    <n v="0.13500000000000001"/>
    <n v="0.48599999999999999"/>
    <n v="0.17349999999999999"/>
    <n v="7.0000000000000007E-2"/>
    <n v="0.185"/>
    <n v="7"/>
    <n v="11"/>
    <s v="Naima"/>
    <s v="Reyes"/>
    <s v="University of Houston"/>
    <x v="9"/>
    <x v="9"/>
    <n v="24.1"/>
  </r>
  <r>
    <n v="350"/>
    <s v="M"/>
    <n v="0.61"/>
    <n v="0.48"/>
    <n v="0.15"/>
    <n v="1.2"/>
    <n v="0.56000000000000005"/>
    <n v="0.2455"/>
    <n v="0.28000000000000003"/>
    <n v="14"/>
    <n v="7"/>
    <s v="Iona"/>
    <s v="Connolly"/>
    <s v="Florida Atlantic University"/>
    <x v="7"/>
    <x v="7"/>
    <n v="12.8"/>
  </r>
  <r>
    <n v="211"/>
    <s v="M"/>
    <n v="0.49"/>
    <n v="0.36499999999999999"/>
    <n v="0.14499999999999999"/>
    <n v="0.63449999999999995"/>
    <n v="0.19950000000000001"/>
    <n v="0.16250000000000001"/>
    <n v="0.22"/>
    <n v="10"/>
    <n v="8"/>
    <s v="Kali"/>
    <s v="Metcalfe"/>
    <s v="Mote Marine Laboratory"/>
    <x v="6"/>
    <x v="6"/>
    <n v="22.1"/>
  </r>
  <r>
    <n v="558"/>
    <s v="M"/>
    <n v="0.66"/>
    <n v="0.5"/>
    <n v="0.16500000000000001"/>
    <n v="1.1904999999999999"/>
    <n v="0.45850000000000002"/>
    <n v="0.29799999999999999"/>
    <n v="0.37"/>
    <n v="12"/>
    <n v="6"/>
    <s v="Martin"/>
    <s v="Gaines"/>
    <s v="San Diego State University"/>
    <x v="5"/>
    <x v="5"/>
    <n v="6.1"/>
  </r>
  <r>
    <n v="510"/>
    <s v="M"/>
    <n v="0.56000000000000005"/>
    <n v="0.44500000000000001"/>
    <n v="0.155"/>
    <n v="0.87350000000000005"/>
    <n v="0.30049999999999999"/>
    <n v="0.20899999999999999"/>
    <n v="0.27500000000000002"/>
    <n v="16"/>
    <n v="6"/>
    <s v="Martin"/>
    <s v="Gaines"/>
    <s v="San Diego State University"/>
    <x v="3"/>
    <x v="3"/>
    <n v="3.6"/>
  </r>
  <r>
    <n v="3535"/>
    <s v="M"/>
    <n v="0.4"/>
    <n v="0.315"/>
    <n v="0.09"/>
    <n v="0.33"/>
    <n v="0.151"/>
    <n v="6.8000000000000005E-2"/>
    <n v="0.08"/>
    <n v="6"/>
    <n v="3"/>
    <s v="Inaya"/>
    <s v="Bernard"/>
    <s v="Stanford University"/>
    <x v="8"/>
    <x v="8"/>
    <n v="14.1"/>
  </r>
  <r>
    <n v="2166"/>
    <s v="M"/>
    <n v="0.61"/>
    <n v="0.45"/>
    <n v="0.16"/>
    <n v="1.1359999999999999"/>
    <n v="0.41399999999999998"/>
    <n v="0.311"/>
    <n v="0.3"/>
    <n v="9"/>
    <n v="2"/>
    <s v="Tiegan"/>
    <s v="Davie"/>
    <s v="University of California, Davis"/>
    <x v="3"/>
    <x v="3"/>
    <n v="3.6"/>
  </r>
  <r>
    <n v="3806"/>
    <s v="M"/>
    <n v="0.42499999999999999"/>
    <n v="0.30499999999999999"/>
    <n v="0.11"/>
    <n v="0.35899999999999999"/>
    <n v="0.17299999999999999"/>
    <n v="8.7499999999999994E-2"/>
    <n v="9.7500000000000003E-2"/>
    <n v="9"/>
    <n v="15"/>
    <s v="Conan"/>
    <s v="Dalton"/>
    <s v="University of Houston"/>
    <x v="3"/>
    <x v="3"/>
    <n v="3.6"/>
  </r>
  <r>
    <n v="428"/>
    <s v="M"/>
    <n v="0.6"/>
    <n v="0.5"/>
    <n v="0.16"/>
    <n v="1.0149999999999999"/>
    <n v="0.39950000000000002"/>
    <n v="0.17349999999999999"/>
    <n v="0.33"/>
    <n v="19"/>
    <n v="12"/>
    <s v="Rebecca"/>
    <s v="Bennett"/>
    <s v="University of Houston"/>
    <x v="7"/>
    <x v="7"/>
    <n v="12.8"/>
  </r>
  <r>
    <n v="996"/>
    <s v="M"/>
    <n v="0.57999999999999996"/>
    <n v="0.49"/>
    <n v="0.13"/>
    <n v="1.1335"/>
    <n v="0.58599999999999997"/>
    <n v="0.25650000000000001"/>
    <n v="0.23699999999999999"/>
    <n v="9"/>
    <n v="4"/>
    <s v="Nate"/>
    <s v="Craig"/>
    <s v="NOAA Fisheries"/>
    <x v="2"/>
    <x v="2"/>
    <n v="12.3"/>
  </r>
  <r>
    <n v="1909"/>
    <s v="M"/>
    <n v="0.57499999999999996"/>
    <n v="0.47499999999999998"/>
    <n v="0.14499999999999999"/>
    <n v="0.85699999999999998"/>
    <n v="0.36649999999999999"/>
    <n v="0.17299999999999999"/>
    <n v="0.26900000000000002"/>
    <n v="9"/>
    <n v="1"/>
    <s v="Jan"/>
    <s v="Odom"/>
    <s v="University of Houston"/>
    <x v="1"/>
    <x v="1"/>
    <n v="2.5"/>
  </r>
  <r>
    <n v="1154"/>
    <s v="M"/>
    <n v="0.6"/>
    <n v="0.47499999999999998"/>
    <n v="0.16"/>
    <n v="1.0265"/>
    <n v="0.48499999999999999"/>
    <n v="0.2495"/>
    <n v="0.25650000000000001"/>
    <n v="9"/>
    <n v="14"/>
    <s v="Jose"/>
    <s v="Vaughan"/>
    <s v="Ohio State University_x0009_"/>
    <x v="1"/>
    <x v="1"/>
    <n v="2.5"/>
  </r>
  <r>
    <n v="1071"/>
    <s v="M"/>
    <n v="0.375"/>
    <n v="0.27500000000000002"/>
    <n v="0.1"/>
    <n v="0.23250000000000001"/>
    <n v="0.11650000000000001"/>
    <n v="4.2000000000000003E-2"/>
    <n v="6.5000000000000002E-2"/>
    <n v="6"/>
    <n v="6"/>
    <s v="Martin"/>
    <s v="Gaines"/>
    <s v="San Diego State University"/>
    <x v="7"/>
    <x v="7"/>
    <n v="12.8"/>
  </r>
  <r>
    <n v="915"/>
    <s v="M"/>
    <n v="0.37"/>
    <n v="0.28000000000000003"/>
    <n v="9.5000000000000001E-2"/>
    <n v="0.28649999999999998"/>
    <n v="0.15049999999999999"/>
    <n v="6.9000000000000006E-2"/>
    <n v="7.9500000000000001E-2"/>
    <n v="7"/>
    <n v="12"/>
    <s v="Rebecca"/>
    <s v="Bennett"/>
    <s v="University of Houston"/>
    <x v="6"/>
    <x v="6"/>
    <n v="22.1"/>
  </r>
  <r>
    <n v="1320"/>
    <s v="M"/>
    <n v="0.55500000000000005"/>
    <n v="0.42499999999999999"/>
    <n v="0.14499999999999999"/>
    <n v="0.79049999999999998"/>
    <n v="0.34849999999999998"/>
    <n v="0.17649999999999999"/>
    <n v="0.22500000000000001"/>
    <n v="9"/>
    <n v="2"/>
    <s v="Tiegan"/>
    <s v="Davie"/>
    <s v="University of California, Davis"/>
    <x v="2"/>
    <x v="2"/>
    <n v="12.3"/>
  </r>
  <r>
    <n v="789"/>
    <s v="M"/>
    <n v="0.505"/>
    <n v="0.39"/>
    <n v="0.16"/>
    <n v="0.64400000000000002"/>
    <n v="0.2475"/>
    <n v="0.20250000000000001"/>
    <n v="0.16350000000000001"/>
    <n v="9"/>
    <n v="15"/>
    <s v="Conan"/>
    <s v="Dalton"/>
    <s v="University of Houston"/>
    <x v="1"/>
    <x v="1"/>
    <n v="2.5"/>
  </r>
  <r>
    <n v="1614"/>
    <s v="M"/>
    <n v="0.55000000000000004"/>
    <n v="0.42"/>
    <n v="0.13500000000000001"/>
    <n v="0.81599999999999995"/>
    <n v="0.39950000000000002"/>
    <n v="0.14849999999999999"/>
    <n v="0.23"/>
    <n v="12"/>
    <n v="5"/>
    <s v="Haniya"/>
    <s v="Talley"/>
    <s v="Prince William Sound Science Center"/>
    <x v="1"/>
    <x v="1"/>
    <n v="2.5"/>
  </r>
  <r>
    <n v="1995"/>
    <s v="M"/>
    <n v="0.28999999999999998"/>
    <n v="0.21"/>
    <n v="6.5000000000000002E-2"/>
    <n v="9.7000000000000003E-2"/>
    <n v="3.7499999999999999E-2"/>
    <n v="2.1999999999999999E-2"/>
    <n v="0.03"/>
    <n v="6"/>
    <n v="2"/>
    <s v="Tiegan"/>
    <s v="Davie"/>
    <s v="University of California, Davis"/>
    <x v="9"/>
    <x v="9"/>
    <n v="24.1"/>
  </r>
  <r>
    <n v="2071"/>
    <s v="M"/>
    <n v="0.55000000000000004"/>
    <n v="0.42"/>
    <n v="0.115"/>
    <n v="0.66800000000000004"/>
    <n v="0.29249999999999998"/>
    <n v="0.13700000000000001"/>
    <n v="0.20899999999999999"/>
    <n v="11"/>
    <n v="11"/>
    <s v="Naima"/>
    <s v="Reyes"/>
    <s v="University of Houston"/>
    <x v="3"/>
    <x v="3"/>
    <n v="3.6"/>
  </r>
  <r>
    <n v="3484"/>
    <s v="M"/>
    <n v="0.47"/>
    <n v="0.35499999999999998"/>
    <n v="0.115"/>
    <n v="0.41549999999999998"/>
    <n v="0.16700000000000001"/>
    <n v="8.4000000000000005E-2"/>
    <n v="0.13900000000000001"/>
    <n v="7"/>
    <n v="7"/>
    <s v="Iona"/>
    <s v="Connolly"/>
    <s v="Florida Atlantic University"/>
    <x v="2"/>
    <x v="2"/>
    <n v="12.3"/>
  </r>
  <r>
    <n v="2770"/>
    <s v="M"/>
    <n v="0.56499999999999995"/>
    <n v="0.43"/>
    <n v="0.15"/>
    <n v="0.82150000000000001"/>
    <n v="0.33200000000000002"/>
    <n v="0.16850000000000001"/>
    <n v="0.28999999999999998"/>
    <n v="11"/>
    <n v="3"/>
    <s v="Inaya"/>
    <s v="Bernard"/>
    <s v="Stanford University"/>
    <x v="9"/>
    <x v="9"/>
    <n v="24.1"/>
  </r>
  <r>
    <n v="8"/>
    <s v="M"/>
    <n v="0.54500000000000004"/>
    <n v="0.42499999999999999"/>
    <n v="0.125"/>
    <n v="0.76800000000000002"/>
    <n v="0.29399999999999998"/>
    <n v="0.14949999999999999"/>
    <n v="0.26"/>
    <n v="16"/>
    <n v="4"/>
    <s v="Nate"/>
    <s v="Craig"/>
    <s v="NOAA Fisheries"/>
    <x v="2"/>
    <x v="2"/>
    <n v="12.3"/>
  </r>
  <r>
    <n v="2827"/>
    <s v="M"/>
    <n v="0.5"/>
    <n v="0.36499999999999999"/>
    <n v="0.13"/>
    <n v="0.59450000000000003"/>
    <n v="0.309"/>
    <n v="0.1085"/>
    <n v="0.1535"/>
    <n v="9"/>
    <n v="3"/>
    <s v="Inaya"/>
    <s v="Bernard"/>
    <s v="Stanford University"/>
    <x v="6"/>
    <x v="6"/>
    <n v="22.1"/>
  </r>
  <r>
    <n v="2503"/>
    <s v="M"/>
    <n v="0.28499999999999998"/>
    <n v="0.21"/>
    <n v="7.0000000000000007E-2"/>
    <n v="0.109"/>
    <n v="4.3999999999999997E-2"/>
    <n v="2.6499999999999999E-2"/>
    <n v="3.3000000000000002E-2"/>
    <n v="5"/>
    <n v="5"/>
    <s v="Haniya"/>
    <s v="Talley"/>
    <s v="Prince William Sound Science Center"/>
    <x v="2"/>
    <x v="2"/>
    <n v="12.3"/>
  </r>
  <r>
    <n v="977"/>
    <s v="M"/>
    <n v="0.53"/>
    <n v="0.40500000000000003"/>
    <n v="0.125"/>
    <n v="0.65149999999999997"/>
    <n v="0.27150000000000002"/>
    <n v="0.1605"/>
    <n v="0.186"/>
    <n v="7"/>
    <n v="10"/>
    <s v="Hazel"/>
    <s v="Villa"/>
    <s v="University of Minnesota"/>
    <x v="9"/>
    <x v="9"/>
    <n v="24.1"/>
  </r>
  <r>
    <n v="2897"/>
    <s v="M"/>
    <n v="0.54500000000000004"/>
    <n v="0.43"/>
    <n v="0.13"/>
    <n v="0.75949999999999995"/>
    <n v="0.35799999999999998"/>
    <n v="0.153"/>
    <n v="0.20549999999999999"/>
    <n v="8"/>
    <n v="14"/>
    <s v="Jose"/>
    <s v="Vaughan"/>
    <s v="Ohio State University_x0009_"/>
    <x v="5"/>
    <x v="5"/>
    <n v="6.1"/>
  </r>
  <r>
    <n v="3882"/>
    <s v="M"/>
    <n v="0.56499999999999995"/>
    <n v="0.45500000000000002"/>
    <n v="0.13"/>
    <n v="1.0580000000000001"/>
    <n v="0.439"/>
    <n v="0.26450000000000001"/>
    <n v="0.3"/>
    <n v="10"/>
    <n v="12"/>
    <s v="Rebecca"/>
    <s v="Bennett"/>
    <s v="University of Houston"/>
    <x v="8"/>
    <x v="8"/>
    <n v="14.1"/>
  </r>
  <r>
    <n v="504"/>
    <s v="M"/>
    <n v="0.6"/>
    <n v="0.505"/>
    <n v="0.19"/>
    <n v="1.129"/>
    <n v="0.4385"/>
    <n v="0.25600000000000001"/>
    <n v="0.36"/>
    <n v="13"/>
    <n v="15"/>
    <s v="Conan"/>
    <s v="Dalton"/>
    <s v="University of Houston"/>
    <x v="1"/>
    <x v="1"/>
    <n v="2.5"/>
  </r>
  <r>
    <n v="2507"/>
    <s v="M"/>
    <n v="0.375"/>
    <n v="0.3"/>
    <n v="7.4999999999999997E-2"/>
    <n v="0.14399999999999999"/>
    <n v="5.8999999999999997E-2"/>
    <n v="0.03"/>
    <n v="4.3999999999999997E-2"/>
    <n v="7"/>
    <n v="3"/>
    <s v="Inaya"/>
    <s v="Bernard"/>
    <s v="Stanford University"/>
    <x v="2"/>
    <x v="2"/>
    <n v="12.3"/>
  </r>
  <r>
    <n v="1062"/>
    <s v="M"/>
    <n v="0.27500000000000002"/>
    <n v="0.19500000000000001"/>
    <n v="6.5000000000000002E-2"/>
    <n v="0.106"/>
    <n v="5.3999999999999999E-2"/>
    <n v="0.02"/>
    <n v="2.8000000000000001E-2"/>
    <n v="6"/>
    <n v="10"/>
    <s v="Hazel"/>
    <s v="Villa"/>
    <s v="University of Minnesota"/>
    <x v="5"/>
    <x v="5"/>
    <n v="6.1"/>
  </r>
  <r>
    <n v="476"/>
    <s v="M"/>
    <n v="0.53"/>
    <n v="0.41499999999999998"/>
    <n v="0.17499999999999999"/>
    <n v="0.73950000000000005"/>
    <n v="0.26100000000000001"/>
    <n v="0.13950000000000001"/>
    <n v="0.26450000000000001"/>
    <n v="17"/>
    <n v="13"/>
    <s v="Betty"/>
    <s v="Berg"/>
    <s v="University of Houston"/>
    <x v="8"/>
    <x v="8"/>
    <n v="14.1"/>
  </r>
  <r>
    <n v="600"/>
    <s v="M"/>
    <n v="0.56000000000000005"/>
    <n v="0.44500000000000001"/>
    <n v="0.19500000000000001"/>
    <n v="0.98099999999999998"/>
    <n v="0.30499999999999999"/>
    <n v="0.22450000000000001"/>
    <n v="0.33500000000000002"/>
    <n v="16"/>
    <n v="4"/>
    <s v="Nate"/>
    <s v="Craig"/>
    <s v="NOAA Fisheries"/>
    <x v="7"/>
    <x v="7"/>
    <n v="12.8"/>
  </r>
  <r>
    <n v="2930"/>
    <s v="M"/>
    <n v="0.61"/>
    <n v="0.49"/>
    <n v="0.16"/>
    <n v="1.1545000000000001"/>
    <n v="0.58650000000000002"/>
    <n v="0.23849999999999999"/>
    <n v="0.29149999999999998"/>
    <n v="11"/>
    <n v="6"/>
    <s v="Martin"/>
    <s v="Gaines"/>
    <s v="San Diego State University"/>
    <x v="6"/>
    <x v="6"/>
    <n v="22.1"/>
  </r>
  <r>
    <n v="1879"/>
    <s v="M"/>
    <n v="0.54500000000000004"/>
    <n v="0.42499999999999999"/>
    <n v="0.14000000000000001"/>
    <n v="0.8145"/>
    <n v="0.30499999999999999"/>
    <n v="0.23100000000000001"/>
    <n v="0.24399999999999999"/>
    <n v="10"/>
    <n v="12"/>
    <s v="Rebecca"/>
    <s v="Bennett"/>
    <s v="University of Houston"/>
    <x v="7"/>
    <x v="7"/>
    <n v="12.8"/>
  </r>
  <r>
    <n v="1389"/>
    <s v="M"/>
    <n v="0.63"/>
    <n v="0.495"/>
    <n v="0.16"/>
    <n v="1.093"/>
    <n v="0.497"/>
    <n v="0.221"/>
    <n v="0.315"/>
    <n v="12"/>
    <n v="5"/>
    <s v="Haniya"/>
    <s v="Talley"/>
    <s v="Prince William Sound Science Center"/>
    <x v="9"/>
    <x v="9"/>
    <n v="24.1"/>
  </r>
  <r>
    <n v="2671"/>
    <s v="M"/>
    <n v="0.59"/>
    <n v="0.46"/>
    <n v="0.14000000000000001"/>
    <n v="1.004"/>
    <n v="0.496"/>
    <n v="0.2165"/>
    <n v="0.26"/>
    <n v="9"/>
    <n v="10"/>
    <s v="Hazel"/>
    <s v="Villa"/>
    <s v="University of Minnesota"/>
    <x v="7"/>
    <x v="7"/>
    <n v="12.8"/>
  </r>
  <r>
    <n v="2781"/>
    <s v="M"/>
    <n v="0.59"/>
    <n v="0.47499999999999998"/>
    <n v="0.14000000000000001"/>
    <n v="0.97699999999999998"/>
    <n v="0.46250000000000002"/>
    <n v="0.20250000000000001"/>
    <n v="0.27500000000000002"/>
    <n v="10"/>
    <n v="5"/>
    <s v="Haniya"/>
    <s v="Talley"/>
    <s v="Prince William Sound Science Center"/>
    <x v="0"/>
    <x v="0"/>
    <n v="1.9"/>
  </r>
  <r>
    <n v="1900"/>
    <s v="M"/>
    <n v="0.57499999999999996"/>
    <n v="0.45"/>
    <n v="0.13"/>
    <n v="0.78500000000000003"/>
    <n v="0.318"/>
    <n v="0.193"/>
    <n v="0.22650000000000001"/>
    <n v="9"/>
    <n v="8"/>
    <s v="Kali"/>
    <s v="Metcalfe"/>
    <s v="Mote Marine Laboratory"/>
    <x v="3"/>
    <x v="3"/>
    <n v="3.6"/>
  </r>
  <r>
    <n v="2846"/>
    <s v="M"/>
    <n v="0.62"/>
    <n v="0.48"/>
    <n v="0.17"/>
    <n v="1.1045"/>
    <n v="0.53500000000000003"/>
    <n v="0.25"/>
    <n v="0.28699999999999998"/>
    <n v="10"/>
    <n v="1"/>
    <s v="Jan"/>
    <s v="Odom"/>
    <s v="University of Houston"/>
    <x v="9"/>
    <x v="9"/>
    <n v="24.1"/>
  </r>
  <r>
    <n v="3905"/>
    <s v="M"/>
    <n v="0.57499999999999996"/>
    <n v="0.47"/>
    <n v="0.16500000000000001"/>
    <n v="0.85299999999999998"/>
    <n v="0.29199999999999998"/>
    <n v="0.17899999999999999"/>
    <n v="0.35"/>
    <n v="16"/>
    <n v="3"/>
    <s v="Inaya"/>
    <s v="Bernard"/>
    <s v="Stanford University"/>
    <x v="1"/>
    <x v="1"/>
    <n v="2.5"/>
  </r>
  <r>
    <n v="2312"/>
    <s v="M"/>
    <n v="0.35"/>
    <n v="0.26500000000000001"/>
    <n v="0.11"/>
    <n v="0.29649999999999999"/>
    <n v="0.13650000000000001"/>
    <n v="6.3E-2"/>
    <n v="8.5000000000000006E-2"/>
    <n v="7"/>
    <n v="6"/>
    <s v="Martin"/>
    <s v="Gaines"/>
    <s v="San Diego State University"/>
    <x v="7"/>
    <x v="7"/>
    <n v="12.8"/>
  </r>
  <r>
    <n v="238"/>
    <s v="M"/>
    <n v="0.13"/>
    <n v="0.1"/>
    <n v="0.03"/>
    <n v="1.2999999999999999E-2"/>
    <n v="4.4999999999999997E-3"/>
    <n v="3.0000000000000001E-3"/>
    <n v="4.0000000000000001E-3"/>
    <n v="3"/>
    <n v="1"/>
    <s v="Jan"/>
    <s v="Odom"/>
    <s v="University of Houston"/>
    <x v="8"/>
    <x v="8"/>
    <n v="14.1"/>
  </r>
  <r>
    <n v="2869"/>
    <s v="M"/>
    <n v="0.33500000000000002"/>
    <n v="0.26"/>
    <n v="0.09"/>
    <n v="0.19650000000000001"/>
    <n v="8.7499999999999994E-2"/>
    <n v="4.1000000000000002E-2"/>
    <n v="5.6000000000000001E-2"/>
    <n v="7"/>
    <n v="7"/>
    <s v="Iona"/>
    <s v="Connolly"/>
    <s v="Florida Atlantic University"/>
    <x v="7"/>
    <x v="7"/>
    <n v="12.8"/>
  </r>
  <r>
    <n v="3661"/>
    <s v="M"/>
    <n v="0.54500000000000004"/>
    <n v="0.41"/>
    <n v="0.125"/>
    <n v="0.65400000000000003"/>
    <n v="0.29449999999999998"/>
    <n v="0.13150000000000001"/>
    <n v="0.20499999999999999"/>
    <n v="10"/>
    <n v="11"/>
    <s v="Naima"/>
    <s v="Reyes"/>
    <s v="University of Houston"/>
    <x v="0"/>
    <x v="0"/>
    <n v="1.9"/>
  </r>
  <r>
    <n v="577"/>
    <s v="M"/>
    <n v="0.56000000000000005"/>
    <n v="0.42499999999999999"/>
    <n v="0.14000000000000001"/>
    <n v="0.91749999999999998"/>
    <n v="0.40050000000000002"/>
    <n v="0.19750000000000001"/>
    <n v="0.26"/>
    <n v="10"/>
    <n v="5"/>
    <s v="Haniya"/>
    <s v="Talley"/>
    <s v="Prince William Sound Science Center"/>
    <x v="0"/>
    <x v="0"/>
    <n v="1.9"/>
  </r>
  <r>
    <n v="623"/>
    <s v="M"/>
    <n v="0.5"/>
    <n v="0.38500000000000001"/>
    <n v="0.115"/>
    <n v="0.67849999999999999"/>
    <n v="0.29449999999999998"/>
    <n v="0.13800000000000001"/>
    <n v="0.19500000000000001"/>
    <n v="12"/>
    <n v="8"/>
    <s v="Kali"/>
    <s v="Metcalfe"/>
    <s v="Mote Marine Laboratory"/>
    <x v="8"/>
    <x v="8"/>
    <n v="14.1"/>
  </r>
  <r>
    <n v="383"/>
    <s v="M"/>
    <n v="0.48499999999999999"/>
    <n v="0.4"/>
    <n v="0.13500000000000001"/>
    <n v="0.66300000000000003"/>
    <n v="0.313"/>
    <n v="0.13700000000000001"/>
    <n v="0.2"/>
    <n v="10"/>
    <n v="13"/>
    <s v="Betty"/>
    <s v="Berg"/>
    <s v="University of Houston"/>
    <x v="8"/>
    <x v="8"/>
    <n v="14.1"/>
  </r>
  <r>
    <n v="273"/>
    <s v="M"/>
    <n v="0.62"/>
    <n v="0.48499999999999999"/>
    <n v="0.20499999999999999"/>
    <n v="1.2190000000000001"/>
    <n v="0.38750000000000001"/>
    <n v="0.2505"/>
    <n v="0.38500000000000001"/>
    <n v="14"/>
    <n v="3"/>
    <s v="Inaya"/>
    <s v="Bernard"/>
    <s v="Stanford University"/>
    <x v="9"/>
    <x v="9"/>
    <n v="24.1"/>
  </r>
  <r>
    <n v="1344"/>
    <s v="M"/>
    <n v="0.58499999999999996"/>
    <n v="0.46"/>
    <n v="0.16500000000000001"/>
    <n v="1.1134999999999999"/>
    <n v="0.58250000000000002"/>
    <n v="0.23449999999999999"/>
    <n v="0.27400000000000002"/>
    <n v="10"/>
    <n v="7"/>
    <s v="Iona"/>
    <s v="Connolly"/>
    <s v="Florida Atlantic University"/>
    <x v="9"/>
    <x v="9"/>
    <n v="24.1"/>
  </r>
  <r>
    <n v="527"/>
    <s v="M"/>
    <n v="0.155"/>
    <n v="0.11"/>
    <n v="0.04"/>
    <n v="1.55E-2"/>
    <n v="6.4999999999999997E-3"/>
    <n v="3.0000000000000001E-3"/>
    <n v="5.0000000000000001E-3"/>
    <n v="3"/>
    <n v="1"/>
    <s v="Jan"/>
    <s v="Odom"/>
    <s v="University of Houston"/>
    <x v="9"/>
    <x v="9"/>
    <n v="24.1"/>
  </r>
  <r>
    <n v="3936"/>
    <s v="M"/>
    <n v="0.52"/>
    <n v="0.41"/>
    <n v="0.115"/>
    <n v="0.77"/>
    <n v="0.26300000000000001"/>
    <n v="0.157"/>
    <n v="0.26"/>
    <n v="11"/>
    <n v="5"/>
    <s v="Haniya"/>
    <s v="Talley"/>
    <s v="Prince William Sound Science Center"/>
    <x v="8"/>
    <x v="8"/>
    <n v="14.1"/>
  </r>
  <r>
    <n v="2517"/>
    <s v="M"/>
    <n v="0.47499999999999998"/>
    <n v="0.36499999999999999"/>
    <n v="0.12"/>
    <n v="0.53"/>
    <n v="0.2505"/>
    <n v="9.7500000000000003E-2"/>
    <n v="0.16250000000000001"/>
    <n v="10"/>
    <n v="7"/>
    <s v="Iona"/>
    <s v="Connolly"/>
    <s v="Florida Atlantic University"/>
    <x v="9"/>
    <x v="9"/>
    <n v="24.1"/>
  </r>
  <r>
    <n v="2717"/>
    <s v="M"/>
    <n v="0.34"/>
    <n v="0.245"/>
    <n v="8.5000000000000006E-2"/>
    <n v="0.20150000000000001"/>
    <n v="0.10050000000000001"/>
    <n v="3.7999999999999999E-2"/>
    <n v="5.2999999999999999E-2"/>
    <n v="6"/>
    <n v="1"/>
    <s v="Jan"/>
    <s v="Odom"/>
    <s v="University of Houston"/>
    <x v="6"/>
    <x v="6"/>
    <n v="22.1"/>
  </r>
  <r>
    <n v="430"/>
    <s v="M"/>
    <n v="0.57499999999999996"/>
    <n v="0.45"/>
    <n v="0.17"/>
    <n v="1.0475000000000001"/>
    <n v="0.3775"/>
    <n v="0.17050000000000001"/>
    <n v="0.38500000000000001"/>
    <n v="18"/>
    <n v="3"/>
    <s v="Inaya"/>
    <s v="Bernard"/>
    <s v="Stanford University"/>
    <x v="8"/>
    <x v="8"/>
    <n v="14.1"/>
  </r>
  <r>
    <n v="3775"/>
    <s v="M"/>
    <n v="0.57999999999999996"/>
    <n v="0.42"/>
    <n v="0.14000000000000001"/>
    <n v="0.70099999999999996"/>
    <n v="0.32850000000000001"/>
    <n v="0.10199999999999999"/>
    <n v="0.22550000000000001"/>
    <n v="9"/>
    <n v="14"/>
    <s v="Jose"/>
    <s v="Vaughan"/>
    <s v="Ohio State University_x0009_"/>
    <x v="5"/>
    <x v="5"/>
    <n v="6.1"/>
  </r>
  <r>
    <n v="2791"/>
    <s v="M"/>
    <n v="0.62"/>
    <n v="0.48"/>
    <n v="0.16500000000000001"/>
    <n v="1.0125"/>
    <n v="0.53249999999999997"/>
    <n v="0.4365"/>
    <n v="0.32400000000000001"/>
    <n v="10"/>
    <n v="14"/>
    <s v="Jose"/>
    <s v="Vaughan"/>
    <s v="Ohio State University_x0009_"/>
    <x v="8"/>
    <x v="8"/>
    <n v="14.1"/>
  </r>
  <r>
    <n v="4096"/>
    <s v="M"/>
    <n v="0.63500000000000001"/>
    <n v="0.48499999999999999"/>
    <n v="0.155"/>
    <n v="1.073"/>
    <n v="0.46700000000000003"/>
    <n v="0.19750000000000001"/>
    <n v="0.35"/>
    <n v="11"/>
    <n v="11"/>
    <s v="Naima"/>
    <s v="Reyes"/>
    <s v="University of Houston"/>
    <x v="0"/>
    <x v="0"/>
    <n v="1.9"/>
  </r>
  <r>
    <n v="3459"/>
    <s v="M"/>
    <n v="0.61"/>
    <n v="0.47"/>
    <n v="0.16"/>
    <n v="1.0745"/>
    <n v="0.49249999999999999"/>
    <n v="0.23599999999999999"/>
    <n v="0.28999999999999998"/>
    <n v="8"/>
    <n v="10"/>
    <s v="Hazel"/>
    <s v="Villa"/>
    <s v="University of Minnesota"/>
    <x v="8"/>
    <x v="8"/>
    <n v="14.1"/>
  </r>
  <r>
    <n v="2508"/>
    <s v="M"/>
    <n v="0.41499999999999998"/>
    <n v="0.32500000000000001"/>
    <n v="0.1"/>
    <n v="0.46650000000000003"/>
    <n v="0.22850000000000001"/>
    <n v="0.1065"/>
    <n v="0.114"/>
    <n v="7"/>
    <n v="5"/>
    <s v="Haniya"/>
    <s v="Talley"/>
    <s v="Prince William Sound Science Center"/>
    <x v="3"/>
    <x v="3"/>
    <n v="3.6"/>
  </r>
  <r>
    <n v="700"/>
    <s v="M"/>
    <n v="0.39500000000000002"/>
    <n v="0.315"/>
    <n v="0.105"/>
    <n v="0.35149999999999998"/>
    <n v="0.11849999999999999"/>
    <n v="9.0999999999999998E-2"/>
    <n v="0.1195"/>
    <n v="16"/>
    <n v="12"/>
    <s v="Rebecca"/>
    <s v="Bennett"/>
    <s v="University of Houston"/>
    <x v="2"/>
    <x v="2"/>
    <n v="12.3"/>
  </r>
  <r>
    <n v="2883"/>
    <s v="M"/>
    <n v="0.5"/>
    <n v="0.39"/>
    <n v="0.13"/>
    <n v="0.50749999999999995"/>
    <n v="0.21149999999999999"/>
    <n v="0.104"/>
    <n v="0.17549999999999999"/>
    <n v="9"/>
    <n v="14"/>
    <s v="Jose"/>
    <s v="Vaughan"/>
    <s v="Ohio State University_x0009_"/>
    <x v="7"/>
    <x v="7"/>
    <n v="12.8"/>
  </r>
  <r>
    <n v="3653"/>
    <s v="M"/>
    <n v="0.52500000000000002"/>
    <n v="0.42499999999999999"/>
    <n v="0.14000000000000001"/>
    <n v="0.87350000000000005"/>
    <n v="0.42049999999999998"/>
    <n v="0.182"/>
    <n v="0.2225"/>
    <n v="10"/>
    <n v="3"/>
    <s v="Inaya"/>
    <s v="Bernard"/>
    <s v="Stanford University"/>
    <x v="1"/>
    <x v="1"/>
    <n v="2.5"/>
  </r>
  <r>
    <n v="3087"/>
    <s v="M"/>
    <n v="0.35499999999999998"/>
    <n v="0.27"/>
    <n v="7.4999999999999997E-2"/>
    <n v="0.20399999999999999"/>
    <n v="0.30449999999999999"/>
    <n v="4.5999999999999999E-2"/>
    <n v="5.9499999999999997E-2"/>
    <n v="7"/>
    <n v="15"/>
    <s v="Conan"/>
    <s v="Dalton"/>
    <s v="University of Houston"/>
    <x v="2"/>
    <x v="2"/>
    <n v="12.3"/>
  </r>
  <r>
    <n v="3727"/>
    <s v="M"/>
    <n v="0.5"/>
    <n v="0.39500000000000002"/>
    <n v="0.14499999999999999"/>
    <n v="0.78649999999999998"/>
    <n v="0.33200000000000002"/>
    <n v="0.18149999999999999"/>
    <n v="0.2455"/>
    <n v="8"/>
    <n v="6"/>
    <s v="Martin"/>
    <s v="Gaines"/>
    <s v="San Diego State University"/>
    <x v="8"/>
    <x v="8"/>
    <n v="14.1"/>
  </r>
  <r>
    <n v="2724"/>
    <s v="M"/>
    <n v="0.38500000000000001"/>
    <n v="0.3"/>
    <n v="0.125"/>
    <n v="0.34300000000000003"/>
    <n v="0.17050000000000001"/>
    <n v="7.3499999999999996E-2"/>
    <n v="8.1000000000000003E-2"/>
    <n v="7"/>
    <n v="12"/>
    <s v="Rebecca"/>
    <s v="Bennett"/>
    <s v="University of Houston"/>
    <x v="6"/>
    <x v="6"/>
    <n v="22.1"/>
  </r>
  <r>
    <n v="1140"/>
    <s v="M"/>
    <n v="0.57499999999999996"/>
    <n v="0.47"/>
    <n v="0.16500000000000001"/>
    <n v="0.86899999999999999"/>
    <n v="0.435"/>
    <n v="0.19700000000000001"/>
    <n v="0.23799999999999999"/>
    <n v="9"/>
    <n v="5"/>
    <s v="Haniya"/>
    <s v="Talley"/>
    <s v="Prince William Sound Science Center"/>
    <x v="2"/>
    <x v="2"/>
    <n v="12.3"/>
  </r>
  <r>
    <n v="2667"/>
    <s v="M"/>
    <n v="0.57999999999999996"/>
    <n v="0.45500000000000002"/>
    <n v="0.13"/>
    <n v="0.85199999999999998"/>
    <n v="0.41"/>
    <n v="0.17249999999999999"/>
    <n v="0.22500000000000001"/>
    <n v="8"/>
    <n v="10"/>
    <s v="Hazel"/>
    <s v="Villa"/>
    <s v="University of Minnesota"/>
    <x v="1"/>
    <x v="1"/>
    <n v="2.5"/>
  </r>
  <r>
    <n v="1567"/>
    <s v="M"/>
    <n v="0.46500000000000002"/>
    <n v="0.37"/>
    <n v="0.12"/>
    <n v="0.4365"/>
    <n v="0.188"/>
    <n v="8.1500000000000003E-2"/>
    <n v="0.14699999999999999"/>
    <n v="9"/>
    <n v="10"/>
    <s v="Hazel"/>
    <s v="Villa"/>
    <s v="University of Minnesota"/>
    <x v="0"/>
    <x v="0"/>
    <n v="1.9"/>
  </r>
  <r>
    <n v="2761"/>
    <s v="M"/>
    <n v="0.55000000000000004"/>
    <n v="0.43"/>
    <n v="0.14499999999999999"/>
    <n v="0.71199999999999997"/>
    <n v="0.30249999999999999"/>
    <n v="0.152"/>
    <n v="0.22500000000000001"/>
    <n v="10"/>
    <n v="8"/>
    <s v="Kali"/>
    <s v="Metcalfe"/>
    <s v="Mote Marine Laboratory"/>
    <x v="0"/>
    <x v="0"/>
    <n v="1.9"/>
  </r>
  <r>
    <n v="3916"/>
    <s v="M"/>
    <n v="0.56000000000000005"/>
    <n v="0.44500000000000001"/>
    <n v="0.16500000000000001"/>
    <n v="1.0285"/>
    <n v="0.45350000000000001"/>
    <n v="0.253"/>
    <n v="0.27500000000000002"/>
    <n v="11"/>
    <n v="15"/>
    <s v="Conan"/>
    <s v="Dalton"/>
    <s v="University of Houston"/>
    <x v="2"/>
    <x v="2"/>
    <n v="12.3"/>
  </r>
  <r>
    <n v="704"/>
    <s v="M"/>
    <n v="0.39500000000000002"/>
    <n v="0.29499999999999998"/>
    <n v="0.115"/>
    <n v="0.316"/>
    <n v="0.1205"/>
    <n v="5.9499999999999997E-2"/>
    <n v="0.1105"/>
    <n v="12"/>
    <n v="8"/>
    <s v="Kali"/>
    <s v="Metcalfe"/>
    <s v="Mote Marine Laboratory"/>
    <x v="9"/>
    <x v="9"/>
    <n v="24.1"/>
  </r>
  <r>
    <n v="3124"/>
    <s v="M"/>
    <n v="0.57499999999999996"/>
    <n v="0.45"/>
    <n v="0.13500000000000001"/>
    <n v="0.92149999999999999"/>
    <n v="0.35399999999999998"/>
    <n v="0.20899999999999999"/>
    <n v="0.23649999999999999"/>
    <n v="9"/>
    <n v="7"/>
    <s v="Iona"/>
    <s v="Connolly"/>
    <s v="Florida Atlantic University"/>
    <x v="7"/>
    <x v="7"/>
    <n v="12.8"/>
  </r>
  <r>
    <n v="4175"/>
    <s v="M"/>
    <n v="0.6"/>
    <n v="0.47499999999999998"/>
    <n v="0.20499999999999999"/>
    <n v="1.1759999999999999"/>
    <n v="0.52549999999999997"/>
    <n v="0.28749999999999998"/>
    <n v="0.308"/>
    <n v="9"/>
    <n v="9"/>
    <s v="Danica"/>
    <s v="Tyler"/>
    <s v="University of Florida_x0009_"/>
    <x v="4"/>
    <x v="4"/>
    <n v="18"/>
  </r>
  <r>
    <n v="2297"/>
    <s v="M"/>
    <n v="0.53500000000000003"/>
    <n v="0.45"/>
    <n v="0.13500000000000001"/>
    <n v="0.8075"/>
    <n v="0.32200000000000001"/>
    <n v="0.18099999999999999"/>
    <n v="0.25"/>
    <n v="13"/>
    <n v="2"/>
    <s v="Tiegan"/>
    <s v="Davie"/>
    <s v="University of California, Davis"/>
    <x v="9"/>
    <x v="9"/>
    <n v="24.1"/>
  </r>
  <r>
    <n v="2328"/>
    <s v="M"/>
    <n v="0.47499999999999998"/>
    <n v="0.39500000000000002"/>
    <n v="0.13500000000000001"/>
    <n v="0.59199999999999997"/>
    <n v="0.2465"/>
    <n v="0.16450000000000001"/>
    <n v="0.2"/>
    <n v="13"/>
    <n v="15"/>
    <s v="Conan"/>
    <s v="Dalton"/>
    <s v="University of Houston"/>
    <x v="6"/>
    <x v="6"/>
    <n v="22.1"/>
  </r>
  <r>
    <n v="3448"/>
    <s v="M"/>
    <n v="0.505"/>
    <n v="0.39"/>
    <n v="0.12"/>
    <n v="0.57250000000000001"/>
    <n v="0.2555"/>
    <n v="0.13250000000000001"/>
    <n v="0.14599999999999999"/>
    <n v="8"/>
    <n v="2"/>
    <s v="Tiegan"/>
    <s v="Davie"/>
    <s v="University of California, Davis"/>
    <x v="1"/>
    <x v="1"/>
    <n v="2.5"/>
  </r>
  <r>
    <n v="1471"/>
    <s v="M"/>
    <n v="0.53"/>
    <n v="0.43"/>
    <n v="0.13"/>
    <n v="0.70450000000000002"/>
    <n v="0.34599999999999997"/>
    <n v="0.14149999999999999"/>
    <n v="0.189"/>
    <n v="9"/>
    <n v="11"/>
    <s v="Naima"/>
    <s v="Reyes"/>
    <s v="University of Houston"/>
    <x v="2"/>
    <x v="2"/>
    <n v="12.3"/>
  </r>
  <r>
    <n v="459"/>
    <s v="M"/>
    <n v="0.41499999999999998"/>
    <n v="0.31"/>
    <n v="0.11"/>
    <n v="0.29649999999999999"/>
    <n v="0.123"/>
    <n v="5.7000000000000002E-2"/>
    <n v="9.9500000000000005E-2"/>
    <n v="10"/>
    <n v="13"/>
    <s v="Betty"/>
    <s v="Berg"/>
    <s v="University of Houston"/>
    <x v="9"/>
    <x v="9"/>
    <n v="24.1"/>
  </r>
  <r>
    <n v="672"/>
    <s v="M"/>
    <n v="0.5"/>
    <n v="0.38"/>
    <n v="0.155"/>
    <n v="0.65500000000000003"/>
    <n v="0.24049999999999999"/>
    <n v="0.14299999999999999"/>
    <n v="0.20499999999999999"/>
    <n v="17"/>
    <n v="10"/>
    <s v="Hazel"/>
    <s v="Villa"/>
    <s v="University of Minnesota"/>
    <x v="6"/>
    <x v="6"/>
    <n v="22.1"/>
  </r>
  <r>
    <n v="2910"/>
    <s v="M"/>
    <n v="0.57999999999999996"/>
    <n v="0.45"/>
    <n v="0.15"/>
    <n v="0.92"/>
    <n v="0.39300000000000002"/>
    <n v="0.21199999999999999"/>
    <n v="0.28949999999999998"/>
    <n v="9"/>
    <n v="14"/>
    <s v="Jose"/>
    <s v="Vaughan"/>
    <s v="Ohio State University_x0009_"/>
    <x v="0"/>
    <x v="0"/>
    <n v="1.9"/>
  </r>
  <r>
    <n v="2133"/>
    <s v="M"/>
    <n v="0.52"/>
    <n v="0.41"/>
    <n v="0.125"/>
    <n v="0.69850000000000001"/>
    <n v="0.29449999999999998"/>
    <n v="0.16250000000000001"/>
    <n v="0.215"/>
    <n v="10"/>
    <n v="14"/>
    <s v="Jose"/>
    <s v="Vaughan"/>
    <s v="Ohio State University_x0009_"/>
    <x v="1"/>
    <x v="1"/>
    <n v="2.5"/>
  </r>
  <r>
    <n v="2749"/>
    <s v="M"/>
    <n v="0.505"/>
    <n v="0.38500000000000001"/>
    <n v="0.125"/>
    <n v="0.59599999999999997"/>
    <n v="0.245"/>
    <n v="9.7000000000000003E-2"/>
    <n v="0.21"/>
    <n v="9"/>
    <n v="1"/>
    <s v="Jan"/>
    <s v="Odom"/>
    <s v="University of Houston"/>
    <x v="8"/>
    <x v="8"/>
    <n v="14.1"/>
  </r>
  <r>
    <n v="2648"/>
    <s v="M"/>
    <n v="0.5"/>
    <n v="0.39"/>
    <n v="0.125"/>
    <n v="0.58299999999999996"/>
    <n v="0.29399999999999998"/>
    <n v="0.13200000000000001"/>
    <n v="0.1605"/>
    <n v="8"/>
    <n v="5"/>
    <s v="Haniya"/>
    <s v="Talley"/>
    <s v="Prince William Sound Science Center"/>
    <x v="2"/>
    <x v="2"/>
    <n v="12.3"/>
  </r>
  <r>
    <n v="2999"/>
    <s v="M"/>
    <n v="0.63500000000000001"/>
    <n v="0.51"/>
    <n v="0.17"/>
    <n v="1.2235"/>
    <n v="0.53200000000000003"/>
    <n v="0.27100000000000002"/>
    <n v="0.35399999999999998"/>
    <n v="9"/>
    <n v="2"/>
    <s v="Tiegan"/>
    <s v="Davie"/>
    <s v="University of California, Davis"/>
    <x v="7"/>
    <x v="7"/>
    <n v="12.8"/>
  </r>
  <r>
    <n v="3557"/>
    <s v="M"/>
    <n v="0.53500000000000003"/>
    <n v="0.41"/>
    <n v="0.13"/>
    <n v="0.60750000000000004"/>
    <n v="0.26800000000000002"/>
    <n v="0.1225"/>
    <n v="0.19750000000000001"/>
    <n v="9"/>
    <n v="9"/>
    <s v="Danica"/>
    <s v="Tyler"/>
    <s v="University of Florida_x0009_"/>
    <x v="3"/>
    <x v="3"/>
    <n v="3.6"/>
  </r>
  <r>
    <n v="1324"/>
    <s v="M"/>
    <n v="0.56000000000000005"/>
    <n v="0.45500000000000002"/>
    <n v="0.14499999999999999"/>
    <n v="0.97399999999999998"/>
    <n v="0.54700000000000004"/>
    <n v="0.1615"/>
    <n v="0.23499999999999999"/>
    <n v="9"/>
    <n v="9"/>
    <s v="Danica"/>
    <s v="Tyler"/>
    <s v="University of Florida_x0009_"/>
    <x v="9"/>
    <x v="9"/>
    <n v="24.1"/>
  </r>
  <r>
    <n v="2563"/>
    <s v="M"/>
    <n v="0.44"/>
    <n v="0.32500000000000001"/>
    <n v="0.1"/>
    <n v="0.41649999999999998"/>
    <n v="0.185"/>
    <n v="8.6499999999999994E-2"/>
    <n v="0.11"/>
    <n v="6"/>
    <n v="3"/>
    <s v="Inaya"/>
    <s v="Bernard"/>
    <s v="Stanford University"/>
    <x v="4"/>
    <x v="4"/>
    <n v="18"/>
  </r>
  <r>
    <n v="439"/>
    <s v="M"/>
    <n v="0.39"/>
    <n v="0.3"/>
    <n v="0.09"/>
    <n v="0.30549999999999999"/>
    <n v="0.14299999999999999"/>
    <n v="6.4500000000000002E-2"/>
    <n v="8.5000000000000006E-2"/>
    <n v="9"/>
    <n v="3"/>
    <s v="Inaya"/>
    <s v="Bernard"/>
    <s v="Stanford University"/>
    <x v="5"/>
    <x v="5"/>
    <n v="6.1"/>
  </r>
  <r>
    <n v="3891"/>
    <s v="M"/>
    <n v="0.51500000000000001"/>
    <n v="0.4"/>
    <n v="0.14000000000000001"/>
    <n v="0.73650000000000004"/>
    <n v="0.29549999999999998"/>
    <n v="0.184"/>
    <n v="0.185"/>
    <n v="16"/>
    <n v="3"/>
    <s v="Inaya"/>
    <s v="Bernard"/>
    <s v="Stanford University"/>
    <x v="5"/>
    <x v="5"/>
    <n v="6.1"/>
  </r>
  <r>
    <n v="3884"/>
    <s v="M"/>
    <n v="0.54"/>
    <n v="0.42499999999999999"/>
    <n v="0.12"/>
    <n v="0.81699999999999995"/>
    <n v="0.29449999999999998"/>
    <n v="0.153"/>
    <n v="0.19500000000000001"/>
    <n v="10"/>
    <n v="12"/>
    <s v="Rebecca"/>
    <s v="Bennett"/>
    <s v="University of Houston"/>
    <x v="3"/>
    <x v="3"/>
    <n v="3.6"/>
  </r>
  <r>
    <n v="1959"/>
    <s v="M"/>
    <n v="0.65"/>
    <n v="0.52"/>
    <n v="0.15"/>
    <n v="1.238"/>
    <n v="0.54949999999999999"/>
    <n v="0.29599999999999999"/>
    <n v="0.33050000000000002"/>
    <n v="10"/>
    <n v="4"/>
    <s v="Nate"/>
    <s v="Craig"/>
    <s v="NOAA Fisheries"/>
    <x v="7"/>
    <x v="7"/>
    <n v="12.8"/>
  </r>
  <r>
    <n v="4038"/>
    <s v="M"/>
    <n v="0.54"/>
    <n v="0.41499999999999998"/>
    <n v="0.155"/>
    <n v="0.70199999999999996"/>
    <n v="0.32200000000000001"/>
    <n v="0.16700000000000001"/>
    <n v="0.19"/>
    <n v="10"/>
    <n v="13"/>
    <s v="Betty"/>
    <s v="Berg"/>
    <s v="University of Houston"/>
    <x v="3"/>
    <x v="3"/>
    <n v="3.6"/>
  </r>
  <r>
    <n v="2220"/>
    <s v="M"/>
    <n v="0.48499999999999999"/>
    <n v="0.375"/>
    <n v="0.14499999999999999"/>
    <n v="0.58850000000000002"/>
    <n v="0.23849999999999999"/>
    <n v="0.11550000000000001"/>
    <n v="0.19"/>
    <n v="13"/>
    <n v="14"/>
    <s v="Jose"/>
    <s v="Vaughan"/>
    <s v="Ohio State University_x0009_"/>
    <x v="7"/>
    <x v="7"/>
    <n v="12.8"/>
  </r>
  <r>
    <n v="3165"/>
    <s v="M"/>
    <n v="0.64"/>
    <n v="0.47499999999999998"/>
    <n v="0.19"/>
    <n v="1.151"/>
    <n v="0.4365"/>
    <n v="0.28100000000000003"/>
    <n v="0.3805"/>
    <n v="13"/>
    <n v="6"/>
    <s v="Martin"/>
    <s v="Gaines"/>
    <s v="San Diego State University"/>
    <x v="3"/>
    <x v="3"/>
    <n v="3.6"/>
  </r>
  <r>
    <n v="2417"/>
    <s v="M"/>
    <n v="0.42499999999999999"/>
    <n v="0.315"/>
    <n v="0.125"/>
    <n v="0.35249999999999998"/>
    <n v="0.1135"/>
    <n v="5.6500000000000002E-2"/>
    <n v="0.13"/>
    <n v="18"/>
    <n v="14"/>
    <s v="Jose"/>
    <s v="Vaughan"/>
    <s v="Ohio State University_x0009_"/>
    <x v="4"/>
    <x v="4"/>
    <n v="18"/>
  </r>
  <r>
    <n v="3646"/>
    <s v="M"/>
    <n v="0.47499999999999998"/>
    <n v="0.33500000000000002"/>
    <n v="0.1"/>
    <n v="0.4425"/>
    <n v="0.1895"/>
    <n v="8.5999999999999993E-2"/>
    <n v="0.13500000000000001"/>
    <n v="9"/>
    <n v="10"/>
    <s v="Hazel"/>
    <s v="Villa"/>
    <s v="University of Minnesota"/>
    <x v="3"/>
    <x v="3"/>
    <n v="3.6"/>
  </r>
  <r>
    <n v="1646"/>
    <s v="M"/>
    <n v="0.57999999999999996"/>
    <n v="0.43"/>
    <n v="0.13"/>
    <n v="0.79800000000000004"/>
    <n v="0.36499999999999999"/>
    <n v="0.17299999999999999"/>
    <n v="0.22850000000000001"/>
    <n v="10"/>
    <n v="4"/>
    <s v="Nate"/>
    <s v="Craig"/>
    <s v="NOAA Fisheries"/>
    <x v="6"/>
    <x v="6"/>
    <n v="22.1"/>
  </r>
  <r>
    <n v="485"/>
    <s v="M"/>
    <n v="0.63"/>
    <n v="0.48"/>
    <n v="0.14499999999999999"/>
    <n v="1.0115000000000001"/>
    <n v="0.42349999999999999"/>
    <n v="0.23699999999999999"/>
    <n v="0.30499999999999999"/>
    <n v="12"/>
    <n v="12"/>
    <s v="Rebecca"/>
    <s v="Bennett"/>
    <s v="University of Houston"/>
    <x v="4"/>
    <x v="4"/>
    <n v="18"/>
  </r>
  <r>
    <n v="3340"/>
    <s v="M"/>
    <n v="0.58499999999999996"/>
    <n v="0.47499999999999998"/>
    <n v="0.185"/>
    <n v="0.85750000000000004"/>
    <n v="0.34649999999999997"/>
    <n v="0.17849999999999999"/>
    <n v="0.27500000000000002"/>
    <n v="12"/>
    <n v="6"/>
    <s v="Martin"/>
    <s v="Gaines"/>
    <s v="San Diego State University"/>
    <x v="6"/>
    <x v="6"/>
    <n v="22.1"/>
  </r>
  <r>
    <n v="23"/>
    <s v="M"/>
    <n v="0.56499999999999995"/>
    <n v="0.44"/>
    <n v="0.155"/>
    <n v="0.9395"/>
    <n v="0.42749999999999999"/>
    <n v="0.214"/>
    <n v="0.27"/>
    <n v="12"/>
    <n v="8"/>
    <s v="Kali"/>
    <s v="Metcalfe"/>
    <s v="Mote Marine Laboratory"/>
    <x v="2"/>
    <x v="2"/>
    <n v="12.3"/>
  </r>
  <r>
    <n v="2001"/>
    <s v="M"/>
    <n v="0.35499999999999998"/>
    <n v="0.27"/>
    <n v="0.105"/>
    <n v="0.27100000000000002"/>
    <n v="0.14249999999999999"/>
    <n v="5.2499999999999998E-2"/>
    <n v="7.3499999999999996E-2"/>
    <n v="9"/>
    <n v="15"/>
    <s v="Conan"/>
    <s v="Dalton"/>
    <s v="University of Houston"/>
    <x v="5"/>
    <x v="5"/>
    <n v="6.1"/>
  </r>
  <r>
    <n v="1254"/>
    <s v="M"/>
    <n v="0.42"/>
    <n v="0.30499999999999999"/>
    <n v="0.09"/>
    <n v="0.32800000000000001"/>
    <n v="0.16800000000000001"/>
    <n v="6.1499999999999999E-2"/>
    <n v="8.2000000000000003E-2"/>
    <n v="6"/>
    <n v="6"/>
    <s v="Martin"/>
    <s v="Gaines"/>
    <s v="San Diego State University"/>
    <x v="8"/>
    <x v="8"/>
    <n v="14.1"/>
  </r>
  <r>
    <n v="2840"/>
    <s v="M"/>
    <n v="0.59"/>
    <n v="0.45500000000000002"/>
    <n v="0.15"/>
    <n v="0.97599999999999998"/>
    <n v="0.46500000000000002"/>
    <n v="0.20549999999999999"/>
    <n v="0.27650000000000002"/>
    <n v="10"/>
    <n v="10"/>
    <s v="Hazel"/>
    <s v="Villa"/>
    <s v="University of Minnesota"/>
    <x v="2"/>
    <x v="2"/>
    <n v="12.3"/>
  </r>
  <r>
    <n v="1915"/>
    <s v="M"/>
    <n v="0.59499999999999997"/>
    <n v="0.45500000000000002"/>
    <n v="0.15"/>
    <n v="0.88600000000000001"/>
    <n v="0.43149999999999999"/>
    <n v="0.20100000000000001"/>
    <n v="0.223"/>
    <n v="10"/>
    <n v="4"/>
    <s v="Nate"/>
    <s v="Craig"/>
    <s v="NOAA Fisheries"/>
    <x v="1"/>
    <x v="1"/>
    <n v="2.5"/>
  </r>
  <r>
    <n v="634"/>
    <s v="M"/>
    <n v="0.47"/>
    <n v="0.36"/>
    <n v="0.13"/>
    <n v="0.52249999999999996"/>
    <n v="0.19800000000000001"/>
    <n v="0.1065"/>
    <n v="0.16500000000000001"/>
    <n v="9"/>
    <n v="8"/>
    <s v="Kali"/>
    <s v="Metcalfe"/>
    <s v="Mote Marine Laboratory"/>
    <x v="1"/>
    <x v="1"/>
    <n v="2.5"/>
  </r>
  <r>
    <n v="3025"/>
    <s v="M"/>
    <n v="0.47499999999999998"/>
    <n v="0.375"/>
    <n v="0.11"/>
    <n v="0.45600000000000002"/>
    <n v="0.182"/>
    <n v="9.9000000000000005E-2"/>
    <n v="0.16"/>
    <n v="9"/>
    <n v="14"/>
    <s v="Jose"/>
    <s v="Vaughan"/>
    <s v="Ohio State University_x0009_"/>
    <x v="7"/>
    <x v="7"/>
    <n v="12.8"/>
  </r>
  <r>
    <n v="773"/>
    <s v="M"/>
    <n v="0.38500000000000001"/>
    <n v="0.27500000000000002"/>
    <n v="0.115"/>
    <n v="0.26850000000000002"/>
    <n v="9.7500000000000003E-2"/>
    <n v="8.2500000000000004E-2"/>
    <n v="8.5000000000000006E-2"/>
    <n v="8"/>
    <n v="2"/>
    <s v="Tiegan"/>
    <s v="Davie"/>
    <s v="University of California, Davis"/>
    <x v="9"/>
    <x v="9"/>
    <n v="24.1"/>
  </r>
  <r>
    <n v="1465"/>
    <s v="M"/>
    <n v="0.505"/>
    <n v="0.38"/>
    <n v="0.13500000000000001"/>
    <n v="0.6855"/>
    <n v="0.36099999999999999"/>
    <n v="0.1565"/>
    <n v="0.161"/>
    <n v="9"/>
    <n v="15"/>
    <s v="Conan"/>
    <s v="Dalton"/>
    <s v="University of Houston"/>
    <x v="3"/>
    <x v="3"/>
    <n v="3.6"/>
  </r>
  <r>
    <n v="833"/>
    <s v="M"/>
    <n v="0.44"/>
    <n v="0.36499999999999999"/>
    <n v="0.115"/>
    <n v="0.501"/>
    <n v="0.24349999999999999"/>
    <n v="8.4000000000000005E-2"/>
    <n v="0.14649999999999999"/>
    <n v="9"/>
    <n v="12"/>
    <s v="Rebecca"/>
    <s v="Bennett"/>
    <s v="University of Houston"/>
    <x v="3"/>
    <x v="3"/>
    <n v="3.6"/>
  </r>
  <r>
    <n v="4083"/>
    <s v="M"/>
    <n v="0.56499999999999995"/>
    <n v="0.46500000000000002"/>
    <n v="0.15"/>
    <n v="1.1815"/>
    <n v="0.58099999999999996"/>
    <n v="0.2215"/>
    <n v="0.3095"/>
    <n v="9"/>
    <n v="9"/>
    <s v="Danica"/>
    <s v="Tyler"/>
    <s v="University of Florida_x0009_"/>
    <x v="1"/>
    <x v="1"/>
    <n v="2.5"/>
  </r>
  <r>
    <n v="2207"/>
    <s v="M"/>
    <n v="0.28999999999999998"/>
    <n v="0.22500000000000001"/>
    <n v="7.4999999999999997E-2"/>
    <n v="0.14000000000000001"/>
    <n v="5.1499999999999997E-2"/>
    <n v="2.35E-2"/>
    <n v="0.04"/>
    <n v="5"/>
    <n v="3"/>
    <s v="Inaya"/>
    <s v="Bernard"/>
    <s v="Stanford University"/>
    <x v="7"/>
    <x v="7"/>
    <n v="12.8"/>
  </r>
  <r>
    <m/>
    <s v="M"/>
    <m/>
    <m/>
    <m/>
    <m/>
    <m/>
    <m/>
    <m/>
    <m/>
    <m/>
    <m/>
    <m/>
    <m/>
    <x v="10"/>
    <x v="10"/>
    <m/>
  </r>
  <r>
    <m/>
    <m/>
    <m/>
    <m/>
    <m/>
    <m/>
    <m/>
    <m/>
    <m/>
    <m/>
    <m/>
    <m/>
    <m/>
    <m/>
    <x v="10"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A2622-1E4D-4594-8AA5-FBD86BE4AA80}" name="PivotTable1" cacheId="2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5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2">
        <item x="6"/>
        <item x="4"/>
        <item x="3"/>
        <item x="5"/>
        <item x="7"/>
        <item x="8"/>
        <item x="1"/>
        <item x="2"/>
        <item x="0"/>
        <item x="9"/>
        <item x="10"/>
        <item t="default"/>
      </items>
    </pivotField>
    <pivotField axis="axisRow" showAll="0">
      <items count="12">
        <item x="6"/>
        <item x="4"/>
        <item x="1"/>
        <item x="8"/>
        <item x="5"/>
        <item x="0"/>
        <item x="3"/>
        <item x="9"/>
        <item x="7"/>
        <item x="2"/>
        <item x="10"/>
        <item t="default"/>
      </items>
    </pivotField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hell_weight" fld="8" baseField="0" baseItem="0"/>
    <dataField name="Sum of Viscera_weight" fld="7" baseField="0" baseItem="0"/>
    <dataField name="Sum of Shucked_weigh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2D69C-E168-4703-8C1D-FD009ABA1F65}" name="PivotTable2" cacheId="2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2:D24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2">
        <item x="6"/>
        <item x="4"/>
        <item x="3"/>
        <item x="5"/>
        <item x="7"/>
        <item x="8"/>
        <item x="1"/>
        <item x="2"/>
        <item x="0"/>
        <item x="9"/>
        <item x="10"/>
        <item t="default"/>
      </items>
    </pivotField>
    <pivotField axis="axisRow" showAll="0">
      <items count="12">
        <item x="6"/>
        <item x="4"/>
        <item x="1"/>
        <item x="8"/>
        <item x="5"/>
        <item x="0"/>
        <item x="3"/>
        <item x="9"/>
        <item x="7"/>
        <item x="2"/>
        <item x="10"/>
        <item t="default"/>
      </items>
    </pivotField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hell_weight" fld="8" subtotal="average" baseField="15" baseItem="0"/>
    <dataField name="Average of Viscera_weight" fld="7" subtotal="average" baseField="15" baseItem="0"/>
    <dataField name="Average of Shucked_weight" fld="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79C4BB-29E3-4890-B20B-1F257E527FBE}" name="Table10" displayName="Table10" ref="A1:Q1048576" totalsRowShown="0">
  <autoFilter ref="A1:Q1048576" xr:uid="{5079C4BB-29E3-4890-B20B-1F257E527FBE}"/>
  <tableColumns count="17">
    <tableColumn id="1" xr3:uid="{33850C06-4E67-4A40-9C5A-5F5A6559C257}" name="Abalone ID"/>
    <tableColumn id="2" xr3:uid="{E3C71C17-A63D-4DCA-97C5-7BF81C32620B}" name="Gender"/>
    <tableColumn id="3" xr3:uid="{FE6A97C9-0F01-455A-9487-68930D5BB383}" name="Length"/>
    <tableColumn id="4" xr3:uid="{6EDDA971-DC1E-4B54-BCAB-C6163598478E}" name="Diameter"/>
    <tableColumn id="5" xr3:uid="{433E335C-E9B8-44F0-897E-B4120A97ED05}" name="Height"/>
    <tableColumn id="6" xr3:uid="{62899A9A-B45E-4D06-B383-E7A25EDA65A3}" name="Whole_weight"/>
    <tableColumn id="7" xr3:uid="{CAAAA387-3D54-4AE8-BE47-129121D55FEC}" name="Shucked_weight"/>
    <tableColumn id="8" xr3:uid="{4DC3A473-3FCB-4E48-889A-D9473A4E8689}" name="Viscera_weight"/>
    <tableColumn id="9" xr3:uid="{D0A1BC70-E7E0-4D37-BB01-97DB29F4DDF7}" name="Shell_weight"/>
    <tableColumn id="10" xr3:uid="{4B83C6E7-540D-4A73-AE39-C9CF252938A3}" name="Rings"/>
    <tableColumn id="11" xr3:uid="{52220DF2-3989-49DA-8397-142FCA85F153}" name="Collector"/>
    <tableColumn id="12" xr3:uid="{A254B824-72AD-45A9-AAD2-BCB16DAF8644}" name="Collector_First"/>
    <tableColumn id="13" xr3:uid="{2C0E8BEF-6C78-4B9B-842A-0AA3F75034C3}" name="Collector_last"/>
    <tableColumn id="14" xr3:uid="{2465ACF2-546A-4E08-B892-6640D837A368}" name="Collector_organization"/>
    <tableColumn id="15" xr3:uid="{8A4E31E3-096B-40B2-8BF7-B9E961263BDD}" name="Water"/>
    <tableColumn id="16" xr3:uid="{989A7853-D085-4B69-ABEE-77065EF248C8}" name=" "/>
    <tableColumn id="17" xr3:uid="{AD92375C-D9E3-490F-A553-4282BD168AC3}" name="Feb_te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9B0A5-7511-4AC2-9B83-08FD61237D82}" name="Table1" displayName="Table1" ref="A829:R1011" totalsRowShown="0">
  <autoFilter ref="A829:R1011" xr:uid="{4C69B0A5-7511-4AC2-9B83-08FD61237D82}"/>
  <tableColumns count="18">
    <tableColumn id="1" xr3:uid="{C5D98DBE-B096-4126-AEEB-D07F0F153735}" name="Abalone_id"/>
    <tableColumn id="2" xr3:uid="{8860D093-61A8-4226-B479-B089D88365F3}" name="Gender"/>
    <tableColumn id="3" xr3:uid="{D234D993-7D1E-4C93-85A6-9BCDA81D99F6}" name="Length"/>
    <tableColumn id="4" xr3:uid="{E7C7C536-4E02-40FD-9720-002813A5A402}" name="Diameter"/>
    <tableColumn id="5" xr3:uid="{1A4D90E2-4285-4E7B-88BB-BC48B7414398}" name="Height"/>
    <tableColumn id="6" xr3:uid="{79CFBF61-2A62-4543-BC13-1012B3EF988B}" name="Whole_weight"/>
    <tableColumn id="7" xr3:uid="{01A106A4-CCE9-4F89-8D01-3B8FCF18651F}" name="Shucked_weight"/>
    <tableColumn id="8" xr3:uid="{C163F580-4190-4832-BE3C-C797FD3B36F1}" name="Viscera_weight"/>
    <tableColumn id="9" xr3:uid="{1BAAA6B7-8F3B-4A7F-A534-577AE50DF9D8}" name="Shell_weight"/>
    <tableColumn id="10" xr3:uid="{6FEC3567-0ED7-4825-BA12-E50DBA673E7D}" name="Rings"/>
    <tableColumn id="11" xr3:uid="{4D8DF703-297D-4B56-9FB0-D77A8CEF4A00}" name="Collector"/>
    <tableColumn id="12" xr3:uid="{E293BFD3-D205-44AB-B3D7-20E2F79E65BD}" name="Collector_First"/>
    <tableColumn id="13" xr3:uid="{87EAE5CE-0E08-4B0E-98FA-7FA06BE7FE16}" name="Collector_last"/>
    <tableColumn id="14" xr3:uid="{3AFFFFD9-A1CA-472E-80BB-DEEA7C7270C6}" name="Collector_organization"/>
    <tableColumn id="15" xr3:uid="{B4712DCD-9560-4D9D-B366-0D28F4711033}" name="Water"/>
    <tableColumn id="16" xr3:uid="{B2E84492-7BD9-453D-A2AE-413903A5A264}" name="Water_region"/>
    <tableColumn id="17" xr3:uid="{0042357E-D7A2-4BEC-9971-43FAED3B092B}" name="Feb_temp"/>
    <tableColumn id="18" xr3:uid="{207D061F-7893-45D1-A7D2-DE478B7CCB61}" name="Category" dataDxfId="34">
      <calculatedColumnFormula>IF(OR(AND(J830 &gt; 15, B830 = "Infant"), AND(D830 = "Male", C830 &gt; 0.75),
    OR(I830 &gt; 0.8, G830 &gt; 0.5), G830 &gt; 1.2),
    "I",
    IF(OR(AND(I830 &lt; 0.4, G830 &lt; 0.4), AND(J830 &gt; 15, D830 = "Male"), AND(J830 &gt; 18, D830 = "Female"), C830 &lt; 0.36),
    "II",
    "III"))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404F8-6523-474C-BF3C-9C790C951D39}" name="Table2" displayName="Table2" ref="A1:R69" totalsRowShown="0">
  <autoFilter ref="A1:R69" xr:uid="{8EA404F8-6523-474C-BF3C-9C790C951D39}"/>
  <tableColumns count="18">
    <tableColumn id="1" xr3:uid="{F498ED30-0EA2-4F4E-AF1C-D6A43DD127B7}" name="Abalone_id"/>
    <tableColumn id="2" xr3:uid="{479D3596-0A44-4AC9-BB88-D448BAEEB10B}" name="Gender"/>
    <tableColumn id="3" xr3:uid="{0F80F70E-2138-4008-AA2A-26668A847204}" name="Length"/>
    <tableColumn id="4" xr3:uid="{C2B3B508-AF6E-4C68-A39E-7399121924C2}" name="Diameter"/>
    <tableColumn id="5" xr3:uid="{B85352AA-27C2-44EC-A4C0-9F2F54B549D7}" name="Height"/>
    <tableColumn id="6" xr3:uid="{AB68CBDF-DD65-42D1-A337-A6815404B8D7}" name="Whole_weight"/>
    <tableColumn id="7" xr3:uid="{F23F2EF8-13FD-4E53-ADF7-0523E0C3B403}" name="Shucked_weight"/>
    <tableColumn id="8" xr3:uid="{F4370884-83EC-4FFF-8326-D7D637C79B1E}" name="Viscera_weight"/>
    <tableColumn id="9" xr3:uid="{4777A755-88F4-434E-B750-E3E81B91FEBD}" name="Shell_weight"/>
    <tableColumn id="10" xr3:uid="{EDD3C798-D103-444E-AFE6-871FDEFAC339}" name="Rings"/>
    <tableColumn id="11" xr3:uid="{C433B30C-5BB0-4279-AF4D-2150F74C5E29}" name="Collector"/>
    <tableColumn id="12" xr3:uid="{9F28BD75-D60E-4235-9B39-D8D1A0911971}" name="Collector_First"/>
    <tableColumn id="13" xr3:uid="{AA9F41F6-946E-4252-9C98-89EAE6F57693}" name="Collector_last"/>
    <tableColumn id="14" xr3:uid="{FA168571-DBF5-4456-A124-A7958EEF97E4}" name="Collector_organization"/>
    <tableColumn id="15" xr3:uid="{2EA30224-F561-4D2B-99C2-D9900A1FF86D}" name="Water"/>
    <tableColumn id="16" xr3:uid="{3A89D24A-6083-4486-999C-C9EFC405395F}" name="Water_region"/>
    <tableColumn id="17" xr3:uid="{1A28220F-E949-41E2-B212-344E43A0DE7C}" name="Feb_temp"/>
    <tableColumn id="18" xr3:uid="{8EFBCF39-4B2C-4729-9323-2C06E2F36759}" name="Category" dataDxfId="33">
      <calculatedColumnFormula>IF(OR(AND(J2 &gt; 15, B2 = "Infant"), AND(D2 = "Male", C2 &gt; 0.75),
    OR(I2 &gt; 0.8, G2 &gt; 0.5), G2 &gt; 1.2),
    "I",
    IF(OR(AND(I2 &lt; 0.4, G2 &lt; 0.4), AND(J2 &gt; 15, D2 = "Male"), AND(J2 &gt; 18, D2 = "Female"), C2 &lt; 0.36),
    "II",
    "III"))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F7B04-AD6B-487C-8F02-B740AFED40CC}" name="Table3" displayName="Table3" ref="A74:R824" totalsRowShown="0">
  <autoFilter ref="A74:R824" xr:uid="{ADCF7B04-AD6B-487C-8F02-B740AFED40CC}"/>
  <tableColumns count="18">
    <tableColumn id="1" xr3:uid="{9B0B74F9-8700-46E7-99FB-C4D0C2140119}" name="Abalone_id"/>
    <tableColumn id="2" xr3:uid="{7C100DA8-DA1F-45E7-8BFB-417631C875B5}" name="Gender"/>
    <tableColumn id="3" xr3:uid="{761A591A-884E-46F2-AA9A-E08303033208}" name="Length"/>
    <tableColumn id="4" xr3:uid="{9FD02AD5-3CA0-47DA-898F-9BE540E6B82B}" name="Diameter"/>
    <tableColumn id="5" xr3:uid="{7F29C12B-5261-4A0E-A21B-C661E90B90C8}" name="Height"/>
    <tableColumn id="6" xr3:uid="{E0D970C6-38AC-469E-918D-AED60488E9AB}" name="Whole_weight"/>
    <tableColumn id="7" xr3:uid="{48A0CC3D-526E-4370-9FDA-8CA0C231B4D3}" name="Shucked_weight"/>
    <tableColumn id="8" xr3:uid="{8FA283A6-305C-44D8-8B35-A09E64A3EBAF}" name="Viscera_weight"/>
    <tableColumn id="9" xr3:uid="{7E72B47F-44EA-495B-A3E1-EF8287FB73D0}" name="Shell_weight"/>
    <tableColumn id="10" xr3:uid="{157EBF68-7B41-497C-AC69-4EDD03B4F3D6}" name="Rings"/>
    <tableColumn id="11" xr3:uid="{90637907-96DB-4EBE-9953-1715A6573C9A}" name="Collector"/>
    <tableColumn id="12" xr3:uid="{A064DB50-BF1D-475A-8421-9748F5B78ADD}" name="Collector_First"/>
    <tableColumn id="13" xr3:uid="{3E021BFB-6DB4-4480-9786-BB01D55A1E26}" name="Collector_last"/>
    <tableColumn id="14" xr3:uid="{0FCD5E5B-0432-4506-BEC4-382C60E68CB1}" name="Collector_organization"/>
    <tableColumn id="15" xr3:uid="{57B1E3BF-76C0-4A88-8980-8C0B82B46F64}" name="Water"/>
    <tableColumn id="16" xr3:uid="{1F29F053-F31F-4916-BECF-EC57305BB7BB}" name="Water_region"/>
    <tableColumn id="17" xr3:uid="{406B3D5F-BBE0-4789-BA8D-0713E903C4AA}" name="Feb_temp"/>
    <tableColumn id="18" xr3:uid="{63704FC6-28D4-4078-8762-EE9B2FE312F0}" name="Category" dataDxfId="32">
      <calculatedColumnFormula>IF(OR(AND(J75 &gt; 15, B75 = "Infant"), AND(D75 = "Male", C75 &gt; 0.75),
    OR(I75 &gt; 0.8, G75 &gt; 0.5), G75 &gt; 1.2),
    "I",
    IF(OR(AND(I75 &lt; 0.4, G75 &lt; 0.4), AND(J75 &gt; 15, D75 = "Male"), AND(J75 &gt; 18, D75 = "Female"), C75 &lt; 0.36),
    "II",
    "III"))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4F484-009A-41A4-8971-A4C9C24C6B31}" name="Table5" displayName="Table5" ref="W3:Z6" totalsRowShown="0">
  <autoFilter ref="W3:Z6" xr:uid="{D3F4F484-009A-41A4-8971-A4C9C24C6B31}"/>
  <tableColumns count="4">
    <tableColumn id="1" xr3:uid="{63629C19-283E-491D-A7C9-D336A3840A7D}" name="Gender"/>
    <tableColumn id="2" xr3:uid="{C2168F9C-6556-4DA6-934D-2F862C4862E6}" name="Avg value_x000a_"/>
    <tableColumn id="5" xr3:uid="{BBC1606E-B5E8-4D3A-8BC0-283ECA56FAF4}" name="MOST EXPENSIVE"/>
    <tableColumn id="6" xr3:uid="{E48D9571-9087-4714-8418-4963F9D29995}" name="LEAST EXPENS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B31F2C-DC67-4770-AF70-7B009C4A6CDF}" name="Table7" displayName="Table7" ref="W10:Z20" totalsRowShown="0">
  <autoFilter ref="W10:Z20" xr:uid="{01B31F2C-DC67-4770-AF70-7B009C4A6CDF}">
    <filterColumn colId="0" hiddenButton="1"/>
    <filterColumn colId="1" hiddenButton="1"/>
    <filterColumn colId="2" hiddenButton="1"/>
    <filterColumn colId="3" hiddenButton="1"/>
  </autoFilter>
  <tableColumns count="4">
    <tableColumn id="1" xr3:uid="{0E77D388-5BC4-4043-9AC1-D84AB5577DEF}" name="Water Region"/>
    <tableColumn id="2" xr3:uid="{09DDE88E-C8C3-4CEF-ADDF-EEEDFAB24B82}" name="Avg value_x000a_"/>
    <tableColumn id="3" xr3:uid="{09CD1965-1741-4D49-BB88-9A5BCFB13FBE}" name="Most Expensive" dataDxfId="31">
      <calculatedColumnFormula array="1">MAXIF(P:P, "Great Lakes", S:S)</calculatedColumnFormula>
    </tableColumn>
    <tableColumn id="4" xr3:uid="{7D669247-7F6E-4900-89E8-BF79351C97F2}" name="Least Expensive" dataDxfId="30">
      <calculatedColumnFormula>_xlfn.MINIFS(S:S, P:P, "Northeast")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7B5F64-2326-4108-91F8-B585FA6A0B3C}" name="Table8" displayName="Table8" ref="A1:S1001" totalsRowShown="0">
  <autoFilter ref="A1:S1001" xr:uid="{137B5F64-2326-4108-91F8-B585FA6A0B3C}"/>
  <tableColumns count="19">
    <tableColumn id="1" xr3:uid="{666C881A-AE19-49DE-86A9-81C1CB105D00}" name="Abalone_id"/>
    <tableColumn id="2" xr3:uid="{C2625684-6CF8-4951-AB38-927A90101937}" name="Gender"/>
    <tableColumn id="3" xr3:uid="{7EF3E7AA-7FA1-46B9-8D31-DB7D657C14B1}" name="Length"/>
    <tableColumn id="4" xr3:uid="{2E1264CD-DAEC-4C83-946F-4272B14B49BA}" name="Diameter"/>
    <tableColumn id="5" xr3:uid="{E2D55502-B544-4482-9E39-F2AC12C8E24D}" name="Height"/>
    <tableColumn id="6" xr3:uid="{E2EF4302-E522-4E22-A0C9-A266F3D4E563}" name="Whole_weight"/>
    <tableColumn id="7" xr3:uid="{E9A8D51F-B28C-4B3F-9C7F-FC0FD65C75DB}" name="Shucked_weight"/>
    <tableColumn id="8" xr3:uid="{C55C3882-8CDE-4320-BF1C-6AAFB8187366}" name="Viscera_weight"/>
    <tableColumn id="9" xr3:uid="{02DD0DE3-EF73-4835-A511-5475ABDCF0AF}" name="Shell_weight"/>
    <tableColumn id="10" xr3:uid="{9FA05983-A619-4F8A-BE90-F880CC8390E2}" name="Rings"/>
    <tableColumn id="11" xr3:uid="{6964C273-59A2-4B3F-A15E-B4E3E1D0D619}" name="Collector"/>
    <tableColumn id="12" xr3:uid="{B30E8DF4-FF89-48AE-9380-2BC9FC1EB171}" name="Collector_First"/>
    <tableColumn id="13" xr3:uid="{B0CFC410-1AB9-4324-88FC-B88469870C4D}" name="Collector_last"/>
    <tableColumn id="14" xr3:uid="{32F142D4-8587-4A70-A365-01259738D91A}" name="Collector_organization"/>
    <tableColumn id="15" xr3:uid="{9FBAA657-DF3A-4E42-84DF-115674F27583}" name="Water"/>
    <tableColumn id="16" xr3:uid="{BC19FC22-E8AD-4A4E-8697-EE8A46A0721D}" name="Water_region"/>
    <tableColumn id="17" xr3:uid="{5FE50BAE-48BB-43B5-8A1D-1C7B640A57F1}" name="Feb_temp"/>
    <tableColumn id="18" xr3:uid="{2CA37E6B-DC4F-4AB9-92D6-DFD0650D6644}" name="Category">
      <calculatedColumnFormula>IF(OR(AND(J2 &gt; 15, B2 = "Infant"), AND(D2 = "Male", C2 &gt; 0.75),
    OR(I2 &gt; 0.8, G2 &gt; 0.5), G2 &gt; 1.2),
    "I",
    IF(OR(AND(I2 &lt; 0.4, G2 &lt; 0.4), AND(J2 &gt; 15, D2 = "Male"), AND(J2 &gt; 18, D2 = "Female"), C2 &lt; 0.36),
    "II",
    "III"))</calculatedColumnFormula>
    </tableColumn>
    <tableColumn id="19" xr3:uid="{6666836C-F696-49D6-9060-1DC910AA26BE}" name="Economic Value">
      <calculatedColumnFormula>IF(OR(AND(J2 &gt; 15, B2 = "Infant"), AND(D2 = "Male", C2 &gt; 0.75), OR(I2 &gt; 0.8, G2 &gt; 0.5), G2 &gt; 1.2), (1 + (1/3)*(C2 - 0.5) + (1/3)*(D2 - 0.4) + (1/3)*(E2 - 0.4)) * F2 * 0.5 * 1.5, IF(OR(AND(I2 &lt; 0.4, G2 &lt; 0.4), AND(J2 &gt; 15, D2 = "Male"), AND(J2 &gt; 18, D2 = "Female"), C2 &lt; 0.36), (1 + (1/3)*(C2 - 0.5) + (1/3)*(D2 - 0.4) + (1/3)*(E2 - 0.4)) * F2 * 0.5 * 0.8, (1 + (1/3)*(C2 - 0.5) + (1/3)*(D2 - 0.4) + (1/3)*(E2 - 0.4)) * F2 * 0.5))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2503D8-D052-45C8-95A0-838ED6AB1A53}" name="Table4" displayName="Table4" ref="A1:E9" totalsRowShown="0" headerRowDxfId="29">
  <autoFilter ref="A1:E9" xr:uid="{792503D8-D052-45C8-95A0-838ED6AB1A53}"/>
  <tableColumns count="5">
    <tableColumn id="1" xr3:uid="{7BE09FAD-3D01-46C0-8CFA-6589A4F13DF0}" name="Attribute" dataDxfId="28"/>
    <tableColumn id="2" xr3:uid="{6CC8AF86-DBF1-45F1-9067-4AF11D898317}" name="Mean"/>
    <tableColumn id="3" xr3:uid="{0B2E8BFA-A48C-4608-9E67-667988BEEC5F}" name="Variance"/>
    <tableColumn id="4" xr3:uid="{33030ED3-4ED7-44D5-A333-7951BD88290F}" name="Minimum"/>
    <tableColumn id="5" xr3:uid="{82C89B87-387B-4A8C-8A4F-6EEA1F5EB086}" name="Maxim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03E631-0A8F-4C14-91E4-3F5B23CE9C5B}" name="Table6" displayName="Table6" ref="A1:B2" totalsRowShown="0">
  <autoFilter ref="A1:B2" xr:uid="{E303E631-0A8F-4C14-91E4-3F5B23CE9C5B}"/>
  <tableColumns count="2">
    <tableColumn id="1" xr3:uid="{CBE4F50F-3376-4C98-8224-7992604FB3E0}" name="Column1"/>
    <tableColumn id="2" xr3:uid="{68E03413-E6F0-4543-B49D-01E64B5E3602}" name="Column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216474-5B95-45E6-913C-A093D4728441}" name="Table9" displayName="Table9" ref="A5:P6" totalsRowShown="0" headerRowDxfId="27">
  <autoFilter ref="A5:P6" xr:uid="{D5216474-5B95-45E6-913C-A093D4728441}"/>
  <tableColumns count="16">
    <tableColumn id="1" xr3:uid="{A0592AD6-1416-492D-96EF-AC76C263FEFF}" name="Gender" dataDxfId="26">
      <calculatedColumnFormula>INDEX('Personal Data'!B:B, MATCH(B2, 'Personal Data'!A:A, 0))</calculatedColumnFormula>
    </tableColumn>
    <tableColumn id="2" xr3:uid="{53942356-00AA-48EC-A1C4-F7D799D88063}" name="Length" dataDxfId="25">
      <calculatedColumnFormula>INDEX('Personal Data'!C:C, MATCH(B2, 'Personal Data'!A:A, 0))</calculatedColumnFormula>
    </tableColumn>
    <tableColumn id="3" xr3:uid="{A7C2756D-2DF9-4F1C-9D99-F07CD441AD95}" name="Diameter" dataDxfId="24">
      <calculatedColumnFormula>INDEX('Personal Data'!D:D, MATCH(B2, 'Personal Data'!A:A, 0))</calculatedColumnFormula>
    </tableColumn>
    <tableColumn id="4" xr3:uid="{597243CE-B678-4733-9335-C6DD0134B161}" name="Height">
      <calculatedColumnFormula>INDEX('Personal Data'!E:E, MATCH(B2, 'Personal Data'!A:A, 0))</calculatedColumnFormula>
    </tableColumn>
    <tableColumn id="5" xr3:uid="{43C7F3C4-5720-48D4-9110-5CA81BD4B9F9}" name="Whole Weight">
      <calculatedColumnFormula>INDEX('Personal Data'!F:F, MATCH(B2, 'Personal Data'!A:A, 0))</calculatedColumnFormula>
    </tableColumn>
    <tableColumn id="6" xr3:uid="{8BD9EFB7-DD7D-4078-B564-0ED7DCD51CC3}" name="Shucked_weight" dataDxfId="23">
      <calculatedColumnFormula>INDEX('Personal Data'!G:G, MATCH(B2, 'Personal Data'!A:A, 0))</calculatedColumnFormula>
    </tableColumn>
    <tableColumn id="7" xr3:uid="{39227D06-4A50-4580-9B8C-9DF3F4178E37}" name="Viscera_weight" dataDxfId="22">
      <calculatedColumnFormula>INDEX('Personal Data'!H:H, MATCH(B2, 'Personal Data'!A:A, 0))</calculatedColumnFormula>
    </tableColumn>
    <tableColumn id="8" xr3:uid="{CDC82221-8CA0-447C-8B1F-ABE8EEE7AA61}" name="Shell_weight">
      <calculatedColumnFormula>INDEX('Personal Data'!I:I, MATCH(B2, 'Personal Data'!A:A, 0))</calculatedColumnFormula>
    </tableColumn>
    <tableColumn id="9" xr3:uid="{72CF14EE-EEEA-46C8-B11C-255714F8E59D}" name="Rings" dataDxfId="21">
      <calculatedColumnFormula>INDEX('Personal Data'!J:J, MATCH(B2, 'Personal Data'!A:A, 0))</calculatedColumnFormula>
    </tableColumn>
    <tableColumn id="10" xr3:uid="{40F195DA-DB7D-4856-9353-8EF6C663735B}" name="Collector" dataDxfId="20">
      <calculatedColumnFormula>INDEX('Personal Data'!K:K, MATCH(B2, 'Personal Data'!A:A, 0))</calculatedColumnFormula>
    </tableColumn>
    <tableColumn id="11" xr3:uid="{048EF2B8-1497-460C-BABC-02E1A1976246}" name="Collector_First" dataDxfId="19">
      <calculatedColumnFormula>INDEX('Personal Data'!L:L, MATCH(B2, 'Personal Data'!A:A, 0))</calculatedColumnFormula>
    </tableColumn>
    <tableColumn id="12" xr3:uid="{D07124E4-0EC3-4E3D-BFFF-DA6FF23559D1}" name="Collector_last">
      <calculatedColumnFormula>INDEX('Personal Data'!M:M, MATCH(B2, 'Personal Data'!A:A, 0))</calculatedColumnFormula>
    </tableColumn>
    <tableColumn id="13" xr3:uid="{31C2B501-825D-496B-9AF7-E0F37EECFA41}" name="Collector_organization" dataDxfId="18">
      <calculatedColumnFormula>INDEX('Personal Data'!N:N, MATCH(B2, 'Personal Data'!A:A, 0))</calculatedColumnFormula>
    </tableColumn>
    <tableColumn id="14" xr3:uid="{24FAF860-0D47-4AEE-98A4-37361399257A}" name="Water" dataDxfId="17">
      <calculatedColumnFormula>INDEX('Personal Data'!O:O, MATCH(B2, 'Personal Data'!A:A, 0))</calculatedColumnFormula>
    </tableColumn>
    <tableColumn id="15" xr3:uid="{323337F6-8D28-4645-84E6-B94BB3FB97FB}" name="Water_region" dataDxfId="16">
      <calculatedColumnFormula>INDEX('Personal Data'!P:P, MATCH(B2, 'Personal Data'!A:A, 0))</calculatedColumnFormula>
    </tableColumn>
    <tableColumn id="16" xr3:uid="{8F85DDE3-4AD3-420A-8B18-F098F6369DED}" name="Feb_temp">
      <calculatedColumnFormula>INDEX('Personal Data'!Q:Q, MATCH(B2, 'Personal Data'!A:A, 0))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258868C-B72D-4D48-AD06-A80B83F36878}" name="Table11" displayName="Table11" ref="B14:H25" totalsRowShown="0" headerRowDxfId="15" dataDxfId="14">
  <autoFilter ref="B14:H25" xr:uid="{1258868C-B72D-4D48-AD06-A80B83F36878}"/>
  <tableColumns count="7">
    <tableColumn id="1" xr3:uid="{01F2067F-649A-4528-83CC-E247B528C9B0}" name="Region / Scientist" dataDxfId="13"/>
    <tableColumn id="2" xr3:uid="{B6BDC832-0CE2-4EC1-B6BC-1E68749D2B79}" name="Beatrice" dataDxfId="12"/>
    <tableColumn id="3" xr3:uid="{D75F73D4-D89C-471C-AF0D-4987316D078D}" name="Alivia" dataDxfId="11"/>
    <tableColumn id="4" xr3:uid="{1F8C7491-87D4-4781-AA1E-75B38E57A211}" name="Tori" dataDxfId="10"/>
    <tableColumn id="5" xr3:uid="{3B34E6DD-8E10-477C-A1D0-B7F640E576EC}" name="Angela" dataDxfId="9"/>
    <tableColumn id="6" xr3:uid="{800F5C16-9711-4D43-9A60-7DCFB8A5F3DB}" name="Axel" dataDxfId="8"/>
    <tableColumn id="7" xr3:uid="{74B9BEA0-67EB-4792-A8A5-0C0CDFD74A44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E0DF72-CDF9-44A9-A573-B8A48C55E576}" name="Table12" displayName="Table12" ref="B1:G11" totalsRowShown="0" headerRowDxfId="7" dataDxfId="6">
  <autoFilter ref="B1:G11" xr:uid="{3EE0DF72-CDF9-44A9-A573-B8A48C55E576}"/>
  <tableColumns count="6">
    <tableColumn id="1" xr3:uid="{2F7FA642-12C7-437D-ABED-177F038DC99B}" name="Region / Scientist" dataDxfId="5"/>
    <tableColumn id="2" xr3:uid="{D2F0C866-10D0-4A37-B820-C9E973BDA1B0}" name="Beatrice" dataDxfId="4"/>
    <tableColumn id="3" xr3:uid="{0F47DCC5-000F-46DF-951E-21EEFB85D128}" name="Alivia" dataDxfId="3"/>
    <tableColumn id="4" xr3:uid="{862FD4C1-94EB-4B6B-8C3F-E39D43D2BB40}" name="Tori" dataDxfId="2"/>
    <tableColumn id="5" xr3:uid="{AA1CEA8C-64E3-4F40-BE24-04BF0955311A}" name="Angela" dataDxfId="1"/>
    <tableColumn id="6" xr3:uid="{16F43744-A4C5-40F2-9209-3574DE69A838}" name="Ax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8A6-06C9-40FB-BF93-83FC436B40F4}">
  <dimension ref="A3:D15"/>
  <sheetViews>
    <sheetView workbookViewId="0">
      <selection activeCell="A3" sqref="A3:D15"/>
    </sheetView>
  </sheetViews>
  <sheetFormatPr defaultRowHeight="15"/>
  <cols>
    <col min="1" max="1" width="20.140625" bestFit="1" customWidth="1"/>
    <col min="2" max="2" width="19.42578125" bestFit="1" customWidth="1"/>
    <col min="3" max="3" width="21.5703125" bestFit="1" customWidth="1"/>
    <col min="4" max="4" width="22.7109375" bestFit="1" customWidth="1"/>
  </cols>
  <sheetData>
    <row r="3" spans="1:4">
      <c r="A3" s="14" t="s">
        <v>0</v>
      </c>
      <c r="B3" t="s">
        <v>1</v>
      </c>
      <c r="C3" t="s">
        <v>2</v>
      </c>
      <c r="D3" t="s">
        <v>3</v>
      </c>
    </row>
    <row r="4" spans="1:4">
      <c r="A4" s="15" t="s">
        <v>4</v>
      </c>
      <c r="B4">
        <v>20.239999999999991</v>
      </c>
      <c r="C4">
        <v>15.2685</v>
      </c>
      <c r="D4">
        <v>28.78700000000001</v>
      </c>
    </row>
    <row r="5" spans="1:4">
      <c r="A5" s="15" t="s">
        <v>5</v>
      </c>
      <c r="B5">
        <v>16.830500000000004</v>
      </c>
      <c r="C5">
        <v>12.689499999999997</v>
      </c>
      <c r="D5">
        <v>24.810499999999987</v>
      </c>
    </row>
    <row r="6" spans="1:4">
      <c r="A6" s="15" t="s">
        <v>6</v>
      </c>
      <c r="B6">
        <v>18.117500000000007</v>
      </c>
      <c r="C6">
        <v>13.886000000000006</v>
      </c>
      <c r="D6">
        <v>27.68150000000001</v>
      </c>
    </row>
    <row r="7" spans="1:4">
      <c r="A7" s="15" t="s">
        <v>7</v>
      </c>
      <c r="B7">
        <v>21.441000000000006</v>
      </c>
      <c r="C7">
        <v>16.164999999999999</v>
      </c>
      <c r="D7">
        <v>31.06750000000002</v>
      </c>
    </row>
    <row r="8" spans="1:4">
      <c r="A8" s="15" t="s">
        <v>8</v>
      </c>
      <c r="B8">
        <v>16.824000000000002</v>
      </c>
      <c r="C8">
        <v>12.545500000000004</v>
      </c>
      <c r="D8">
        <v>23.948499999999999</v>
      </c>
    </row>
    <row r="9" spans="1:4">
      <c r="A9" s="15" t="s">
        <v>9</v>
      </c>
      <c r="B9">
        <v>19.0565</v>
      </c>
      <c r="C9">
        <v>14.728</v>
      </c>
      <c r="D9">
        <v>29.585499999999993</v>
      </c>
    </row>
    <row r="10" spans="1:4">
      <c r="A10" s="15" t="s">
        <v>10</v>
      </c>
      <c r="B10">
        <v>18.188500000000012</v>
      </c>
      <c r="C10">
        <v>13.658000000000001</v>
      </c>
      <c r="D10">
        <v>26.9</v>
      </c>
    </row>
    <row r="11" spans="1:4">
      <c r="A11" s="15" t="s">
        <v>11</v>
      </c>
      <c r="B11">
        <v>19.2805</v>
      </c>
      <c r="C11">
        <v>14.619500000000004</v>
      </c>
      <c r="D11">
        <v>28.470500000000005</v>
      </c>
    </row>
    <row r="12" spans="1:4">
      <c r="A12" s="15" t="s">
        <v>12</v>
      </c>
      <c r="B12">
        <v>21.293500000000009</v>
      </c>
      <c r="C12">
        <v>15.7005</v>
      </c>
      <c r="D12">
        <v>30.498499999999975</v>
      </c>
    </row>
    <row r="13" spans="1:4">
      <c r="A13" s="15" t="s">
        <v>13</v>
      </c>
      <c r="B13">
        <v>17.673499999999994</v>
      </c>
      <c r="C13">
        <v>13.292000000000003</v>
      </c>
      <c r="D13">
        <v>26.691500000000005</v>
      </c>
    </row>
    <row r="14" spans="1:4">
      <c r="A14" s="15" t="s">
        <v>14</v>
      </c>
    </row>
    <row r="15" spans="1:4">
      <c r="A15" s="15" t="s">
        <v>15</v>
      </c>
      <c r="B15">
        <v>188.94549999999998</v>
      </c>
      <c r="C15">
        <v>142.55250000000001</v>
      </c>
      <c r="D15">
        <v>278.44100000000003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6B80-3FDE-442A-9C89-3D869AFF5723}">
  <dimension ref="A1:S1002"/>
  <sheetViews>
    <sheetView workbookViewId="0">
      <selection activeCell="L11" sqref="L11"/>
    </sheetView>
  </sheetViews>
  <sheetFormatPr defaultRowHeight="15"/>
  <cols>
    <col min="1" max="1" width="12.85546875" customWidth="1"/>
    <col min="2" max="2" width="9.85546875" customWidth="1"/>
    <col min="3" max="3" width="9.28515625" customWidth="1"/>
    <col min="4" max="4" width="11.5703125" customWidth="1"/>
    <col min="6" max="6" width="15.85546875" customWidth="1"/>
    <col min="7" max="7" width="17.7109375" customWidth="1"/>
    <col min="8" max="8" width="16.5703125" customWidth="1"/>
    <col min="9" max="9" width="14.5703125" customWidth="1"/>
    <col min="11" max="11" width="11.5703125" customWidth="1"/>
    <col min="12" max="12" width="16.42578125" customWidth="1"/>
    <col min="13" max="13" width="15.7109375" customWidth="1"/>
    <col min="14" max="14" width="23.42578125" customWidth="1"/>
    <col min="17" max="17" width="12" customWidth="1"/>
  </cols>
  <sheetData>
    <row r="1" spans="1:1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9">
      <c r="A2">
        <v>2424</v>
      </c>
      <c r="B2" t="s">
        <v>33</v>
      </c>
      <c r="C2">
        <v>0.41</v>
      </c>
      <c r="D2">
        <v>0.315</v>
      </c>
      <c r="E2">
        <v>0.11</v>
      </c>
      <c r="F2">
        <v>0.32100000000000001</v>
      </c>
      <c r="G2">
        <v>0.1255</v>
      </c>
      <c r="H2">
        <v>6.5500000000000003E-2</v>
      </c>
      <c r="I2">
        <v>9.5000000000000001E-2</v>
      </c>
      <c r="J2">
        <v>10</v>
      </c>
      <c r="K2">
        <v>9</v>
      </c>
      <c r="L2" t="s">
        <v>34</v>
      </c>
      <c r="M2" t="s">
        <v>35</v>
      </c>
      <c r="N2" t="s">
        <v>36</v>
      </c>
      <c r="O2">
        <v>9</v>
      </c>
      <c r="P2" t="s">
        <v>9</v>
      </c>
      <c r="Q2">
        <v>1.9</v>
      </c>
    </row>
    <row r="3" spans="1:19">
      <c r="A3">
        <v>484</v>
      </c>
      <c r="B3" t="s">
        <v>33</v>
      </c>
      <c r="C3">
        <v>0.57999999999999996</v>
      </c>
      <c r="D3">
        <v>0.46</v>
      </c>
      <c r="E3">
        <v>0.15</v>
      </c>
      <c r="F3">
        <v>0.99550000000000005</v>
      </c>
      <c r="G3">
        <v>0.42899999999999999</v>
      </c>
      <c r="H3">
        <v>0.21199999999999999</v>
      </c>
      <c r="I3">
        <v>0.26</v>
      </c>
      <c r="J3">
        <v>19</v>
      </c>
      <c r="K3">
        <v>10</v>
      </c>
      <c r="L3" t="s">
        <v>37</v>
      </c>
      <c r="M3" t="s">
        <v>38</v>
      </c>
      <c r="N3" t="s">
        <v>39</v>
      </c>
      <c r="O3">
        <v>9</v>
      </c>
      <c r="P3" t="s">
        <v>9</v>
      </c>
      <c r="Q3">
        <v>1.9</v>
      </c>
    </row>
    <row r="4" spans="1:19">
      <c r="A4">
        <v>2948</v>
      </c>
      <c r="B4" t="s">
        <v>33</v>
      </c>
      <c r="C4">
        <v>0.63500000000000001</v>
      </c>
      <c r="D4">
        <v>0.48499999999999999</v>
      </c>
      <c r="E4">
        <v>0.18</v>
      </c>
      <c r="F4">
        <v>1.1795</v>
      </c>
      <c r="G4">
        <v>0.47849999999999998</v>
      </c>
      <c r="H4">
        <v>0.27750000000000002</v>
      </c>
      <c r="I4">
        <v>0.35499999999999998</v>
      </c>
      <c r="J4">
        <v>10</v>
      </c>
      <c r="K4">
        <v>4</v>
      </c>
      <c r="L4" t="s">
        <v>40</v>
      </c>
      <c r="M4" t="s">
        <v>41</v>
      </c>
      <c r="N4" t="s">
        <v>42</v>
      </c>
      <c r="O4">
        <v>7</v>
      </c>
      <c r="P4" t="s">
        <v>6</v>
      </c>
      <c r="Q4">
        <v>2.5</v>
      </c>
    </row>
    <row r="5" spans="1:19">
      <c r="A5">
        <v>2404</v>
      </c>
      <c r="B5" t="s">
        <v>33</v>
      </c>
      <c r="C5">
        <v>0.28999999999999998</v>
      </c>
      <c r="D5">
        <v>0.22500000000000001</v>
      </c>
      <c r="E5">
        <v>0.08</v>
      </c>
      <c r="F5">
        <v>0.1295</v>
      </c>
      <c r="G5">
        <v>5.3499999999999999E-2</v>
      </c>
      <c r="H5">
        <v>2.5999999999999999E-2</v>
      </c>
      <c r="I5">
        <v>4.4999999999999998E-2</v>
      </c>
      <c r="J5">
        <v>10</v>
      </c>
      <c r="K5">
        <v>13</v>
      </c>
      <c r="L5" t="s">
        <v>43</v>
      </c>
      <c r="M5" t="s">
        <v>44</v>
      </c>
      <c r="N5" t="s">
        <v>45</v>
      </c>
      <c r="O5">
        <v>8</v>
      </c>
      <c r="P5" t="s">
        <v>13</v>
      </c>
      <c r="Q5">
        <v>12.3</v>
      </c>
    </row>
    <row r="6" spans="1:19">
      <c r="A6">
        <v>1480</v>
      </c>
      <c r="B6" t="s">
        <v>33</v>
      </c>
      <c r="C6">
        <v>0.57499999999999996</v>
      </c>
      <c r="D6">
        <v>0.46</v>
      </c>
      <c r="E6">
        <v>0.16500000000000001</v>
      </c>
      <c r="F6">
        <v>0.91549999999999998</v>
      </c>
      <c r="G6">
        <v>0.40050000000000002</v>
      </c>
      <c r="H6">
        <v>0.2465</v>
      </c>
      <c r="I6">
        <v>0.23849999999999999</v>
      </c>
      <c r="J6">
        <v>8</v>
      </c>
      <c r="K6">
        <v>6</v>
      </c>
      <c r="L6" t="s">
        <v>46</v>
      </c>
      <c r="M6" t="s">
        <v>47</v>
      </c>
      <c r="N6" t="s">
        <v>48</v>
      </c>
      <c r="O6">
        <v>3</v>
      </c>
      <c r="P6" t="s">
        <v>10</v>
      </c>
      <c r="Q6">
        <v>3.6</v>
      </c>
      <c r="S6" t="s">
        <v>31</v>
      </c>
    </row>
    <row r="7" spans="1:19">
      <c r="A7">
        <v>1150</v>
      </c>
      <c r="B7" t="s">
        <v>33</v>
      </c>
      <c r="C7">
        <v>0.57999999999999996</v>
      </c>
      <c r="D7">
        <v>0.45</v>
      </c>
      <c r="E7">
        <v>0.155</v>
      </c>
      <c r="F7">
        <v>0.93</v>
      </c>
      <c r="G7">
        <v>0.38500000000000001</v>
      </c>
      <c r="H7">
        <v>0.246</v>
      </c>
      <c r="I7">
        <v>0.26500000000000001</v>
      </c>
      <c r="J7">
        <v>9</v>
      </c>
      <c r="K7">
        <v>2</v>
      </c>
      <c r="L7" t="s">
        <v>49</v>
      </c>
      <c r="M7" t="s">
        <v>50</v>
      </c>
      <c r="N7" t="s">
        <v>51</v>
      </c>
      <c r="O7">
        <v>2</v>
      </c>
      <c r="P7" t="s">
        <v>5</v>
      </c>
      <c r="Q7">
        <v>18</v>
      </c>
    </row>
    <row r="8" spans="1:19">
      <c r="A8">
        <v>1319</v>
      </c>
      <c r="B8" t="s">
        <v>33</v>
      </c>
      <c r="C8">
        <v>0.55500000000000005</v>
      </c>
      <c r="D8">
        <v>0.43</v>
      </c>
      <c r="E8">
        <v>0.14000000000000001</v>
      </c>
      <c r="F8">
        <v>0.76649999999999996</v>
      </c>
      <c r="G8">
        <v>0.34100000000000003</v>
      </c>
      <c r="H8">
        <v>0.16500000000000001</v>
      </c>
      <c r="I8">
        <v>0.23</v>
      </c>
      <c r="J8">
        <v>9</v>
      </c>
      <c r="K8">
        <v>3</v>
      </c>
      <c r="L8" t="s">
        <v>52</v>
      </c>
      <c r="M8" t="s">
        <v>53</v>
      </c>
      <c r="N8" t="s">
        <v>54</v>
      </c>
      <c r="O8">
        <v>3</v>
      </c>
      <c r="P8" t="s">
        <v>10</v>
      </c>
      <c r="Q8">
        <v>3.6</v>
      </c>
    </row>
    <row r="9" spans="1:19">
      <c r="A9">
        <v>2110</v>
      </c>
      <c r="B9" t="s">
        <v>33</v>
      </c>
      <c r="C9">
        <v>0.62</v>
      </c>
      <c r="D9">
        <v>0.49</v>
      </c>
      <c r="E9">
        <v>0.17</v>
      </c>
      <c r="F9">
        <v>1.2104999999999999</v>
      </c>
      <c r="G9">
        <v>0.51849999999999996</v>
      </c>
      <c r="H9">
        <v>0.2555</v>
      </c>
      <c r="I9">
        <v>0.33500000000000002</v>
      </c>
      <c r="J9">
        <v>13</v>
      </c>
      <c r="K9">
        <v>8</v>
      </c>
      <c r="L9" t="s">
        <v>55</v>
      </c>
      <c r="M9" t="s">
        <v>56</v>
      </c>
      <c r="N9" t="s">
        <v>57</v>
      </c>
      <c r="O9">
        <v>8</v>
      </c>
      <c r="P9" t="s">
        <v>13</v>
      </c>
      <c r="Q9">
        <v>12.3</v>
      </c>
    </row>
    <row r="10" spans="1:19">
      <c r="A10">
        <v>1000</v>
      </c>
      <c r="B10" t="s">
        <v>33</v>
      </c>
      <c r="C10">
        <v>0.59499999999999997</v>
      </c>
      <c r="D10">
        <v>0.47</v>
      </c>
      <c r="E10">
        <v>0.155</v>
      </c>
      <c r="F10">
        <v>1.121</v>
      </c>
      <c r="G10">
        <v>0.45150000000000001</v>
      </c>
      <c r="H10">
        <v>0.17799999999999999</v>
      </c>
      <c r="I10">
        <v>0.155</v>
      </c>
      <c r="J10">
        <v>11</v>
      </c>
      <c r="K10">
        <v>12</v>
      </c>
      <c r="L10" t="s">
        <v>58</v>
      </c>
      <c r="M10" t="s">
        <v>59</v>
      </c>
      <c r="N10" t="s">
        <v>45</v>
      </c>
      <c r="O10">
        <v>7</v>
      </c>
      <c r="P10" t="s">
        <v>6</v>
      </c>
      <c r="Q10">
        <v>2.5</v>
      </c>
    </row>
    <row r="11" spans="1:19">
      <c r="A11">
        <v>228</v>
      </c>
      <c r="B11" t="s">
        <v>33</v>
      </c>
      <c r="C11">
        <v>0.36499999999999999</v>
      </c>
      <c r="D11">
        <v>0.27</v>
      </c>
      <c r="E11">
        <v>8.5000000000000006E-2</v>
      </c>
      <c r="F11">
        <v>0.20499999999999999</v>
      </c>
      <c r="G11">
        <v>7.8E-2</v>
      </c>
      <c r="H11">
        <v>4.8500000000000001E-2</v>
      </c>
      <c r="I11">
        <v>7.0000000000000007E-2</v>
      </c>
      <c r="J11">
        <v>7</v>
      </c>
      <c r="K11">
        <v>2</v>
      </c>
      <c r="L11" t="s">
        <v>49</v>
      </c>
      <c r="M11" t="s">
        <v>50</v>
      </c>
      <c r="N11" t="s">
        <v>51</v>
      </c>
      <c r="O11">
        <v>4</v>
      </c>
      <c r="P11" t="s">
        <v>8</v>
      </c>
      <c r="Q11">
        <v>6.1</v>
      </c>
    </row>
    <row r="12" spans="1:19">
      <c r="A12">
        <v>3945</v>
      </c>
      <c r="B12" t="s">
        <v>33</v>
      </c>
      <c r="C12">
        <v>0.55000000000000004</v>
      </c>
      <c r="D12">
        <v>0.44</v>
      </c>
      <c r="E12">
        <v>0.16</v>
      </c>
      <c r="F12">
        <v>0.99099999999999999</v>
      </c>
      <c r="G12">
        <v>0.34799999999999998</v>
      </c>
      <c r="H12">
        <v>0.16800000000000001</v>
      </c>
      <c r="I12">
        <v>0.375</v>
      </c>
      <c r="J12">
        <v>20</v>
      </c>
      <c r="K12">
        <v>8</v>
      </c>
      <c r="L12" t="s">
        <v>55</v>
      </c>
      <c r="M12" t="s">
        <v>56</v>
      </c>
      <c r="N12" t="s">
        <v>57</v>
      </c>
      <c r="O12">
        <v>1</v>
      </c>
      <c r="P12" t="s">
        <v>4</v>
      </c>
      <c r="Q12">
        <v>22.1</v>
      </c>
    </row>
    <row r="13" spans="1:19">
      <c r="A13">
        <v>1308</v>
      </c>
      <c r="B13" t="s">
        <v>33</v>
      </c>
      <c r="C13">
        <v>0.54500000000000004</v>
      </c>
      <c r="D13">
        <v>0.435</v>
      </c>
      <c r="E13">
        <v>0.13500000000000001</v>
      </c>
      <c r="F13">
        <v>0.77149999999999996</v>
      </c>
      <c r="G13">
        <v>0.372</v>
      </c>
      <c r="H13">
        <v>0.14799999999999999</v>
      </c>
      <c r="I13">
        <v>0.22700000000000001</v>
      </c>
      <c r="J13">
        <v>8</v>
      </c>
      <c r="K13">
        <v>12</v>
      </c>
      <c r="L13" t="s">
        <v>58</v>
      </c>
      <c r="M13" t="s">
        <v>59</v>
      </c>
      <c r="N13" t="s">
        <v>45</v>
      </c>
      <c r="O13">
        <v>5</v>
      </c>
      <c r="P13" t="s">
        <v>12</v>
      </c>
      <c r="Q13">
        <v>12.8</v>
      </c>
    </row>
    <row r="14" spans="1:19">
      <c r="A14">
        <v>2895</v>
      </c>
      <c r="B14" t="s">
        <v>33</v>
      </c>
      <c r="C14">
        <v>0.54</v>
      </c>
      <c r="D14">
        <v>0.42499999999999999</v>
      </c>
      <c r="E14">
        <v>0.13</v>
      </c>
      <c r="F14">
        <v>0.8155</v>
      </c>
      <c r="G14">
        <v>0.36749999999999999</v>
      </c>
      <c r="H14">
        <v>0.13650000000000001</v>
      </c>
      <c r="I14">
        <v>0.246</v>
      </c>
      <c r="J14">
        <v>11</v>
      </c>
      <c r="K14">
        <v>8</v>
      </c>
      <c r="L14" t="s">
        <v>55</v>
      </c>
      <c r="M14" t="s">
        <v>56</v>
      </c>
      <c r="N14" t="s">
        <v>57</v>
      </c>
      <c r="O14">
        <v>4</v>
      </c>
      <c r="P14" t="s">
        <v>8</v>
      </c>
      <c r="Q14">
        <v>6.1</v>
      </c>
    </row>
    <row r="15" spans="1:19">
      <c r="A15">
        <v>1483</v>
      </c>
      <c r="B15" t="s">
        <v>33</v>
      </c>
      <c r="C15">
        <v>0.58499999999999996</v>
      </c>
      <c r="D15">
        <v>0.45500000000000002</v>
      </c>
      <c r="E15">
        <v>0.15</v>
      </c>
      <c r="F15">
        <v>0.90600000000000003</v>
      </c>
      <c r="G15">
        <v>0.40949999999999998</v>
      </c>
      <c r="H15">
        <v>0.23</v>
      </c>
      <c r="I15">
        <v>0.23350000000000001</v>
      </c>
      <c r="J15">
        <v>8</v>
      </c>
      <c r="K15">
        <v>15</v>
      </c>
      <c r="L15" t="s">
        <v>60</v>
      </c>
      <c r="M15" t="s">
        <v>61</v>
      </c>
      <c r="N15" t="s">
        <v>45</v>
      </c>
      <c r="O15">
        <v>1</v>
      </c>
      <c r="P15" t="s">
        <v>4</v>
      </c>
      <c r="Q15">
        <v>22.1</v>
      </c>
    </row>
    <row r="16" spans="1:19">
      <c r="A16">
        <v>3411</v>
      </c>
      <c r="B16" t="s">
        <v>33</v>
      </c>
      <c r="C16">
        <v>0.41499999999999998</v>
      </c>
      <c r="D16">
        <v>0.31</v>
      </c>
      <c r="E16">
        <v>0.105</v>
      </c>
      <c r="F16">
        <v>0.35949999999999999</v>
      </c>
      <c r="G16">
        <v>0.16700000000000001</v>
      </c>
      <c r="H16">
        <v>8.3000000000000004E-2</v>
      </c>
      <c r="I16">
        <v>9.1499999999999998E-2</v>
      </c>
      <c r="J16">
        <v>6</v>
      </c>
      <c r="K16">
        <v>7</v>
      </c>
      <c r="L16" t="s">
        <v>62</v>
      </c>
      <c r="M16" t="s">
        <v>63</v>
      </c>
      <c r="N16" t="s">
        <v>64</v>
      </c>
      <c r="O16">
        <v>9</v>
      </c>
      <c r="P16" t="s">
        <v>9</v>
      </c>
      <c r="Q16">
        <v>1.9</v>
      </c>
    </row>
    <row r="17" spans="1:17">
      <c r="A17">
        <v>2764</v>
      </c>
      <c r="B17" t="s">
        <v>33</v>
      </c>
      <c r="C17">
        <v>0.55000000000000004</v>
      </c>
      <c r="D17">
        <v>0.42499999999999999</v>
      </c>
      <c r="E17">
        <v>0.13500000000000001</v>
      </c>
      <c r="F17">
        <v>0.65600000000000003</v>
      </c>
      <c r="G17">
        <v>0.25700000000000001</v>
      </c>
      <c r="H17">
        <v>0.17</v>
      </c>
      <c r="I17">
        <v>0.20300000000000001</v>
      </c>
      <c r="J17">
        <v>10</v>
      </c>
      <c r="K17">
        <v>11</v>
      </c>
      <c r="L17" t="s">
        <v>65</v>
      </c>
      <c r="M17" t="s">
        <v>66</v>
      </c>
      <c r="N17" t="s">
        <v>45</v>
      </c>
      <c r="O17">
        <v>1</v>
      </c>
      <c r="P17" t="s">
        <v>4</v>
      </c>
      <c r="Q17">
        <v>22.1</v>
      </c>
    </row>
    <row r="18" spans="1:17">
      <c r="A18">
        <v>3342</v>
      </c>
      <c r="B18" t="s">
        <v>33</v>
      </c>
      <c r="C18">
        <v>0.49</v>
      </c>
      <c r="D18">
        <v>0.39</v>
      </c>
      <c r="E18">
        <v>0.13500000000000001</v>
      </c>
      <c r="F18">
        <v>0.59</v>
      </c>
      <c r="G18">
        <v>0.215</v>
      </c>
      <c r="H18">
        <v>0.125</v>
      </c>
      <c r="I18">
        <v>0.1845</v>
      </c>
      <c r="J18">
        <v>12</v>
      </c>
      <c r="K18">
        <v>3</v>
      </c>
      <c r="L18" t="s">
        <v>52</v>
      </c>
      <c r="M18" t="s">
        <v>53</v>
      </c>
      <c r="N18" t="s">
        <v>54</v>
      </c>
      <c r="O18">
        <v>6</v>
      </c>
      <c r="P18" t="s">
        <v>7</v>
      </c>
      <c r="Q18">
        <v>14.1</v>
      </c>
    </row>
    <row r="19" spans="1:17">
      <c r="A19">
        <v>3347</v>
      </c>
      <c r="B19" t="s">
        <v>33</v>
      </c>
      <c r="C19">
        <v>0.47</v>
      </c>
      <c r="D19">
        <v>0.4</v>
      </c>
      <c r="E19">
        <v>0.16</v>
      </c>
      <c r="F19">
        <v>0.51</v>
      </c>
      <c r="G19">
        <v>0.1615</v>
      </c>
      <c r="H19">
        <v>7.2999999999999995E-2</v>
      </c>
      <c r="I19">
        <v>0.19800000000000001</v>
      </c>
      <c r="J19">
        <v>14</v>
      </c>
      <c r="K19">
        <v>10</v>
      </c>
      <c r="L19" t="s">
        <v>37</v>
      </c>
      <c r="M19" t="s">
        <v>38</v>
      </c>
      <c r="N19" t="s">
        <v>39</v>
      </c>
      <c r="O19">
        <v>9</v>
      </c>
      <c r="P19" t="s">
        <v>9</v>
      </c>
      <c r="Q19">
        <v>1.9</v>
      </c>
    </row>
    <row r="20" spans="1:17">
      <c r="A20">
        <v>1855</v>
      </c>
      <c r="B20" t="s">
        <v>33</v>
      </c>
      <c r="C20">
        <v>0.495</v>
      </c>
      <c r="D20">
        <v>0.375</v>
      </c>
      <c r="E20">
        <v>0.14000000000000001</v>
      </c>
      <c r="F20">
        <v>0.49399999999999999</v>
      </c>
      <c r="G20">
        <v>0.18099999999999999</v>
      </c>
      <c r="H20">
        <v>9.7500000000000003E-2</v>
      </c>
      <c r="I20">
        <v>0.191</v>
      </c>
      <c r="J20">
        <v>8</v>
      </c>
      <c r="K20">
        <v>2</v>
      </c>
      <c r="L20" t="s">
        <v>49</v>
      </c>
      <c r="M20" t="s">
        <v>50</v>
      </c>
      <c r="N20" t="s">
        <v>51</v>
      </c>
      <c r="O20">
        <v>6</v>
      </c>
      <c r="P20" t="s">
        <v>7</v>
      </c>
      <c r="Q20">
        <v>14.1</v>
      </c>
    </row>
    <row r="21" spans="1:17">
      <c r="A21">
        <v>3194</v>
      </c>
      <c r="B21" t="s">
        <v>33</v>
      </c>
      <c r="C21">
        <v>0.56499999999999995</v>
      </c>
      <c r="D21">
        <v>0.435</v>
      </c>
      <c r="E21">
        <v>0.185</v>
      </c>
      <c r="F21">
        <v>1.032</v>
      </c>
      <c r="G21">
        <v>0.35399999999999998</v>
      </c>
      <c r="H21">
        <v>0.20449999999999999</v>
      </c>
      <c r="I21">
        <v>0.31</v>
      </c>
      <c r="J21">
        <v>20</v>
      </c>
      <c r="K21">
        <v>5</v>
      </c>
      <c r="L21" t="s">
        <v>67</v>
      </c>
      <c r="M21" t="s">
        <v>68</v>
      </c>
      <c r="N21" t="s">
        <v>69</v>
      </c>
      <c r="O21">
        <v>9</v>
      </c>
      <c r="P21" t="s">
        <v>9</v>
      </c>
      <c r="Q21">
        <v>1.9</v>
      </c>
    </row>
    <row r="22" spans="1:17">
      <c r="A22">
        <v>628</v>
      </c>
      <c r="B22" t="s">
        <v>33</v>
      </c>
      <c r="C22">
        <v>0.38</v>
      </c>
      <c r="D22">
        <v>0.30499999999999999</v>
      </c>
      <c r="E22">
        <v>9.5000000000000001E-2</v>
      </c>
      <c r="F22">
        <v>0.28149999999999997</v>
      </c>
      <c r="G22">
        <v>0.1255</v>
      </c>
      <c r="H22">
        <v>5.2499999999999998E-2</v>
      </c>
      <c r="I22">
        <v>0.09</v>
      </c>
      <c r="J22">
        <v>8</v>
      </c>
      <c r="K22">
        <v>15</v>
      </c>
      <c r="L22" t="s">
        <v>60</v>
      </c>
      <c r="M22" t="s">
        <v>61</v>
      </c>
      <c r="N22" t="s">
        <v>45</v>
      </c>
      <c r="O22">
        <v>10</v>
      </c>
      <c r="P22" t="s">
        <v>11</v>
      </c>
      <c r="Q22">
        <v>24.1</v>
      </c>
    </row>
    <row r="23" spans="1:17">
      <c r="A23">
        <v>1671</v>
      </c>
      <c r="B23" t="s">
        <v>33</v>
      </c>
      <c r="C23">
        <v>0.61</v>
      </c>
      <c r="D23">
        <v>0.48499999999999999</v>
      </c>
      <c r="E23">
        <v>0.15</v>
      </c>
      <c r="F23">
        <v>1.2404999999999999</v>
      </c>
      <c r="G23">
        <v>0.60250000000000004</v>
      </c>
      <c r="H23">
        <v>0.29149999999999998</v>
      </c>
      <c r="I23">
        <v>0.3085</v>
      </c>
      <c r="J23">
        <v>12</v>
      </c>
      <c r="K23">
        <v>13</v>
      </c>
      <c r="L23" t="s">
        <v>43</v>
      </c>
      <c r="M23" t="s">
        <v>44</v>
      </c>
      <c r="N23" t="s">
        <v>45</v>
      </c>
      <c r="O23">
        <v>10</v>
      </c>
      <c r="P23" t="s">
        <v>11</v>
      </c>
      <c r="Q23">
        <v>24.1</v>
      </c>
    </row>
    <row r="24" spans="1:17">
      <c r="A24">
        <v>387</v>
      </c>
      <c r="B24" t="s">
        <v>33</v>
      </c>
      <c r="C24">
        <v>0.54</v>
      </c>
      <c r="D24">
        <v>0.42</v>
      </c>
      <c r="E24">
        <v>0.155</v>
      </c>
      <c r="F24">
        <v>0.73850000000000005</v>
      </c>
      <c r="G24">
        <v>0.35149999999999998</v>
      </c>
      <c r="H24">
        <v>0.152</v>
      </c>
      <c r="I24">
        <v>0.215</v>
      </c>
      <c r="J24">
        <v>12</v>
      </c>
      <c r="K24">
        <v>1</v>
      </c>
      <c r="L24" t="s">
        <v>70</v>
      </c>
      <c r="M24" t="s">
        <v>71</v>
      </c>
      <c r="N24" t="s">
        <v>45</v>
      </c>
      <c r="O24">
        <v>6</v>
      </c>
      <c r="P24" t="s">
        <v>7</v>
      </c>
      <c r="Q24">
        <v>14.1</v>
      </c>
    </row>
    <row r="25" spans="1:17">
      <c r="A25">
        <v>3034</v>
      </c>
      <c r="B25" t="s">
        <v>33</v>
      </c>
      <c r="C25">
        <v>0.53500000000000003</v>
      </c>
      <c r="D25">
        <v>0.41</v>
      </c>
      <c r="E25">
        <v>0.12</v>
      </c>
      <c r="F25">
        <v>0.6835</v>
      </c>
      <c r="G25">
        <v>0.3125</v>
      </c>
      <c r="H25">
        <v>0.16550000000000001</v>
      </c>
      <c r="I25">
        <v>0.159</v>
      </c>
      <c r="J25">
        <v>8</v>
      </c>
      <c r="K25">
        <v>11</v>
      </c>
      <c r="L25" t="s">
        <v>65</v>
      </c>
      <c r="M25" t="s">
        <v>66</v>
      </c>
      <c r="N25" t="s">
        <v>45</v>
      </c>
      <c r="O25">
        <v>4</v>
      </c>
      <c r="P25" t="s">
        <v>8</v>
      </c>
      <c r="Q25">
        <v>6.1</v>
      </c>
    </row>
    <row r="26" spans="1:17">
      <c r="A26">
        <v>3032</v>
      </c>
      <c r="B26" t="s">
        <v>33</v>
      </c>
      <c r="C26">
        <v>0.52500000000000002</v>
      </c>
      <c r="D26">
        <v>0.4</v>
      </c>
      <c r="E26">
        <v>0.11</v>
      </c>
      <c r="F26">
        <v>0.62749999999999995</v>
      </c>
      <c r="G26">
        <v>0.30149999999999999</v>
      </c>
      <c r="H26">
        <v>0.126</v>
      </c>
      <c r="I26">
        <v>0.18</v>
      </c>
      <c r="J26">
        <v>8</v>
      </c>
      <c r="K26">
        <v>3</v>
      </c>
      <c r="L26" t="s">
        <v>52</v>
      </c>
      <c r="M26" t="s">
        <v>53</v>
      </c>
      <c r="N26" t="s">
        <v>54</v>
      </c>
      <c r="O26">
        <v>3</v>
      </c>
      <c r="P26" t="s">
        <v>10</v>
      </c>
      <c r="Q26">
        <v>3.6</v>
      </c>
    </row>
    <row r="27" spans="1:17">
      <c r="A27">
        <v>2224</v>
      </c>
      <c r="B27" t="s">
        <v>33</v>
      </c>
      <c r="C27">
        <v>0.55500000000000005</v>
      </c>
      <c r="D27">
        <v>0.45500000000000002</v>
      </c>
      <c r="E27">
        <v>0.18</v>
      </c>
      <c r="F27">
        <v>0.95799999999999996</v>
      </c>
      <c r="G27">
        <v>0.29599999999999999</v>
      </c>
      <c r="H27">
        <v>0.19500000000000001</v>
      </c>
      <c r="I27">
        <v>0.39</v>
      </c>
      <c r="J27">
        <v>14</v>
      </c>
      <c r="K27">
        <v>8</v>
      </c>
      <c r="L27" t="s">
        <v>55</v>
      </c>
      <c r="M27" t="s">
        <v>56</v>
      </c>
      <c r="N27" t="s">
        <v>57</v>
      </c>
      <c r="O27">
        <v>7</v>
      </c>
      <c r="P27" t="s">
        <v>6</v>
      </c>
      <c r="Q27">
        <v>2.5</v>
      </c>
    </row>
    <row r="28" spans="1:17">
      <c r="A28">
        <v>953</v>
      </c>
      <c r="B28" t="s">
        <v>33</v>
      </c>
      <c r="C28">
        <v>0.48</v>
      </c>
      <c r="D28">
        <v>0.36499999999999999</v>
      </c>
      <c r="E28">
        <v>0.12</v>
      </c>
      <c r="F28">
        <v>0.60150000000000003</v>
      </c>
      <c r="G28">
        <v>0.312</v>
      </c>
      <c r="H28">
        <v>0.11700000000000001</v>
      </c>
      <c r="I28">
        <v>0.14000000000000001</v>
      </c>
      <c r="J28">
        <v>7</v>
      </c>
      <c r="K28">
        <v>6</v>
      </c>
      <c r="L28" t="s">
        <v>46</v>
      </c>
      <c r="M28" t="s">
        <v>47</v>
      </c>
      <c r="N28" t="s">
        <v>48</v>
      </c>
      <c r="O28">
        <v>4</v>
      </c>
      <c r="P28" t="s">
        <v>8</v>
      </c>
      <c r="Q28">
        <v>6.1</v>
      </c>
    </row>
    <row r="29" spans="1:17">
      <c r="A29">
        <v>2649</v>
      </c>
      <c r="B29" t="s">
        <v>33</v>
      </c>
      <c r="C29">
        <v>0.5</v>
      </c>
      <c r="D29">
        <v>0.38</v>
      </c>
      <c r="E29">
        <v>0.12</v>
      </c>
      <c r="F29">
        <v>0.57650000000000001</v>
      </c>
      <c r="G29">
        <v>0.27300000000000002</v>
      </c>
      <c r="H29">
        <v>0.13500000000000001</v>
      </c>
      <c r="I29">
        <v>0.14499999999999999</v>
      </c>
      <c r="J29">
        <v>9</v>
      </c>
      <c r="K29">
        <v>12</v>
      </c>
      <c r="L29" t="s">
        <v>58</v>
      </c>
      <c r="M29" t="s">
        <v>59</v>
      </c>
      <c r="N29" t="s">
        <v>45</v>
      </c>
      <c r="O29">
        <v>7</v>
      </c>
      <c r="P29" t="s">
        <v>6</v>
      </c>
      <c r="Q29">
        <v>2.5</v>
      </c>
    </row>
    <row r="30" spans="1:17">
      <c r="A30">
        <v>932</v>
      </c>
      <c r="B30" t="s">
        <v>33</v>
      </c>
      <c r="C30">
        <v>0.44500000000000001</v>
      </c>
      <c r="D30">
        <v>0.33500000000000002</v>
      </c>
      <c r="E30">
        <v>0.11</v>
      </c>
      <c r="F30">
        <v>0.4355</v>
      </c>
      <c r="G30">
        <v>0.20250000000000001</v>
      </c>
      <c r="H30">
        <v>0.1095</v>
      </c>
      <c r="I30">
        <v>0.1195</v>
      </c>
      <c r="J30">
        <v>6</v>
      </c>
      <c r="K30">
        <v>15</v>
      </c>
      <c r="L30" t="s">
        <v>60</v>
      </c>
      <c r="M30" t="s">
        <v>61</v>
      </c>
      <c r="N30" t="s">
        <v>45</v>
      </c>
      <c r="O30">
        <v>5</v>
      </c>
      <c r="P30" t="s">
        <v>12</v>
      </c>
      <c r="Q30">
        <v>12.8</v>
      </c>
    </row>
    <row r="31" spans="1:17">
      <c r="A31">
        <v>3844</v>
      </c>
      <c r="B31" t="s">
        <v>33</v>
      </c>
      <c r="C31">
        <v>0.57499999999999996</v>
      </c>
      <c r="D31">
        <v>0.45</v>
      </c>
      <c r="E31">
        <v>0.16</v>
      </c>
      <c r="F31">
        <v>0.95499999999999996</v>
      </c>
      <c r="G31">
        <v>0.44</v>
      </c>
      <c r="H31">
        <v>0.16850000000000001</v>
      </c>
      <c r="I31">
        <v>0.27</v>
      </c>
      <c r="J31">
        <v>16</v>
      </c>
      <c r="K31">
        <v>3</v>
      </c>
      <c r="L31" t="s">
        <v>52</v>
      </c>
      <c r="M31" t="s">
        <v>53</v>
      </c>
      <c r="N31" t="s">
        <v>54</v>
      </c>
      <c r="O31">
        <v>3</v>
      </c>
      <c r="P31" t="s">
        <v>10</v>
      </c>
      <c r="Q31">
        <v>3.6</v>
      </c>
    </row>
    <row r="32" spans="1:17">
      <c r="A32">
        <v>2065</v>
      </c>
      <c r="B32" t="s">
        <v>33</v>
      </c>
      <c r="C32">
        <v>0.53500000000000003</v>
      </c>
      <c r="D32">
        <v>0.42</v>
      </c>
      <c r="E32">
        <v>0.125</v>
      </c>
      <c r="F32">
        <v>0.73799999999999999</v>
      </c>
      <c r="G32">
        <v>0.35499999999999998</v>
      </c>
      <c r="H32">
        <v>0.1895</v>
      </c>
      <c r="I32">
        <v>0.17949999999999999</v>
      </c>
      <c r="J32">
        <v>8</v>
      </c>
      <c r="K32">
        <v>12</v>
      </c>
      <c r="L32" t="s">
        <v>58</v>
      </c>
      <c r="M32" t="s">
        <v>59</v>
      </c>
      <c r="N32" t="s">
        <v>45</v>
      </c>
      <c r="O32">
        <v>7</v>
      </c>
      <c r="P32" t="s">
        <v>6</v>
      </c>
      <c r="Q32">
        <v>2.5</v>
      </c>
    </row>
    <row r="33" spans="1:17">
      <c r="A33">
        <v>4141</v>
      </c>
      <c r="B33" t="s">
        <v>33</v>
      </c>
      <c r="C33">
        <v>0.64500000000000002</v>
      </c>
      <c r="D33">
        <v>0.53500000000000003</v>
      </c>
      <c r="E33">
        <v>0.19</v>
      </c>
      <c r="F33">
        <v>1.2395</v>
      </c>
      <c r="G33">
        <v>0.46800000000000003</v>
      </c>
      <c r="H33">
        <v>0.23849999999999999</v>
      </c>
      <c r="I33">
        <v>0.42399999999999999</v>
      </c>
      <c r="J33">
        <v>10</v>
      </c>
      <c r="K33">
        <v>11</v>
      </c>
      <c r="L33" t="s">
        <v>65</v>
      </c>
      <c r="M33" t="s">
        <v>66</v>
      </c>
      <c r="N33" t="s">
        <v>45</v>
      </c>
      <c r="O33">
        <v>1</v>
      </c>
      <c r="P33" t="s">
        <v>4</v>
      </c>
      <c r="Q33">
        <v>22.1</v>
      </c>
    </row>
    <row r="34" spans="1:17">
      <c r="A34">
        <v>3261</v>
      </c>
      <c r="B34" t="s">
        <v>33</v>
      </c>
      <c r="C34">
        <v>0.56000000000000005</v>
      </c>
      <c r="D34">
        <v>0.435</v>
      </c>
      <c r="E34">
        <v>0.125</v>
      </c>
      <c r="F34">
        <v>0.87749999999999995</v>
      </c>
      <c r="G34">
        <v>0.33450000000000002</v>
      </c>
      <c r="H34">
        <v>0.2145</v>
      </c>
      <c r="I34">
        <v>0.28999999999999998</v>
      </c>
      <c r="J34">
        <v>13</v>
      </c>
      <c r="K34">
        <v>4</v>
      </c>
      <c r="L34" t="s">
        <v>40</v>
      </c>
      <c r="M34" t="s">
        <v>41</v>
      </c>
      <c r="N34" t="s">
        <v>42</v>
      </c>
      <c r="O34">
        <v>5</v>
      </c>
      <c r="P34" t="s">
        <v>12</v>
      </c>
      <c r="Q34">
        <v>12.8</v>
      </c>
    </row>
    <row r="35" spans="1:17">
      <c r="A35">
        <v>947</v>
      </c>
      <c r="B35" t="s">
        <v>33</v>
      </c>
      <c r="C35">
        <v>0.47</v>
      </c>
      <c r="D35">
        <v>0.36499999999999999</v>
      </c>
      <c r="E35">
        <v>0.12</v>
      </c>
      <c r="F35">
        <v>0.58199999999999996</v>
      </c>
      <c r="G35">
        <v>0.28999999999999998</v>
      </c>
      <c r="H35">
        <v>9.1999999999999998E-2</v>
      </c>
      <c r="I35">
        <v>0.14599999999999999</v>
      </c>
      <c r="J35">
        <v>8</v>
      </c>
      <c r="K35">
        <v>14</v>
      </c>
      <c r="L35" t="s">
        <v>72</v>
      </c>
      <c r="M35" t="s">
        <v>73</v>
      </c>
      <c r="N35" t="s">
        <v>74</v>
      </c>
      <c r="O35">
        <v>6</v>
      </c>
      <c r="P35" t="s">
        <v>7</v>
      </c>
      <c r="Q35">
        <v>14.1</v>
      </c>
    </row>
    <row r="36" spans="1:17">
      <c r="A36">
        <v>2976</v>
      </c>
      <c r="B36" t="s">
        <v>33</v>
      </c>
      <c r="C36">
        <v>0.32</v>
      </c>
      <c r="D36">
        <v>0.215</v>
      </c>
      <c r="E36">
        <v>9.5000000000000001E-2</v>
      </c>
      <c r="F36">
        <v>0.30499999999999999</v>
      </c>
      <c r="G36">
        <v>0.14000000000000001</v>
      </c>
      <c r="H36">
        <v>6.7000000000000004E-2</v>
      </c>
      <c r="I36">
        <v>8.8499999999999995E-2</v>
      </c>
      <c r="J36">
        <v>6</v>
      </c>
      <c r="K36">
        <v>5</v>
      </c>
      <c r="L36" t="s">
        <v>67</v>
      </c>
      <c r="M36" t="s">
        <v>68</v>
      </c>
      <c r="N36" t="s">
        <v>69</v>
      </c>
      <c r="O36">
        <v>9</v>
      </c>
      <c r="P36" t="s">
        <v>9</v>
      </c>
      <c r="Q36">
        <v>1.9</v>
      </c>
    </row>
    <row r="37" spans="1:17">
      <c r="A37">
        <v>3575</v>
      </c>
      <c r="B37" t="s">
        <v>33</v>
      </c>
      <c r="C37">
        <v>0.6</v>
      </c>
      <c r="D37">
        <v>0.47</v>
      </c>
      <c r="E37">
        <v>0.17</v>
      </c>
      <c r="F37">
        <v>1.0805</v>
      </c>
      <c r="G37">
        <v>0.4995</v>
      </c>
      <c r="H37">
        <v>0.22450000000000001</v>
      </c>
      <c r="I37">
        <v>0.32050000000000001</v>
      </c>
      <c r="J37">
        <v>9</v>
      </c>
      <c r="K37">
        <v>4</v>
      </c>
      <c r="L37" t="s">
        <v>40</v>
      </c>
      <c r="M37" t="s">
        <v>41</v>
      </c>
      <c r="N37" t="s">
        <v>42</v>
      </c>
      <c r="O37">
        <v>10</v>
      </c>
      <c r="P37" t="s">
        <v>11</v>
      </c>
      <c r="Q37">
        <v>24.1</v>
      </c>
    </row>
    <row r="38" spans="1:17">
      <c r="A38">
        <v>3644</v>
      </c>
      <c r="B38" t="s">
        <v>33</v>
      </c>
      <c r="C38">
        <v>0.47</v>
      </c>
      <c r="D38">
        <v>0.34499999999999997</v>
      </c>
      <c r="E38">
        <v>0.12</v>
      </c>
      <c r="F38">
        <v>0.36849999999999999</v>
      </c>
      <c r="G38">
        <v>0.1525</v>
      </c>
      <c r="H38">
        <v>6.1499999999999999E-2</v>
      </c>
      <c r="I38">
        <v>0.125</v>
      </c>
      <c r="J38">
        <v>8</v>
      </c>
      <c r="K38">
        <v>6</v>
      </c>
      <c r="L38" t="s">
        <v>46</v>
      </c>
      <c r="M38" t="s">
        <v>47</v>
      </c>
      <c r="N38" t="s">
        <v>48</v>
      </c>
      <c r="O38">
        <v>1</v>
      </c>
      <c r="P38" t="s">
        <v>4</v>
      </c>
      <c r="Q38">
        <v>22.1</v>
      </c>
    </row>
    <row r="39" spans="1:17">
      <c r="A39">
        <v>1587</v>
      </c>
      <c r="B39" t="s">
        <v>33</v>
      </c>
      <c r="C39">
        <v>0.51500000000000001</v>
      </c>
      <c r="D39">
        <v>0.35</v>
      </c>
      <c r="E39">
        <v>0.105</v>
      </c>
      <c r="F39">
        <v>0.47449999999999998</v>
      </c>
      <c r="G39">
        <v>0.21299999999999999</v>
      </c>
      <c r="H39">
        <v>0.123</v>
      </c>
      <c r="I39">
        <v>0.1275</v>
      </c>
      <c r="J39">
        <v>10</v>
      </c>
      <c r="K39">
        <v>7</v>
      </c>
      <c r="L39" t="s">
        <v>62</v>
      </c>
      <c r="M39" t="s">
        <v>63</v>
      </c>
      <c r="N39" t="s">
        <v>64</v>
      </c>
      <c r="O39">
        <v>5</v>
      </c>
      <c r="P39" t="s">
        <v>12</v>
      </c>
      <c r="Q39">
        <v>12.8</v>
      </c>
    </row>
    <row r="40" spans="1:17">
      <c r="A40">
        <v>637</v>
      </c>
      <c r="B40" t="s">
        <v>33</v>
      </c>
      <c r="C40">
        <v>0.38</v>
      </c>
      <c r="D40">
        <v>0.23499999999999999</v>
      </c>
      <c r="E40">
        <v>0.1</v>
      </c>
      <c r="F40">
        <v>0.25800000000000001</v>
      </c>
      <c r="G40">
        <v>0.1055</v>
      </c>
      <c r="H40">
        <v>5.3999999999999999E-2</v>
      </c>
      <c r="I40">
        <v>0.08</v>
      </c>
      <c r="J40">
        <v>7</v>
      </c>
      <c r="K40">
        <v>14</v>
      </c>
      <c r="L40" t="s">
        <v>72</v>
      </c>
      <c r="M40" t="s">
        <v>73</v>
      </c>
      <c r="N40" t="s">
        <v>74</v>
      </c>
      <c r="O40">
        <v>3</v>
      </c>
      <c r="P40" t="s">
        <v>10</v>
      </c>
      <c r="Q40">
        <v>3.6</v>
      </c>
    </row>
    <row r="41" spans="1:17">
      <c r="A41">
        <v>1694</v>
      </c>
      <c r="B41" t="s">
        <v>33</v>
      </c>
      <c r="C41">
        <v>0.625</v>
      </c>
      <c r="D41">
        <v>0.48499999999999999</v>
      </c>
      <c r="E41">
        <v>0.15</v>
      </c>
      <c r="F41">
        <v>1.044</v>
      </c>
      <c r="G41">
        <v>0.438</v>
      </c>
      <c r="H41">
        <v>0.28649999999999998</v>
      </c>
      <c r="I41">
        <v>0.27800000000000002</v>
      </c>
      <c r="J41">
        <v>9</v>
      </c>
      <c r="K41">
        <v>8</v>
      </c>
      <c r="L41" t="s">
        <v>55</v>
      </c>
      <c r="M41" t="s">
        <v>56</v>
      </c>
      <c r="N41" t="s">
        <v>57</v>
      </c>
      <c r="O41">
        <v>4</v>
      </c>
      <c r="P41" t="s">
        <v>8</v>
      </c>
      <c r="Q41">
        <v>6.1</v>
      </c>
    </row>
    <row r="42" spans="1:17">
      <c r="A42">
        <v>4036</v>
      </c>
      <c r="B42" t="s">
        <v>33</v>
      </c>
      <c r="C42">
        <v>0.52</v>
      </c>
      <c r="D42">
        <v>0.41</v>
      </c>
      <c r="E42">
        <v>0.14000000000000001</v>
      </c>
      <c r="F42">
        <v>0.59950000000000003</v>
      </c>
      <c r="G42">
        <v>0.24199999999999999</v>
      </c>
      <c r="H42">
        <v>0.13750000000000001</v>
      </c>
      <c r="I42">
        <v>0.182</v>
      </c>
      <c r="J42">
        <v>11</v>
      </c>
      <c r="K42">
        <v>5</v>
      </c>
      <c r="L42" t="s">
        <v>67</v>
      </c>
      <c r="M42" t="s">
        <v>68</v>
      </c>
      <c r="N42" t="s">
        <v>69</v>
      </c>
      <c r="O42">
        <v>3</v>
      </c>
      <c r="P42" t="s">
        <v>10</v>
      </c>
      <c r="Q42">
        <v>3.6</v>
      </c>
    </row>
    <row r="43" spans="1:17">
      <c r="A43">
        <v>3278</v>
      </c>
      <c r="B43" t="s">
        <v>33</v>
      </c>
      <c r="C43">
        <v>0.46500000000000002</v>
      </c>
      <c r="D43">
        <v>0.39</v>
      </c>
      <c r="E43">
        <v>0.14000000000000001</v>
      </c>
      <c r="F43">
        <v>0.55549999999999999</v>
      </c>
      <c r="G43">
        <v>0.21299999999999999</v>
      </c>
      <c r="H43">
        <v>0.1075</v>
      </c>
      <c r="I43">
        <v>0.215</v>
      </c>
      <c r="J43">
        <v>15</v>
      </c>
      <c r="K43">
        <v>7</v>
      </c>
      <c r="L43" t="s">
        <v>62</v>
      </c>
      <c r="M43" t="s">
        <v>63</v>
      </c>
      <c r="N43" t="s">
        <v>64</v>
      </c>
      <c r="O43">
        <v>6</v>
      </c>
      <c r="P43" t="s">
        <v>7</v>
      </c>
      <c r="Q43">
        <v>14.1</v>
      </c>
    </row>
    <row r="44" spans="1:17">
      <c r="A44">
        <v>509</v>
      </c>
      <c r="B44" t="s">
        <v>33</v>
      </c>
      <c r="C44">
        <v>0.56000000000000005</v>
      </c>
      <c r="D44">
        <v>0.435</v>
      </c>
      <c r="E44">
        <v>0.18</v>
      </c>
      <c r="F44">
        <v>0.88900000000000001</v>
      </c>
      <c r="G44">
        <v>0.36</v>
      </c>
      <c r="H44">
        <v>0.20399999999999999</v>
      </c>
      <c r="I44">
        <v>0.25</v>
      </c>
      <c r="J44">
        <v>11</v>
      </c>
      <c r="K44">
        <v>5</v>
      </c>
      <c r="L44" t="s">
        <v>67</v>
      </c>
      <c r="M44" t="s">
        <v>68</v>
      </c>
      <c r="N44" t="s">
        <v>69</v>
      </c>
      <c r="O44">
        <v>9</v>
      </c>
      <c r="P44" t="s">
        <v>9</v>
      </c>
      <c r="Q44">
        <v>1.9</v>
      </c>
    </row>
    <row r="45" spans="1:17">
      <c r="A45">
        <v>1960</v>
      </c>
      <c r="B45" t="s">
        <v>33</v>
      </c>
      <c r="C45">
        <v>0.65</v>
      </c>
      <c r="D45">
        <v>0.51</v>
      </c>
      <c r="E45">
        <v>0.155</v>
      </c>
      <c r="F45">
        <v>1.1890000000000001</v>
      </c>
      <c r="G45">
        <v>0.48299999999999998</v>
      </c>
      <c r="H45">
        <v>0.27800000000000002</v>
      </c>
      <c r="I45">
        <v>0.36449999999999999</v>
      </c>
      <c r="J45">
        <v>13</v>
      </c>
      <c r="K45">
        <v>10</v>
      </c>
      <c r="L45" t="s">
        <v>37</v>
      </c>
      <c r="M45" t="s">
        <v>38</v>
      </c>
      <c r="N45" t="s">
        <v>39</v>
      </c>
      <c r="O45">
        <v>1</v>
      </c>
      <c r="P45" t="s">
        <v>4</v>
      </c>
      <c r="Q45">
        <v>22.1</v>
      </c>
    </row>
    <row r="46" spans="1:17">
      <c r="A46">
        <v>2210</v>
      </c>
      <c r="B46" t="s">
        <v>33</v>
      </c>
      <c r="C46">
        <v>0.55000000000000004</v>
      </c>
      <c r="D46">
        <v>0.46500000000000002</v>
      </c>
      <c r="E46">
        <v>0.18</v>
      </c>
      <c r="F46">
        <v>1.2124999999999999</v>
      </c>
      <c r="G46">
        <v>0.32450000000000001</v>
      </c>
      <c r="H46">
        <v>0.20499999999999999</v>
      </c>
      <c r="I46">
        <v>0.52500000000000002</v>
      </c>
      <c r="J46">
        <v>27</v>
      </c>
      <c r="K46">
        <v>15</v>
      </c>
      <c r="L46" t="s">
        <v>60</v>
      </c>
      <c r="M46" t="s">
        <v>61</v>
      </c>
      <c r="N46" t="s">
        <v>45</v>
      </c>
      <c r="O46">
        <v>4</v>
      </c>
      <c r="P46" t="s">
        <v>8</v>
      </c>
      <c r="Q46">
        <v>6.1</v>
      </c>
    </row>
    <row r="47" spans="1:17">
      <c r="A47">
        <v>20</v>
      </c>
      <c r="B47" t="s">
        <v>33</v>
      </c>
      <c r="C47">
        <v>0.45</v>
      </c>
      <c r="D47">
        <v>0.32</v>
      </c>
      <c r="E47">
        <v>0.1</v>
      </c>
      <c r="F47">
        <v>0.38100000000000001</v>
      </c>
      <c r="G47">
        <v>0.17050000000000001</v>
      </c>
      <c r="H47">
        <v>7.4999999999999997E-2</v>
      </c>
      <c r="I47">
        <v>0.115</v>
      </c>
      <c r="J47">
        <v>9</v>
      </c>
      <c r="K47">
        <v>4</v>
      </c>
      <c r="L47" t="s">
        <v>40</v>
      </c>
      <c r="M47" t="s">
        <v>41</v>
      </c>
      <c r="N47" t="s">
        <v>42</v>
      </c>
      <c r="O47">
        <v>8</v>
      </c>
      <c r="P47" t="s">
        <v>13</v>
      </c>
      <c r="Q47">
        <v>12.3</v>
      </c>
    </row>
    <row r="48" spans="1:17">
      <c r="A48">
        <v>853</v>
      </c>
      <c r="B48" t="s">
        <v>33</v>
      </c>
      <c r="C48">
        <v>0.56499999999999995</v>
      </c>
      <c r="D48">
        <v>0.45</v>
      </c>
      <c r="E48">
        <v>0.155</v>
      </c>
      <c r="F48">
        <v>1.0595000000000001</v>
      </c>
      <c r="G48">
        <v>0.47349999999999998</v>
      </c>
      <c r="H48">
        <v>0.24</v>
      </c>
      <c r="I48">
        <v>0.26500000000000001</v>
      </c>
      <c r="J48">
        <v>10</v>
      </c>
      <c r="K48">
        <v>5</v>
      </c>
      <c r="L48" t="s">
        <v>67</v>
      </c>
      <c r="M48" t="s">
        <v>68</v>
      </c>
      <c r="N48" t="s">
        <v>69</v>
      </c>
      <c r="O48">
        <v>6</v>
      </c>
      <c r="P48" t="s">
        <v>7</v>
      </c>
      <c r="Q48">
        <v>14.1</v>
      </c>
    </row>
    <row r="49" spans="1:17">
      <c r="A49">
        <v>2824</v>
      </c>
      <c r="B49" t="s">
        <v>33</v>
      </c>
      <c r="C49">
        <v>0.45500000000000002</v>
      </c>
      <c r="D49">
        <v>0.35</v>
      </c>
      <c r="E49">
        <v>0.105</v>
      </c>
      <c r="F49">
        <v>0.44450000000000001</v>
      </c>
      <c r="G49">
        <v>0.21299999999999999</v>
      </c>
      <c r="H49">
        <v>0.107</v>
      </c>
      <c r="I49">
        <v>0.1115</v>
      </c>
      <c r="J49">
        <v>7</v>
      </c>
      <c r="K49">
        <v>10</v>
      </c>
      <c r="L49" t="s">
        <v>37</v>
      </c>
      <c r="M49" t="s">
        <v>38</v>
      </c>
      <c r="N49" t="s">
        <v>39</v>
      </c>
      <c r="O49">
        <v>10</v>
      </c>
      <c r="P49" t="s">
        <v>11</v>
      </c>
      <c r="Q49">
        <v>24.1</v>
      </c>
    </row>
    <row r="50" spans="1:17">
      <c r="A50">
        <v>804</v>
      </c>
      <c r="B50" t="s">
        <v>33</v>
      </c>
      <c r="C50">
        <v>0.37</v>
      </c>
      <c r="D50">
        <v>0.27500000000000002</v>
      </c>
      <c r="E50">
        <v>0.1</v>
      </c>
      <c r="F50">
        <v>0.22</v>
      </c>
      <c r="G50">
        <v>9.4E-2</v>
      </c>
      <c r="H50">
        <v>4.4999999999999998E-2</v>
      </c>
      <c r="I50">
        <v>6.5000000000000002E-2</v>
      </c>
      <c r="J50">
        <v>7</v>
      </c>
      <c r="K50">
        <v>10</v>
      </c>
      <c r="L50" t="s">
        <v>37</v>
      </c>
      <c r="M50" t="s">
        <v>38</v>
      </c>
      <c r="N50" t="s">
        <v>39</v>
      </c>
      <c r="O50">
        <v>10</v>
      </c>
      <c r="P50" t="s">
        <v>11</v>
      </c>
      <c r="Q50">
        <v>24.1</v>
      </c>
    </row>
    <row r="51" spans="1:17">
      <c r="A51">
        <v>2478</v>
      </c>
      <c r="B51" t="s">
        <v>33</v>
      </c>
      <c r="C51">
        <v>0.56999999999999995</v>
      </c>
      <c r="D51">
        <v>0.42</v>
      </c>
      <c r="E51">
        <v>0.155</v>
      </c>
      <c r="F51">
        <v>1.008</v>
      </c>
      <c r="G51">
        <v>0.377</v>
      </c>
      <c r="H51">
        <v>0.193</v>
      </c>
      <c r="I51">
        <v>0.34</v>
      </c>
      <c r="J51">
        <v>13</v>
      </c>
      <c r="K51">
        <v>12</v>
      </c>
      <c r="L51" t="s">
        <v>58</v>
      </c>
      <c r="M51" t="s">
        <v>59</v>
      </c>
      <c r="N51" t="s">
        <v>45</v>
      </c>
      <c r="O51">
        <v>10</v>
      </c>
      <c r="P51" t="s">
        <v>11</v>
      </c>
      <c r="Q51">
        <v>24.1</v>
      </c>
    </row>
    <row r="52" spans="1:17">
      <c r="A52">
        <v>2011</v>
      </c>
      <c r="B52" t="s">
        <v>33</v>
      </c>
      <c r="C52">
        <v>0.435</v>
      </c>
      <c r="D52">
        <v>0.32500000000000001</v>
      </c>
      <c r="E52">
        <v>0.12</v>
      </c>
      <c r="F52">
        <v>0.34599999999999997</v>
      </c>
      <c r="G52">
        <v>0.159</v>
      </c>
      <c r="H52">
        <v>8.4000000000000005E-2</v>
      </c>
      <c r="I52">
        <v>9.5000000000000001E-2</v>
      </c>
      <c r="J52">
        <v>7</v>
      </c>
      <c r="K52">
        <v>5</v>
      </c>
      <c r="L52" t="s">
        <v>67</v>
      </c>
      <c r="M52" t="s">
        <v>68</v>
      </c>
      <c r="N52" t="s">
        <v>69</v>
      </c>
      <c r="O52">
        <v>8</v>
      </c>
      <c r="P52" t="s">
        <v>13</v>
      </c>
      <c r="Q52">
        <v>12.3</v>
      </c>
    </row>
    <row r="53" spans="1:17">
      <c r="A53">
        <v>3139</v>
      </c>
      <c r="B53" t="s">
        <v>33</v>
      </c>
      <c r="C53">
        <v>0.51</v>
      </c>
      <c r="D53">
        <v>0.4</v>
      </c>
      <c r="E53">
        <v>0.14000000000000001</v>
      </c>
      <c r="F53">
        <v>0.6905</v>
      </c>
      <c r="G53">
        <v>0.25900000000000001</v>
      </c>
      <c r="H53">
        <v>0.151</v>
      </c>
      <c r="I53">
        <v>0.23</v>
      </c>
      <c r="J53">
        <v>10</v>
      </c>
      <c r="K53">
        <v>11</v>
      </c>
      <c r="L53" t="s">
        <v>65</v>
      </c>
      <c r="M53" t="s">
        <v>66</v>
      </c>
      <c r="N53" t="s">
        <v>45</v>
      </c>
      <c r="O53">
        <v>2</v>
      </c>
      <c r="P53" t="s">
        <v>5</v>
      </c>
      <c r="Q53">
        <v>18</v>
      </c>
    </row>
    <row r="54" spans="1:17">
      <c r="A54">
        <v>19</v>
      </c>
      <c r="B54" t="s">
        <v>33</v>
      </c>
      <c r="C54">
        <v>0.36499999999999999</v>
      </c>
      <c r="D54">
        <v>0.29499999999999998</v>
      </c>
      <c r="E54">
        <v>0.08</v>
      </c>
      <c r="F54">
        <v>0.2555</v>
      </c>
      <c r="G54">
        <v>9.7000000000000003E-2</v>
      </c>
      <c r="H54">
        <v>4.2999999999999997E-2</v>
      </c>
      <c r="I54">
        <v>0.1</v>
      </c>
      <c r="J54">
        <v>7</v>
      </c>
      <c r="K54">
        <v>5</v>
      </c>
      <c r="L54" t="s">
        <v>67</v>
      </c>
      <c r="M54" t="s">
        <v>68</v>
      </c>
      <c r="N54" t="s">
        <v>69</v>
      </c>
      <c r="O54">
        <v>4</v>
      </c>
      <c r="P54" t="s">
        <v>8</v>
      </c>
      <c r="Q54">
        <v>6.1</v>
      </c>
    </row>
    <row r="55" spans="1:17">
      <c r="A55">
        <v>3669</v>
      </c>
      <c r="B55" t="s">
        <v>33</v>
      </c>
      <c r="C55">
        <v>0.58499999999999996</v>
      </c>
      <c r="D55">
        <v>0.46500000000000002</v>
      </c>
      <c r="E55">
        <v>0.14499999999999999</v>
      </c>
      <c r="F55">
        <v>0.98550000000000004</v>
      </c>
      <c r="G55">
        <v>0.4325</v>
      </c>
      <c r="H55">
        <v>0.2145</v>
      </c>
      <c r="I55">
        <v>0.28449999999999998</v>
      </c>
      <c r="J55">
        <v>10</v>
      </c>
      <c r="K55">
        <v>8</v>
      </c>
      <c r="L55" t="s">
        <v>55</v>
      </c>
      <c r="M55" t="s">
        <v>56</v>
      </c>
      <c r="N55" t="s">
        <v>57</v>
      </c>
      <c r="O55">
        <v>9</v>
      </c>
      <c r="P55" t="s">
        <v>9</v>
      </c>
      <c r="Q55">
        <v>1.9</v>
      </c>
    </row>
    <row r="56" spans="1:17">
      <c r="A56">
        <v>3917</v>
      </c>
      <c r="B56" t="s">
        <v>33</v>
      </c>
      <c r="C56">
        <v>0.52</v>
      </c>
      <c r="D56">
        <v>0.41</v>
      </c>
      <c r="E56">
        <v>0.16</v>
      </c>
      <c r="F56">
        <v>0.71199999999999997</v>
      </c>
      <c r="G56">
        <v>0.28449999999999998</v>
      </c>
      <c r="H56">
        <v>0.153</v>
      </c>
      <c r="I56">
        <v>0.22500000000000001</v>
      </c>
      <c r="J56">
        <v>10</v>
      </c>
      <c r="K56">
        <v>6</v>
      </c>
      <c r="L56" t="s">
        <v>46</v>
      </c>
      <c r="M56" t="s">
        <v>47</v>
      </c>
      <c r="N56" t="s">
        <v>48</v>
      </c>
      <c r="O56">
        <v>5</v>
      </c>
      <c r="P56" t="s">
        <v>12</v>
      </c>
      <c r="Q56">
        <v>12.8</v>
      </c>
    </row>
    <row r="57" spans="1:17">
      <c r="A57">
        <v>2247</v>
      </c>
      <c r="B57" t="s">
        <v>33</v>
      </c>
      <c r="C57">
        <v>0.38</v>
      </c>
      <c r="D57">
        <v>0.32500000000000001</v>
      </c>
      <c r="E57">
        <v>0.11</v>
      </c>
      <c r="F57">
        <v>0.3105</v>
      </c>
      <c r="G57">
        <v>0.12</v>
      </c>
      <c r="H57">
        <v>7.3999999999999996E-2</v>
      </c>
      <c r="I57">
        <v>0.105</v>
      </c>
      <c r="J57">
        <v>10</v>
      </c>
      <c r="K57">
        <v>13</v>
      </c>
      <c r="L57" t="s">
        <v>43</v>
      </c>
      <c r="M57" t="s">
        <v>44</v>
      </c>
      <c r="N57" t="s">
        <v>45</v>
      </c>
      <c r="O57">
        <v>5</v>
      </c>
      <c r="P57" t="s">
        <v>12</v>
      </c>
      <c r="Q57">
        <v>12.8</v>
      </c>
    </row>
    <row r="58" spans="1:17">
      <c r="A58">
        <v>2524</v>
      </c>
      <c r="B58" t="s">
        <v>33</v>
      </c>
      <c r="C58">
        <v>0.56499999999999995</v>
      </c>
      <c r="D58">
        <v>0.44</v>
      </c>
      <c r="E58">
        <v>0.15</v>
      </c>
      <c r="F58">
        <v>0.98299999999999998</v>
      </c>
      <c r="G58">
        <v>0.44750000000000001</v>
      </c>
      <c r="H58">
        <v>0.23549999999999999</v>
      </c>
      <c r="I58">
        <v>0.2485</v>
      </c>
      <c r="J58">
        <v>9</v>
      </c>
      <c r="K58">
        <v>7</v>
      </c>
      <c r="L58" t="s">
        <v>62</v>
      </c>
      <c r="M58" t="s">
        <v>63</v>
      </c>
      <c r="N58" t="s">
        <v>64</v>
      </c>
      <c r="O58">
        <v>1</v>
      </c>
      <c r="P58" t="s">
        <v>4</v>
      </c>
      <c r="Q58">
        <v>22.1</v>
      </c>
    </row>
    <row r="59" spans="1:17">
      <c r="A59">
        <v>667</v>
      </c>
      <c r="B59" t="s">
        <v>33</v>
      </c>
      <c r="C59">
        <v>0.45500000000000002</v>
      </c>
      <c r="D59">
        <v>0.35</v>
      </c>
      <c r="E59">
        <v>0.12</v>
      </c>
      <c r="F59">
        <v>0.48349999999999999</v>
      </c>
      <c r="G59">
        <v>0.18149999999999999</v>
      </c>
      <c r="H59">
        <v>0.14399999999999999</v>
      </c>
      <c r="I59">
        <v>0.16</v>
      </c>
      <c r="J59">
        <v>11</v>
      </c>
      <c r="K59">
        <v>3</v>
      </c>
      <c r="L59" t="s">
        <v>52</v>
      </c>
      <c r="M59" t="s">
        <v>53</v>
      </c>
      <c r="N59" t="s">
        <v>54</v>
      </c>
      <c r="O59">
        <v>5</v>
      </c>
      <c r="P59" t="s">
        <v>12</v>
      </c>
      <c r="Q59">
        <v>12.8</v>
      </c>
    </row>
    <row r="60" spans="1:17">
      <c r="A60">
        <v>1597</v>
      </c>
      <c r="B60" t="s">
        <v>33</v>
      </c>
      <c r="C60">
        <v>0.53</v>
      </c>
      <c r="D60">
        <v>0.42</v>
      </c>
      <c r="E60">
        <v>0.12</v>
      </c>
      <c r="F60">
        <v>0.59650000000000003</v>
      </c>
      <c r="G60">
        <v>0.2555</v>
      </c>
      <c r="H60">
        <v>0.14099999999999999</v>
      </c>
      <c r="I60">
        <v>0.17699999999999999</v>
      </c>
      <c r="J60">
        <v>7</v>
      </c>
      <c r="K60">
        <v>1</v>
      </c>
      <c r="L60" t="s">
        <v>70</v>
      </c>
      <c r="M60" t="s">
        <v>71</v>
      </c>
      <c r="N60" t="s">
        <v>45</v>
      </c>
      <c r="O60">
        <v>1</v>
      </c>
      <c r="P60" t="s">
        <v>4</v>
      </c>
      <c r="Q60">
        <v>22.1</v>
      </c>
    </row>
    <row r="61" spans="1:17">
      <c r="A61">
        <v>4134</v>
      </c>
      <c r="B61" t="s">
        <v>33</v>
      </c>
      <c r="C61">
        <v>0.58499999999999996</v>
      </c>
      <c r="D61">
        <v>0.45</v>
      </c>
      <c r="E61">
        <v>0.15</v>
      </c>
      <c r="F61">
        <v>0.997</v>
      </c>
      <c r="G61">
        <v>0.40550000000000003</v>
      </c>
      <c r="H61">
        <v>0.28299999999999997</v>
      </c>
      <c r="I61">
        <v>0.251</v>
      </c>
      <c r="J61">
        <v>11</v>
      </c>
      <c r="K61">
        <v>5</v>
      </c>
      <c r="L61" t="s">
        <v>67</v>
      </c>
      <c r="M61" t="s">
        <v>68</v>
      </c>
      <c r="N61" t="s">
        <v>69</v>
      </c>
      <c r="O61">
        <v>1</v>
      </c>
      <c r="P61" t="s">
        <v>4</v>
      </c>
      <c r="Q61">
        <v>22.1</v>
      </c>
    </row>
    <row r="62" spans="1:17">
      <c r="A62">
        <v>535</v>
      </c>
      <c r="B62" t="s">
        <v>33</v>
      </c>
      <c r="C62">
        <v>0.47</v>
      </c>
      <c r="D62">
        <v>0.37</v>
      </c>
      <c r="E62">
        <v>0.14000000000000001</v>
      </c>
      <c r="F62">
        <v>0.4985</v>
      </c>
      <c r="G62">
        <v>0.20949999999999999</v>
      </c>
      <c r="H62">
        <v>0.1225</v>
      </c>
      <c r="I62">
        <v>0.14499999999999999</v>
      </c>
      <c r="J62">
        <v>10</v>
      </c>
      <c r="K62">
        <v>7</v>
      </c>
      <c r="L62" t="s">
        <v>62</v>
      </c>
      <c r="M62" t="s">
        <v>63</v>
      </c>
      <c r="N62" t="s">
        <v>64</v>
      </c>
      <c r="O62">
        <v>5</v>
      </c>
      <c r="P62" t="s">
        <v>12</v>
      </c>
      <c r="Q62">
        <v>12.8</v>
      </c>
    </row>
    <row r="63" spans="1:17">
      <c r="A63">
        <v>3720</v>
      </c>
      <c r="B63" t="s">
        <v>33</v>
      </c>
      <c r="C63">
        <v>0.38</v>
      </c>
      <c r="D63">
        <v>0.28000000000000003</v>
      </c>
      <c r="E63">
        <v>9.5000000000000001E-2</v>
      </c>
      <c r="F63">
        <v>0.28849999999999998</v>
      </c>
      <c r="G63">
        <v>0.16500000000000001</v>
      </c>
      <c r="H63">
        <v>4.3499999999999997E-2</v>
      </c>
      <c r="I63">
        <v>6.7000000000000004E-2</v>
      </c>
      <c r="J63">
        <v>7</v>
      </c>
      <c r="K63">
        <v>13</v>
      </c>
      <c r="L63" t="s">
        <v>43</v>
      </c>
      <c r="M63" t="s">
        <v>44</v>
      </c>
      <c r="N63" t="s">
        <v>45</v>
      </c>
      <c r="O63">
        <v>2</v>
      </c>
      <c r="P63" t="s">
        <v>5</v>
      </c>
      <c r="Q63">
        <v>18</v>
      </c>
    </row>
    <row r="64" spans="1:17">
      <c r="A64">
        <v>1202</v>
      </c>
      <c r="B64" t="s">
        <v>33</v>
      </c>
      <c r="C64">
        <v>0.72</v>
      </c>
      <c r="D64">
        <v>0.56499999999999995</v>
      </c>
      <c r="E64">
        <v>0.14499999999999999</v>
      </c>
      <c r="F64">
        <v>1.1870000000000001</v>
      </c>
      <c r="G64">
        <v>0.69099999999999995</v>
      </c>
      <c r="H64">
        <v>0.19450000000000001</v>
      </c>
      <c r="I64">
        <v>0.26850000000000002</v>
      </c>
      <c r="J64">
        <v>8</v>
      </c>
      <c r="K64">
        <v>7</v>
      </c>
      <c r="L64" t="s">
        <v>62</v>
      </c>
      <c r="M64" t="s">
        <v>63</v>
      </c>
      <c r="N64" t="s">
        <v>64</v>
      </c>
      <c r="O64">
        <v>2</v>
      </c>
      <c r="P64" t="s">
        <v>5</v>
      </c>
      <c r="Q64">
        <v>18</v>
      </c>
    </row>
    <row r="65" spans="1:17">
      <c r="A65">
        <v>3366</v>
      </c>
      <c r="B65" t="s">
        <v>33</v>
      </c>
      <c r="C65">
        <v>0.44</v>
      </c>
      <c r="D65">
        <v>0.31</v>
      </c>
      <c r="E65">
        <v>0.115</v>
      </c>
      <c r="F65">
        <v>0.36249999999999999</v>
      </c>
      <c r="G65">
        <v>0.13400000000000001</v>
      </c>
      <c r="H65">
        <v>8.2000000000000003E-2</v>
      </c>
      <c r="I65">
        <v>0.12</v>
      </c>
      <c r="J65">
        <v>11</v>
      </c>
      <c r="K65">
        <v>2</v>
      </c>
      <c r="L65" t="s">
        <v>49</v>
      </c>
      <c r="M65" t="s">
        <v>50</v>
      </c>
      <c r="N65" t="s">
        <v>51</v>
      </c>
      <c r="O65">
        <v>8</v>
      </c>
      <c r="P65" t="s">
        <v>13</v>
      </c>
      <c r="Q65">
        <v>12.3</v>
      </c>
    </row>
    <row r="66" spans="1:17">
      <c r="A66">
        <v>3633</v>
      </c>
      <c r="B66" t="s">
        <v>33</v>
      </c>
      <c r="C66">
        <v>0.3</v>
      </c>
      <c r="D66">
        <v>0.22500000000000001</v>
      </c>
      <c r="E66">
        <v>7.4999999999999997E-2</v>
      </c>
      <c r="F66">
        <v>0.13450000000000001</v>
      </c>
      <c r="G66">
        <v>5.7000000000000002E-2</v>
      </c>
      <c r="H66">
        <v>2.8000000000000001E-2</v>
      </c>
      <c r="I66">
        <v>4.3999999999999997E-2</v>
      </c>
      <c r="J66">
        <v>5</v>
      </c>
      <c r="K66">
        <v>5</v>
      </c>
      <c r="L66" t="s">
        <v>67</v>
      </c>
      <c r="M66" t="s">
        <v>68</v>
      </c>
      <c r="N66" t="s">
        <v>69</v>
      </c>
      <c r="O66">
        <v>5</v>
      </c>
      <c r="P66" t="s">
        <v>12</v>
      </c>
      <c r="Q66">
        <v>12.8</v>
      </c>
    </row>
    <row r="67" spans="1:17">
      <c r="A67">
        <v>4076</v>
      </c>
      <c r="B67" t="s">
        <v>33</v>
      </c>
      <c r="C67">
        <v>0.54500000000000004</v>
      </c>
      <c r="D67">
        <v>0.45</v>
      </c>
      <c r="E67">
        <v>0.15</v>
      </c>
      <c r="F67">
        <v>0.78049999999999997</v>
      </c>
      <c r="G67">
        <v>0.3795</v>
      </c>
      <c r="H67">
        <v>0.16250000000000001</v>
      </c>
      <c r="I67">
        <v>0.216</v>
      </c>
      <c r="J67">
        <v>8</v>
      </c>
      <c r="K67">
        <v>9</v>
      </c>
      <c r="L67" t="s">
        <v>34</v>
      </c>
      <c r="M67" t="s">
        <v>35</v>
      </c>
      <c r="N67" t="s">
        <v>36</v>
      </c>
      <c r="O67">
        <v>7</v>
      </c>
      <c r="P67" t="s">
        <v>6</v>
      </c>
      <c r="Q67">
        <v>2.5</v>
      </c>
    </row>
    <row r="68" spans="1:17">
      <c r="A68">
        <v>3671</v>
      </c>
      <c r="B68" t="s">
        <v>33</v>
      </c>
      <c r="C68">
        <v>0.59</v>
      </c>
      <c r="D68">
        <v>0.46500000000000002</v>
      </c>
      <c r="E68">
        <v>0.13500000000000001</v>
      </c>
      <c r="F68">
        <v>0.98950000000000005</v>
      </c>
      <c r="G68">
        <v>0.42349999999999999</v>
      </c>
      <c r="H68">
        <v>0.19900000000000001</v>
      </c>
      <c r="I68">
        <v>0.28000000000000003</v>
      </c>
      <c r="J68">
        <v>8</v>
      </c>
      <c r="K68">
        <v>8</v>
      </c>
      <c r="L68" t="s">
        <v>55</v>
      </c>
      <c r="M68" t="s">
        <v>56</v>
      </c>
      <c r="N68" t="s">
        <v>57</v>
      </c>
      <c r="O68">
        <v>4</v>
      </c>
      <c r="P68" t="s">
        <v>8</v>
      </c>
      <c r="Q68">
        <v>6.1</v>
      </c>
    </row>
    <row r="69" spans="1:17">
      <c r="A69">
        <v>3774</v>
      </c>
      <c r="B69" t="s">
        <v>33</v>
      </c>
      <c r="C69">
        <v>0.57499999999999996</v>
      </c>
      <c r="D69">
        <v>0.46</v>
      </c>
      <c r="E69">
        <v>0.15</v>
      </c>
      <c r="F69">
        <v>0.92700000000000005</v>
      </c>
      <c r="G69">
        <v>0.33300000000000002</v>
      </c>
      <c r="H69">
        <v>0.20699999999999999</v>
      </c>
      <c r="I69">
        <v>0.29849999999999999</v>
      </c>
      <c r="J69">
        <v>9</v>
      </c>
      <c r="K69">
        <v>5</v>
      </c>
      <c r="L69" t="s">
        <v>67</v>
      </c>
      <c r="M69" t="s">
        <v>68</v>
      </c>
      <c r="N69" t="s">
        <v>69</v>
      </c>
      <c r="O69">
        <v>1</v>
      </c>
      <c r="P69" t="s">
        <v>4</v>
      </c>
      <c r="Q69">
        <v>22.1</v>
      </c>
    </row>
    <row r="70" spans="1:17">
      <c r="A70">
        <v>281</v>
      </c>
      <c r="B70" t="s">
        <v>33</v>
      </c>
      <c r="C70">
        <v>0.53500000000000003</v>
      </c>
      <c r="D70">
        <v>0.41499999999999998</v>
      </c>
      <c r="E70">
        <v>0.185</v>
      </c>
      <c r="F70">
        <v>0.84150000000000003</v>
      </c>
      <c r="G70">
        <v>0.314</v>
      </c>
      <c r="H70">
        <v>0.1585</v>
      </c>
      <c r="I70">
        <v>0.3</v>
      </c>
      <c r="J70">
        <v>15</v>
      </c>
      <c r="K70">
        <v>9</v>
      </c>
      <c r="L70" t="s">
        <v>34</v>
      </c>
      <c r="M70" t="s">
        <v>35</v>
      </c>
      <c r="N70" t="s">
        <v>36</v>
      </c>
      <c r="O70">
        <v>5</v>
      </c>
      <c r="P70" t="s">
        <v>12</v>
      </c>
      <c r="Q70">
        <v>12.8</v>
      </c>
    </row>
    <row r="71" spans="1:17">
      <c r="A71">
        <v>2924</v>
      </c>
      <c r="B71" t="s">
        <v>33</v>
      </c>
      <c r="C71">
        <v>0.60499999999999998</v>
      </c>
      <c r="D71">
        <v>0.495</v>
      </c>
      <c r="E71">
        <v>0.17</v>
      </c>
      <c r="F71">
        <v>1.0914999999999999</v>
      </c>
      <c r="G71">
        <v>0.4365</v>
      </c>
      <c r="H71">
        <v>0.27150000000000002</v>
      </c>
      <c r="I71">
        <v>0.33500000000000002</v>
      </c>
      <c r="J71">
        <v>13</v>
      </c>
      <c r="K71">
        <v>9</v>
      </c>
      <c r="L71" t="s">
        <v>34</v>
      </c>
      <c r="M71" t="s">
        <v>35</v>
      </c>
      <c r="N71" t="s">
        <v>36</v>
      </c>
      <c r="O71">
        <v>9</v>
      </c>
      <c r="P71" t="s">
        <v>9</v>
      </c>
      <c r="Q71">
        <v>1.9</v>
      </c>
    </row>
    <row r="72" spans="1:17">
      <c r="A72">
        <v>287</v>
      </c>
      <c r="B72" t="s">
        <v>33</v>
      </c>
      <c r="C72">
        <v>0.53</v>
      </c>
      <c r="D72">
        <v>0.435</v>
      </c>
      <c r="E72">
        <v>0.155</v>
      </c>
      <c r="F72">
        <v>0.69899999999999995</v>
      </c>
      <c r="G72">
        <v>0.28799999999999998</v>
      </c>
      <c r="H72">
        <v>0.1595</v>
      </c>
      <c r="I72">
        <v>0.20499999999999999</v>
      </c>
      <c r="J72">
        <v>10</v>
      </c>
      <c r="K72">
        <v>12</v>
      </c>
      <c r="L72" t="s">
        <v>58</v>
      </c>
      <c r="M72" t="s">
        <v>59</v>
      </c>
      <c r="N72" t="s">
        <v>45</v>
      </c>
      <c r="O72">
        <v>9</v>
      </c>
      <c r="P72" t="s">
        <v>9</v>
      </c>
      <c r="Q72">
        <v>1.9</v>
      </c>
    </row>
    <row r="73" spans="1:17">
      <c r="A73">
        <v>2664</v>
      </c>
      <c r="B73" t="s">
        <v>33</v>
      </c>
      <c r="C73">
        <v>0.56999999999999995</v>
      </c>
      <c r="D73">
        <v>0.45</v>
      </c>
      <c r="E73">
        <v>0.13500000000000001</v>
      </c>
      <c r="F73">
        <v>1.02</v>
      </c>
      <c r="G73">
        <v>0.54600000000000004</v>
      </c>
      <c r="H73">
        <v>0.20399999999999999</v>
      </c>
      <c r="I73">
        <v>0.25</v>
      </c>
      <c r="J73">
        <v>9</v>
      </c>
      <c r="K73">
        <v>7</v>
      </c>
      <c r="L73" t="s">
        <v>62</v>
      </c>
      <c r="M73" t="s">
        <v>63</v>
      </c>
      <c r="N73" t="s">
        <v>64</v>
      </c>
      <c r="O73">
        <v>5</v>
      </c>
      <c r="P73" t="s">
        <v>12</v>
      </c>
      <c r="Q73">
        <v>12.8</v>
      </c>
    </row>
    <row r="74" spans="1:17">
      <c r="A74">
        <v>2515</v>
      </c>
      <c r="B74" t="s">
        <v>33</v>
      </c>
      <c r="C74">
        <v>0.47</v>
      </c>
      <c r="D74">
        <v>0.37</v>
      </c>
      <c r="E74">
        <v>0.11</v>
      </c>
      <c r="F74">
        <v>0.55549999999999999</v>
      </c>
      <c r="G74">
        <v>0.25</v>
      </c>
      <c r="H74">
        <v>0.115</v>
      </c>
      <c r="I74">
        <v>0.16300000000000001</v>
      </c>
      <c r="J74">
        <v>8</v>
      </c>
      <c r="K74">
        <v>2</v>
      </c>
      <c r="L74" t="s">
        <v>49</v>
      </c>
      <c r="M74" t="s">
        <v>50</v>
      </c>
      <c r="N74" t="s">
        <v>51</v>
      </c>
      <c r="O74">
        <v>9</v>
      </c>
      <c r="P74" t="s">
        <v>9</v>
      </c>
      <c r="Q74">
        <v>1.9</v>
      </c>
    </row>
    <row r="75" spans="1:17">
      <c r="A75">
        <v>1666</v>
      </c>
      <c r="B75" t="s">
        <v>33</v>
      </c>
      <c r="C75">
        <v>0.60499999999999998</v>
      </c>
      <c r="D75">
        <v>0.48</v>
      </c>
      <c r="E75">
        <v>0.14000000000000001</v>
      </c>
      <c r="F75">
        <v>0.99099999999999999</v>
      </c>
      <c r="G75">
        <v>0.47349999999999998</v>
      </c>
      <c r="H75">
        <v>0.23449999999999999</v>
      </c>
      <c r="I75">
        <v>0.24</v>
      </c>
      <c r="J75">
        <v>8</v>
      </c>
      <c r="K75">
        <v>12</v>
      </c>
      <c r="L75" t="s">
        <v>58</v>
      </c>
      <c r="M75" t="s">
        <v>59</v>
      </c>
      <c r="N75" t="s">
        <v>45</v>
      </c>
      <c r="O75">
        <v>5</v>
      </c>
      <c r="P75" t="s">
        <v>12</v>
      </c>
      <c r="Q75">
        <v>12.8</v>
      </c>
    </row>
    <row r="76" spans="1:17">
      <c r="A76">
        <v>3817</v>
      </c>
      <c r="B76" t="s">
        <v>33</v>
      </c>
      <c r="C76">
        <v>0.46500000000000002</v>
      </c>
      <c r="D76">
        <v>0.35499999999999998</v>
      </c>
      <c r="E76">
        <v>0.12</v>
      </c>
      <c r="F76">
        <v>0.53149999999999997</v>
      </c>
      <c r="G76">
        <v>0.27250000000000002</v>
      </c>
      <c r="H76">
        <v>9.7000000000000003E-2</v>
      </c>
      <c r="I76">
        <v>0.13950000000000001</v>
      </c>
      <c r="J76">
        <v>8</v>
      </c>
      <c r="K76">
        <v>2</v>
      </c>
      <c r="L76" t="s">
        <v>49</v>
      </c>
      <c r="M76" t="s">
        <v>50</v>
      </c>
      <c r="N76" t="s">
        <v>51</v>
      </c>
      <c r="O76">
        <v>9</v>
      </c>
      <c r="P76" t="s">
        <v>9</v>
      </c>
      <c r="Q76">
        <v>1.9</v>
      </c>
    </row>
    <row r="77" spans="1:17">
      <c r="A77">
        <v>2766</v>
      </c>
      <c r="B77" t="s">
        <v>33</v>
      </c>
      <c r="C77">
        <v>0.55500000000000005</v>
      </c>
      <c r="D77">
        <v>0.435</v>
      </c>
      <c r="E77">
        <v>0.14499999999999999</v>
      </c>
      <c r="F77">
        <v>0.69750000000000001</v>
      </c>
      <c r="G77">
        <v>0.26200000000000001</v>
      </c>
      <c r="H77">
        <v>0.1575</v>
      </c>
      <c r="I77">
        <v>0.24</v>
      </c>
      <c r="J77">
        <v>11</v>
      </c>
      <c r="K77">
        <v>12</v>
      </c>
      <c r="L77" t="s">
        <v>58</v>
      </c>
      <c r="M77" t="s">
        <v>59</v>
      </c>
      <c r="N77" t="s">
        <v>45</v>
      </c>
      <c r="O77">
        <v>10</v>
      </c>
      <c r="P77" t="s">
        <v>11</v>
      </c>
      <c r="Q77">
        <v>24.1</v>
      </c>
    </row>
    <row r="78" spans="1:17">
      <c r="A78">
        <v>694</v>
      </c>
      <c r="B78" t="s">
        <v>33</v>
      </c>
      <c r="C78">
        <v>0.38</v>
      </c>
      <c r="D78">
        <v>0.28999999999999998</v>
      </c>
      <c r="E78">
        <v>0.12</v>
      </c>
      <c r="F78">
        <v>0.28299999999999997</v>
      </c>
      <c r="G78">
        <v>0.11749999999999999</v>
      </c>
      <c r="H78">
        <v>6.5500000000000003E-2</v>
      </c>
      <c r="I78">
        <v>8.5000000000000006E-2</v>
      </c>
      <c r="J78">
        <v>9</v>
      </c>
      <c r="K78">
        <v>13</v>
      </c>
      <c r="L78" t="s">
        <v>43</v>
      </c>
      <c r="M78" t="s">
        <v>44</v>
      </c>
      <c r="N78" t="s">
        <v>45</v>
      </c>
      <c r="O78">
        <v>2</v>
      </c>
      <c r="P78" t="s">
        <v>5</v>
      </c>
      <c r="Q78">
        <v>18</v>
      </c>
    </row>
    <row r="79" spans="1:17">
      <c r="A79">
        <v>2282</v>
      </c>
      <c r="B79" t="s">
        <v>33</v>
      </c>
      <c r="C79">
        <v>0.48499999999999999</v>
      </c>
      <c r="D79">
        <v>0.41499999999999998</v>
      </c>
      <c r="E79">
        <v>0.14000000000000001</v>
      </c>
      <c r="F79">
        <v>0.57050000000000001</v>
      </c>
      <c r="G79">
        <v>0.25</v>
      </c>
      <c r="H79">
        <v>0.13400000000000001</v>
      </c>
      <c r="I79">
        <v>0.185</v>
      </c>
      <c r="J79">
        <v>8</v>
      </c>
      <c r="K79">
        <v>14</v>
      </c>
      <c r="L79" t="s">
        <v>72</v>
      </c>
      <c r="M79" t="s">
        <v>73</v>
      </c>
      <c r="N79" t="s">
        <v>74</v>
      </c>
      <c r="O79">
        <v>5</v>
      </c>
      <c r="P79" t="s">
        <v>12</v>
      </c>
      <c r="Q79">
        <v>12.8</v>
      </c>
    </row>
    <row r="80" spans="1:17">
      <c r="A80">
        <v>3496</v>
      </c>
      <c r="B80" t="s">
        <v>33</v>
      </c>
      <c r="C80">
        <v>0.56000000000000005</v>
      </c>
      <c r="D80">
        <v>0.41499999999999998</v>
      </c>
      <c r="E80">
        <v>0.13</v>
      </c>
      <c r="F80">
        <v>0.76149999999999995</v>
      </c>
      <c r="G80">
        <v>0.3695</v>
      </c>
      <c r="H80">
        <v>0.17</v>
      </c>
      <c r="I80">
        <v>0.19550000000000001</v>
      </c>
      <c r="J80">
        <v>8</v>
      </c>
      <c r="K80">
        <v>13</v>
      </c>
      <c r="L80" t="s">
        <v>43</v>
      </c>
      <c r="M80" t="s">
        <v>44</v>
      </c>
      <c r="N80" t="s">
        <v>45</v>
      </c>
      <c r="O80">
        <v>9</v>
      </c>
      <c r="P80" t="s">
        <v>9</v>
      </c>
      <c r="Q80">
        <v>1.9</v>
      </c>
    </row>
    <row r="81" spans="1:17">
      <c r="A81">
        <v>2441</v>
      </c>
      <c r="B81" t="s">
        <v>33</v>
      </c>
      <c r="C81">
        <v>0.46500000000000002</v>
      </c>
      <c r="D81">
        <v>0.35499999999999998</v>
      </c>
      <c r="E81">
        <v>0.125</v>
      </c>
      <c r="F81">
        <v>0.52549999999999997</v>
      </c>
      <c r="G81">
        <v>0.20250000000000001</v>
      </c>
      <c r="H81">
        <v>0.13500000000000001</v>
      </c>
      <c r="I81">
        <v>0.14499999999999999</v>
      </c>
      <c r="J81">
        <v>13</v>
      </c>
      <c r="K81">
        <v>14</v>
      </c>
      <c r="L81" t="s">
        <v>72</v>
      </c>
      <c r="M81" t="s">
        <v>73</v>
      </c>
      <c r="N81" t="s">
        <v>74</v>
      </c>
      <c r="O81">
        <v>5</v>
      </c>
      <c r="P81" t="s">
        <v>12</v>
      </c>
      <c r="Q81">
        <v>12.8</v>
      </c>
    </row>
    <row r="82" spans="1:17">
      <c r="A82">
        <v>1168</v>
      </c>
      <c r="B82" t="s">
        <v>33</v>
      </c>
      <c r="C82">
        <v>0.62</v>
      </c>
      <c r="D82">
        <v>0.47</v>
      </c>
      <c r="E82">
        <v>0.13500000000000001</v>
      </c>
      <c r="F82">
        <v>1.0195000000000001</v>
      </c>
      <c r="G82">
        <v>0.53149999999999997</v>
      </c>
      <c r="H82">
        <v>0.20050000000000001</v>
      </c>
      <c r="I82">
        <v>0.2475</v>
      </c>
      <c r="J82">
        <v>8</v>
      </c>
      <c r="K82">
        <v>11</v>
      </c>
      <c r="L82" t="s">
        <v>65</v>
      </c>
      <c r="M82" t="s">
        <v>66</v>
      </c>
      <c r="N82" t="s">
        <v>45</v>
      </c>
      <c r="O82">
        <v>9</v>
      </c>
      <c r="P82" t="s">
        <v>9</v>
      </c>
      <c r="Q82">
        <v>1.9</v>
      </c>
    </row>
    <row r="83" spans="1:17">
      <c r="A83">
        <v>609</v>
      </c>
      <c r="B83" t="s">
        <v>33</v>
      </c>
      <c r="C83">
        <v>0.37</v>
      </c>
      <c r="D83">
        <v>0.28499999999999998</v>
      </c>
      <c r="E83">
        <v>0.1</v>
      </c>
      <c r="F83">
        <v>0.22800000000000001</v>
      </c>
      <c r="G83">
        <v>6.7500000000000004E-2</v>
      </c>
      <c r="H83">
        <v>6.7500000000000004E-2</v>
      </c>
      <c r="I83">
        <v>8.1000000000000003E-2</v>
      </c>
      <c r="J83">
        <v>10</v>
      </c>
      <c r="K83">
        <v>4</v>
      </c>
      <c r="L83" t="s">
        <v>40</v>
      </c>
      <c r="M83" t="s">
        <v>41</v>
      </c>
      <c r="N83" t="s">
        <v>42</v>
      </c>
      <c r="O83">
        <v>9</v>
      </c>
      <c r="P83" t="s">
        <v>9</v>
      </c>
      <c r="Q83">
        <v>1.9</v>
      </c>
    </row>
    <row r="84" spans="1:17">
      <c r="A84">
        <v>3768</v>
      </c>
      <c r="B84" t="s">
        <v>33</v>
      </c>
      <c r="C84">
        <v>0.55500000000000005</v>
      </c>
      <c r="D84">
        <v>0.46</v>
      </c>
      <c r="E84">
        <v>0.16</v>
      </c>
      <c r="F84">
        <v>0.86</v>
      </c>
      <c r="G84">
        <v>0.33450000000000002</v>
      </c>
      <c r="H84">
        <v>0.19350000000000001</v>
      </c>
      <c r="I84">
        <v>0.27500000000000002</v>
      </c>
      <c r="J84">
        <v>10</v>
      </c>
      <c r="K84">
        <v>5</v>
      </c>
      <c r="L84" t="s">
        <v>67</v>
      </c>
      <c r="M84" t="s">
        <v>68</v>
      </c>
      <c r="N84" t="s">
        <v>69</v>
      </c>
      <c r="O84">
        <v>8</v>
      </c>
      <c r="P84" t="s">
        <v>13</v>
      </c>
      <c r="Q84">
        <v>12.3</v>
      </c>
    </row>
    <row r="85" spans="1:17">
      <c r="A85">
        <v>1311</v>
      </c>
      <c r="B85" t="s">
        <v>33</v>
      </c>
      <c r="C85">
        <v>0.54500000000000004</v>
      </c>
      <c r="D85">
        <v>0.40500000000000003</v>
      </c>
      <c r="E85">
        <v>0.13500000000000001</v>
      </c>
      <c r="F85">
        <v>0.59450000000000003</v>
      </c>
      <c r="G85">
        <v>0.27</v>
      </c>
      <c r="H85">
        <v>0.11849999999999999</v>
      </c>
      <c r="I85">
        <v>0.185</v>
      </c>
      <c r="J85">
        <v>8</v>
      </c>
      <c r="K85">
        <v>3</v>
      </c>
      <c r="L85" t="s">
        <v>52</v>
      </c>
      <c r="M85" t="s">
        <v>53</v>
      </c>
      <c r="N85" t="s">
        <v>54</v>
      </c>
      <c r="O85">
        <v>4</v>
      </c>
      <c r="P85" t="s">
        <v>8</v>
      </c>
      <c r="Q85">
        <v>6.1</v>
      </c>
    </row>
    <row r="86" spans="1:17">
      <c r="A86">
        <v>21</v>
      </c>
      <c r="B86" t="s">
        <v>33</v>
      </c>
      <c r="C86">
        <v>0.35499999999999998</v>
      </c>
      <c r="D86">
        <v>0.28000000000000003</v>
      </c>
      <c r="E86">
        <v>9.5000000000000001E-2</v>
      </c>
      <c r="F86">
        <v>0.2455</v>
      </c>
      <c r="G86">
        <v>9.5500000000000002E-2</v>
      </c>
      <c r="H86">
        <v>6.2E-2</v>
      </c>
      <c r="I86">
        <v>7.4999999999999997E-2</v>
      </c>
      <c r="J86">
        <v>11</v>
      </c>
      <c r="K86">
        <v>9</v>
      </c>
      <c r="L86" t="s">
        <v>34</v>
      </c>
      <c r="M86" t="s">
        <v>35</v>
      </c>
      <c r="N86" t="s">
        <v>36</v>
      </c>
      <c r="O86">
        <v>4</v>
      </c>
      <c r="P86" t="s">
        <v>8</v>
      </c>
      <c r="Q86">
        <v>6.1</v>
      </c>
    </row>
    <row r="87" spans="1:17">
      <c r="A87">
        <v>3432</v>
      </c>
      <c r="B87" t="s">
        <v>33</v>
      </c>
      <c r="C87">
        <v>0.35</v>
      </c>
      <c r="D87">
        <v>0.26500000000000001</v>
      </c>
      <c r="E87">
        <v>9.5000000000000001E-2</v>
      </c>
      <c r="F87">
        <v>0.19900000000000001</v>
      </c>
      <c r="G87">
        <v>7.2999999999999995E-2</v>
      </c>
      <c r="H87">
        <v>4.9000000000000002E-2</v>
      </c>
      <c r="I87">
        <v>0.06</v>
      </c>
      <c r="J87">
        <v>5</v>
      </c>
      <c r="K87">
        <v>9</v>
      </c>
      <c r="L87" t="s">
        <v>34</v>
      </c>
      <c r="M87" t="s">
        <v>35</v>
      </c>
      <c r="N87" t="s">
        <v>36</v>
      </c>
      <c r="O87">
        <v>9</v>
      </c>
      <c r="P87" t="s">
        <v>9</v>
      </c>
      <c r="Q87">
        <v>1.9</v>
      </c>
    </row>
    <row r="88" spans="1:17">
      <c r="A88">
        <v>1674</v>
      </c>
      <c r="B88" t="s">
        <v>33</v>
      </c>
      <c r="C88">
        <v>0.61</v>
      </c>
      <c r="D88">
        <v>0.46500000000000002</v>
      </c>
      <c r="E88">
        <v>0.125</v>
      </c>
      <c r="F88">
        <v>0.92249999999999999</v>
      </c>
      <c r="G88">
        <v>0.436</v>
      </c>
      <c r="H88">
        <v>0.19</v>
      </c>
      <c r="I88">
        <v>0.26</v>
      </c>
      <c r="J88">
        <v>9</v>
      </c>
      <c r="K88">
        <v>5</v>
      </c>
      <c r="L88" t="s">
        <v>67</v>
      </c>
      <c r="M88" t="s">
        <v>68</v>
      </c>
      <c r="N88" t="s">
        <v>69</v>
      </c>
      <c r="O88">
        <v>2</v>
      </c>
      <c r="P88" t="s">
        <v>5</v>
      </c>
      <c r="Q88">
        <v>18</v>
      </c>
    </row>
    <row r="89" spans="1:17">
      <c r="A89">
        <v>3816</v>
      </c>
      <c r="B89" t="s">
        <v>33</v>
      </c>
      <c r="C89">
        <v>0.46</v>
      </c>
      <c r="D89">
        <v>0.34</v>
      </c>
      <c r="E89">
        <v>0.1</v>
      </c>
      <c r="F89">
        <v>0.38600000000000001</v>
      </c>
      <c r="G89">
        <v>0.18049999999999999</v>
      </c>
      <c r="H89">
        <v>8.7499999999999994E-2</v>
      </c>
      <c r="I89">
        <v>9.6500000000000002E-2</v>
      </c>
      <c r="J89">
        <v>8</v>
      </c>
      <c r="K89">
        <v>1</v>
      </c>
      <c r="L89" t="s">
        <v>70</v>
      </c>
      <c r="M89" t="s">
        <v>71</v>
      </c>
      <c r="N89" t="s">
        <v>45</v>
      </c>
      <c r="O89">
        <v>1</v>
      </c>
      <c r="P89" t="s">
        <v>4</v>
      </c>
      <c r="Q89">
        <v>22.1</v>
      </c>
    </row>
    <row r="90" spans="1:17">
      <c r="A90">
        <v>727</v>
      </c>
      <c r="B90" t="s">
        <v>33</v>
      </c>
      <c r="C90">
        <v>0.4</v>
      </c>
      <c r="D90">
        <v>0.30499999999999999</v>
      </c>
      <c r="E90">
        <v>8.5000000000000006E-2</v>
      </c>
      <c r="F90">
        <v>0.29699999999999999</v>
      </c>
      <c r="G90">
        <v>0.108</v>
      </c>
      <c r="H90">
        <v>7.0499999999999993E-2</v>
      </c>
      <c r="I90">
        <v>0.1</v>
      </c>
      <c r="J90">
        <v>10</v>
      </c>
      <c r="K90">
        <v>4</v>
      </c>
      <c r="L90" t="s">
        <v>40</v>
      </c>
      <c r="M90" t="s">
        <v>41</v>
      </c>
      <c r="N90" t="s">
        <v>42</v>
      </c>
      <c r="O90">
        <v>2</v>
      </c>
      <c r="P90" t="s">
        <v>5</v>
      </c>
      <c r="Q90">
        <v>18</v>
      </c>
    </row>
    <row r="91" spans="1:17">
      <c r="A91">
        <v>1110</v>
      </c>
      <c r="B91" t="s">
        <v>33</v>
      </c>
      <c r="C91">
        <v>0.52</v>
      </c>
      <c r="D91">
        <v>0.4</v>
      </c>
      <c r="E91">
        <v>0.14499999999999999</v>
      </c>
      <c r="F91">
        <v>0.77649999999999997</v>
      </c>
      <c r="G91">
        <v>0.35249999999999998</v>
      </c>
      <c r="H91">
        <v>0.1845</v>
      </c>
      <c r="I91">
        <v>0.185</v>
      </c>
      <c r="J91">
        <v>9</v>
      </c>
      <c r="K91">
        <v>4</v>
      </c>
      <c r="L91" t="s">
        <v>40</v>
      </c>
      <c r="M91" t="s">
        <v>41</v>
      </c>
      <c r="N91" t="s">
        <v>42</v>
      </c>
      <c r="O91">
        <v>5</v>
      </c>
      <c r="P91" t="s">
        <v>12</v>
      </c>
      <c r="Q91">
        <v>12.8</v>
      </c>
    </row>
    <row r="92" spans="1:17">
      <c r="A92">
        <v>3866</v>
      </c>
      <c r="B92" t="s">
        <v>33</v>
      </c>
      <c r="C92">
        <v>0.52500000000000002</v>
      </c>
      <c r="D92">
        <v>0.39500000000000002</v>
      </c>
      <c r="E92">
        <v>0.16500000000000001</v>
      </c>
      <c r="F92">
        <v>0.78200000000000003</v>
      </c>
      <c r="G92">
        <v>0.28499999999999998</v>
      </c>
      <c r="H92">
        <v>0.14050000000000001</v>
      </c>
      <c r="I92">
        <v>0.28499999999999998</v>
      </c>
      <c r="J92">
        <v>19</v>
      </c>
      <c r="K92">
        <v>6</v>
      </c>
      <c r="L92" t="s">
        <v>46</v>
      </c>
      <c r="M92" t="s">
        <v>47</v>
      </c>
      <c r="N92" t="s">
        <v>48</v>
      </c>
      <c r="O92">
        <v>1</v>
      </c>
      <c r="P92" t="s">
        <v>4</v>
      </c>
      <c r="Q92">
        <v>22.1</v>
      </c>
    </row>
    <row r="93" spans="1:17">
      <c r="A93">
        <v>520</v>
      </c>
      <c r="B93" t="s">
        <v>33</v>
      </c>
      <c r="C93">
        <v>0.34499999999999997</v>
      </c>
      <c r="D93">
        <v>0.25</v>
      </c>
      <c r="E93">
        <v>0.09</v>
      </c>
      <c r="F93">
        <v>0.20300000000000001</v>
      </c>
      <c r="G93">
        <v>7.8E-2</v>
      </c>
      <c r="H93">
        <v>5.8999999999999997E-2</v>
      </c>
      <c r="I93">
        <v>5.5E-2</v>
      </c>
      <c r="J93">
        <v>6</v>
      </c>
      <c r="K93">
        <v>4</v>
      </c>
      <c r="L93" t="s">
        <v>40</v>
      </c>
      <c r="M93" t="s">
        <v>41</v>
      </c>
      <c r="N93" t="s">
        <v>42</v>
      </c>
      <c r="O93">
        <v>9</v>
      </c>
      <c r="P93" t="s">
        <v>9</v>
      </c>
      <c r="Q93">
        <v>1.9</v>
      </c>
    </row>
    <row r="94" spans="1:17">
      <c r="A94">
        <v>3326</v>
      </c>
      <c r="B94" t="s">
        <v>33</v>
      </c>
      <c r="C94">
        <v>0.34499999999999997</v>
      </c>
      <c r="D94">
        <v>0.26500000000000001</v>
      </c>
      <c r="E94">
        <v>0.09</v>
      </c>
      <c r="F94">
        <v>0.16300000000000001</v>
      </c>
      <c r="G94">
        <v>6.1499999999999999E-2</v>
      </c>
      <c r="H94">
        <v>3.6999999999999998E-2</v>
      </c>
      <c r="I94">
        <v>4.8500000000000001E-2</v>
      </c>
      <c r="J94">
        <v>10</v>
      </c>
      <c r="K94">
        <v>2</v>
      </c>
      <c r="L94" t="s">
        <v>49</v>
      </c>
      <c r="M94" t="s">
        <v>50</v>
      </c>
      <c r="N94" t="s">
        <v>51</v>
      </c>
      <c r="O94">
        <v>6</v>
      </c>
      <c r="P94" t="s">
        <v>7</v>
      </c>
      <c r="Q94">
        <v>14.1</v>
      </c>
    </row>
    <row r="95" spans="1:17">
      <c r="A95">
        <v>488</v>
      </c>
      <c r="B95" t="s">
        <v>33</v>
      </c>
      <c r="C95">
        <v>0.625</v>
      </c>
      <c r="D95">
        <v>0.51500000000000001</v>
      </c>
      <c r="E95">
        <v>0.15</v>
      </c>
      <c r="F95">
        <v>1.2415</v>
      </c>
      <c r="G95">
        <v>0.52349999999999997</v>
      </c>
      <c r="H95">
        <v>0.30649999999999999</v>
      </c>
      <c r="I95">
        <v>0.36</v>
      </c>
      <c r="J95">
        <v>15</v>
      </c>
      <c r="K95">
        <v>1</v>
      </c>
      <c r="L95" t="s">
        <v>70</v>
      </c>
      <c r="M95" t="s">
        <v>71</v>
      </c>
      <c r="N95" t="s">
        <v>45</v>
      </c>
      <c r="O95">
        <v>7</v>
      </c>
      <c r="P95" t="s">
        <v>6</v>
      </c>
      <c r="Q95">
        <v>2.5</v>
      </c>
    </row>
    <row r="96" spans="1:17">
      <c r="A96">
        <v>806</v>
      </c>
      <c r="B96" t="s">
        <v>33</v>
      </c>
      <c r="C96">
        <v>0.40500000000000003</v>
      </c>
      <c r="D96">
        <v>0.30499999999999999</v>
      </c>
      <c r="E96">
        <v>0.12</v>
      </c>
      <c r="F96">
        <v>0.31850000000000001</v>
      </c>
      <c r="G96">
        <v>0.1235</v>
      </c>
      <c r="H96">
        <v>9.0499999999999997E-2</v>
      </c>
      <c r="I96">
        <v>9.5000000000000001E-2</v>
      </c>
      <c r="J96">
        <v>7</v>
      </c>
      <c r="K96">
        <v>13</v>
      </c>
      <c r="L96" t="s">
        <v>43</v>
      </c>
      <c r="M96" t="s">
        <v>44</v>
      </c>
      <c r="N96" t="s">
        <v>45</v>
      </c>
      <c r="O96">
        <v>1</v>
      </c>
      <c r="P96" t="s">
        <v>4</v>
      </c>
      <c r="Q96">
        <v>22.1</v>
      </c>
    </row>
    <row r="97" spans="1:17">
      <c r="A97">
        <v>341</v>
      </c>
      <c r="B97" t="s">
        <v>33</v>
      </c>
      <c r="C97">
        <v>0.57499999999999996</v>
      </c>
      <c r="D97">
        <v>0.45500000000000002</v>
      </c>
      <c r="E97">
        <v>0.14499999999999999</v>
      </c>
      <c r="F97">
        <v>1.165</v>
      </c>
      <c r="G97">
        <v>0.58099999999999996</v>
      </c>
      <c r="H97">
        <v>0.22750000000000001</v>
      </c>
      <c r="I97">
        <v>0.3</v>
      </c>
      <c r="J97">
        <v>14</v>
      </c>
      <c r="K97">
        <v>13</v>
      </c>
      <c r="L97" t="s">
        <v>43</v>
      </c>
      <c r="M97" t="s">
        <v>44</v>
      </c>
      <c r="N97" t="s">
        <v>45</v>
      </c>
      <c r="O97">
        <v>4</v>
      </c>
      <c r="P97" t="s">
        <v>8</v>
      </c>
      <c r="Q97">
        <v>6.1</v>
      </c>
    </row>
    <row r="98" spans="1:17">
      <c r="A98">
        <v>393</v>
      </c>
      <c r="B98" t="s">
        <v>33</v>
      </c>
      <c r="C98">
        <v>0.47</v>
      </c>
      <c r="D98">
        <v>0.375</v>
      </c>
      <c r="E98">
        <v>0.125</v>
      </c>
      <c r="F98">
        <v>0.5615</v>
      </c>
      <c r="G98">
        <v>0.252</v>
      </c>
      <c r="H98">
        <v>0.13700000000000001</v>
      </c>
      <c r="I98">
        <v>0.18</v>
      </c>
      <c r="J98">
        <v>10</v>
      </c>
      <c r="K98">
        <v>13</v>
      </c>
      <c r="L98" t="s">
        <v>43</v>
      </c>
      <c r="M98" t="s">
        <v>44</v>
      </c>
      <c r="N98" t="s">
        <v>45</v>
      </c>
      <c r="O98">
        <v>5</v>
      </c>
      <c r="P98" t="s">
        <v>12</v>
      </c>
      <c r="Q98">
        <v>12.8</v>
      </c>
    </row>
    <row r="99" spans="1:17">
      <c r="A99">
        <v>1607</v>
      </c>
      <c r="B99" t="s">
        <v>33</v>
      </c>
      <c r="C99">
        <v>0.54</v>
      </c>
      <c r="D99">
        <v>0.42499999999999999</v>
      </c>
      <c r="E99">
        <v>0.13</v>
      </c>
      <c r="F99">
        <v>0.72050000000000003</v>
      </c>
      <c r="G99">
        <v>0.29549999999999998</v>
      </c>
      <c r="H99">
        <v>0.16900000000000001</v>
      </c>
      <c r="I99">
        <v>0.22500000000000001</v>
      </c>
      <c r="J99">
        <v>10</v>
      </c>
      <c r="K99">
        <v>3</v>
      </c>
      <c r="L99" t="s">
        <v>52</v>
      </c>
      <c r="M99" t="s">
        <v>53</v>
      </c>
      <c r="N99" t="s">
        <v>54</v>
      </c>
      <c r="O99">
        <v>7</v>
      </c>
      <c r="P99" t="s">
        <v>6</v>
      </c>
      <c r="Q99">
        <v>2.5</v>
      </c>
    </row>
    <row r="100" spans="1:17">
      <c r="A100">
        <v>1457</v>
      </c>
      <c r="B100" t="s">
        <v>33</v>
      </c>
      <c r="C100">
        <v>0.47499999999999998</v>
      </c>
      <c r="D100">
        <v>0.36499999999999999</v>
      </c>
      <c r="E100">
        <v>0.115</v>
      </c>
      <c r="F100">
        <v>0.45900000000000002</v>
      </c>
      <c r="G100">
        <v>0.2175</v>
      </c>
      <c r="H100">
        <v>9.2999999999999999E-2</v>
      </c>
      <c r="I100">
        <v>0.11650000000000001</v>
      </c>
      <c r="J100">
        <v>7</v>
      </c>
      <c r="K100">
        <v>10</v>
      </c>
      <c r="L100" t="s">
        <v>37</v>
      </c>
      <c r="M100" t="s">
        <v>38</v>
      </c>
      <c r="N100" t="s">
        <v>39</v>
      </c>
      <c r="O100">
        <v>3</v>
      </c>
      <c r="P100" t="s">
        <v>10</v>
      </c>
      <c r="Q100">
        <v>3.6</v>
      </c>
    </row>
    <row r="101" spans="1:17">
      <c r="A101">
        <v>3740</v>
      </c>
      <c r="B101" t="s">
        <v>33</v>
      </c>
      <c r="C101">
        <v>0.65</v>
      </c>
      <c r="D101">
        <v>0.52500000000000002</v>
      </c>
      <c r="E101">
        <v>0.16500000000000001</v>
      </c>
      <c r="F101">
        <v>1.238</v>
      </c>
      <c r="G101">
        <v>0.64700000000000002</v>
      </c>
      <c r="H101">
        <v>0.2485</v>
      </c>
      <c r="I101">
        <v>0.30049999999999999</v>
      </c>
      <c r="J101">
        <v>9</v>
      </c>
      <c r="K101">
        <v>7</v>
      </c>
      <c r="L101" t="s">
        <v>62</v>
      </c>
      <c r="M101" t="s">
        <v>63</v>
      </c>
      <c r="N101" t="s">
        <v>64</v>
      </c>
      <c r="O101">
        <v>3</v>
      </c>
      <c r="P101" t="s">
        <v>10</v>
      </c>
      <c r="Q101">
        <v>3.6</v>
      </c>
    </row>
    <row r="102" spans="1:17">
      <c r="A102">
        <v>3832</v>
      </c>
      <c r="B102" t="s">
        <v>33</v>
      </c>
      <c r="C102">
        <v>0.54500000000000004</v>
      </c>
      <c r="D102">
        <v>0.42</v>
      </c>
      <c r="E102">
        <v>0.17499999999999999</v>
      </c>
      <c r="F102">
        <v>0.754</v>
      </c>
      <c r="G102">
        <v>0.25600000000000001</v>
      </c>
      <c r="H102">
        <v>0.17749999999999999</v>
      </c>
      <c r="I102">
        <v>0.27500000000000002</v>
      </c>
      <c r="J102">
        <v>10</v>
      </c>
      <c r="K102">
        <v>8</v>
      </c>
      <c r="L102" t="s">
        <v>55</v>
      </c>
      <c r="M102" t="s">
        <v>56</v>
      </c>
      <c r="N102" t="s">
        <v>57</v>
      </c>
      <c r="O102">
        <v>2</v>
      </c>
      <c r="P102" t="s">
        <v>5</v>
      </c>
      <c r="Q102">
        <v>18</v>
      </c>
    </row>
    <row r="103" spans="1:17">
      <c r="A103">
        <v>3219</v>
      </c>
      <c r="B103" t="s">
        <v>33</v>
      </c>
      <c r="C103">
        <v>0.64</v>
      </c>
      <c r="D103">
        <v>0.505</v>
      </c>
      <c r="E103">
        <v>0.19</v>
      </c>
      <c r="F103">
        <v>1.2355</v>
      </c>
      <c r="G103">
        <v>0.44350000000000001</v>
      </c>
      <c r="H103">
        <v>0.3105</v>
      </c>
      <c r="I103">
        <v>0.36499999999999999</v>
      </c>
      <c r="J103">
        <v>14</v>
      </c>
      <c r="K103">
        <v>2</v>
      </c>
      <c r="L103" t="s">
        <v>49</v>
      </c>
      <c r="M103" t="s">
        <v>50</v>
      </c>
      <c r="N103" t="s">
        <v>51</v>
      </c>
      <c r="O103">
        <v>2</v>
      </c>
      <c r="P103" t="s">
        <v>5</v>
      </c>
      <c r="Q103">
        <v>18</v>
      </c>
    </row>
    <row r="104" spans="1:17">
      <c r="A104">
        <v>1555</v>
      </c>
      <c r="B104" t="s">
        <v>33</v>
      </c>
      <c r="C104">
        <v>0.41</v>
      </c>
      <c r="D104">
        <v>0.3</v>
      </c>
      <c r="E104">
        <v>0.09</v>
      </c>
      <c r="F104">
        <v>0.30399999999999999</v>
      </c>
      <c r="G104">
        <v>0.129</v>
      </c>
      <c r="H104">
        <v>7.0999999999999994E-2</v>
      </c>
      <c r="I104">
        <v>9.5500000000000002E-2</v>
      </c>
      <c r="J104">
        <v>8</v>
      </c>
      <c r="K104">
        <v>4</v>
      </c>
      <c r="L104" t="s">
        <v>40</v>
      </c>
      <c r="M104" t="s">
        <v>41</v>
      </c>
      <c r="N104" t="s">
        <v>42</v>
      </c>
      <c r="O104">
        <v>1</v>
      </c>
      <c r="P104" t="s">
        <v>4</v>
      </c>
      <c r="Q104">
        <v>22.1</v>
      </c>
    </row>
    <row r="105" spans="1:17">
      <c r="A105">
        <v>2338</v>
      </c>
      <c r="B105" t="s">
        <v>33</v>
      </c>
      <c r="C105">
        <v>0.56000000000000005</v>
      </c>
      <c r="D105">
        <v>0.45500000000000002</v>
      </c>
      <c r="E105">
        <v>0.16500000000000001</v>
      </c>
      <c r="F105">
        <v>0.86</v>
      </c>
      <c r="G105">
        <v>0.40150000000000002</v>
      </c>
      <c r="H105">
        <v>0.16950000000000001</v>
      </c>
      <c r="I105">
        <v>0.245</v>
      </c>
      <c r="J105">
        <v>11</v>
      </c>
      <c r="K105">
        <v>15</v>
      </c>
      <c r="L105" t="s">
        <v>60</v>
      </c>
      <c r="M105" t="s">
        <v>61</v>
      </c>
      <c r="N105" t="s">
        <v>45</v>
      </c>
      <c r="O105">
        <v>10</v>
      </c>
      <c r="P105" t="s">
        <v>11</v>
      </c>
      <c r="Q105">
        <v>24.1</v>
      </c>
    </row>
    <row r="106" spans="1:17">
      <c r="A106">
        <v>850</v>
      </c>
      <c r="B106" t="s">
        <v>33</v>
      </c>
      <c r="C106">
        <v>0.55000000000000004</v>
      </c>
      <c r="D106">
        <v>0.45</v>
      </c>
      <c r="E106">
        <v>0.15</v>
      </c>
      <c r="F106">
        <v>1.0145</v>
      </c>
      <c r="G106">
        <v>0.40699999999999997</v>
      </c>
      <c r="H106">
        <v>0.20150000000000001</v>
      </c>
      <c r="I106">
        <v>0.28749999999999998</v>
      </c>
      <c r="J106">
        <v>10</v>
      </c>
      <c r="K106">
        <v>2</v>
      </c>
      <c r="L106" t="s">
        <v>49</v>
      </c>
      <c r="M106" t="s">
        <v>50</v>
      </c>
      <c r="N106" t="s">
        <v>51</v>
      </c>
      <c r="O106">
        <v>6</v>
      </c>
      <c r="P106" t="s">
        <v>7</v>
      </c>
      <c r="Q106">
        <v>14.1</v>
      </c>
    </row>
    <row r="107" spans="1:17">
      <c r="A107">
        <v>4163</v>
      </c>
      <c r="B107" t="s">
        <v>33</v>
      </c>
      <c r="C107">
        <v>0.38500000000000001</v>
      </c>
      <c r="D107">
        <v>0.255</v>
      </c>
      <c r="E107">
        <v>0.1</v>
      </c>
      <c r="F107">
        <v>0.3175</v>
      </c>
      <c r="G107">
        <v>0.13700000000000001</v>
      </c>
      <c r="H107">
        <v>6.8000000000000005E-2</v>
      </c>
      <c r="I107">
        <v>9.1999999999999998E-2</v>
      </c>
      <c r="J107">
        <v>8</v>
      </c>
      <c r="K107">
        <v>6</v>
      </c>
      <c r="L107" t="s">
        <v>46</v>
      </c>
      <c r="M107" t="s">
        <v>47</v>
      </c>
      <c r="N107" t="s">
        <v>48</v>
      </c>
      <c r="O107">
        <v>7</v>
      </c>
      <c r="P107" t="s">
        <v>6</v>
      </c>
      <c r="Q107">
        <v>2.5</v>
      </c>
    </row>
    <row r="108" spans="1:17">
      <c r="A108">
        <v>3818</v>
      </c>
      <c r="B108" t="s">
        <v>33</v>
      </c>
      <c r="C108">
        <v>0.47499999999999998</v>
      </c>
      <c r="D108">
        <v>0.38500000000000001</v>
      </c>
      <c r="E108">
        <v>0.12</v>
      </c>
      <c r="F108">
        <v>0.56200000000000006</v>
      </c>
      <c r="G108">
        <v>0.28899999999999998</v>
      </c>
      <c r="H108">
        <v>9.0499999999999997E-2</v>
      </c>
      <c r="I108">
        <v>0.153</v>
      </c>
      <c r="J108">
        <v>8</v>
      </c>
      <c r="K108">
        <v>8</v>
      </c>
      <c r="L108" t="s">
        <v>55</v>
      </c>
      <c r="M108" t="s">
        <v>56</v>
      </c>
      <c r="N108" t="s">
        <v>57</v>
      </c>
      <c r="O108">
        <v>9</v>
      </c>
      <c r="P108" t="s">
        <v>9</v>
      </c>
      <c r="Q108">
        <v>1.9</v>
      </c>
    </row>
    <row r="109" spans="1:17">
      <c r="A109">
        <v>4004</v>
      </c>
      <c r="B109" t="s">
        <v>33</v>
      </c>
      <c r="C109">
        <v>0.51</v>
      </c>
      <c r="D109">
        <v>0.39</v>
      </c>
      <c r="E109">
        <v>0.125</v>
      </c>
      <c r="F109">
        <v>0.59699999999999998</v>
      </c>
      <c r="G109">
        <v>0.29299999999999998</v>
      </c>
      <c r="H109">
        <v>0.1265</v>
      </c>
      <c r="I109">
        <v>0.1555</v>
      </c>
      <c r="J109">
        <v>8</v>
      </c>
      <c r="K109">
        <v>6</v>
      </c>
      <c r="L109" t="s">
        <v>46</v>
      </c>
      <c r="M109" t="s">
        <v>47</v>
      </c>
      <c r="N109" t="s">
        <v>48</v>
      </c>
      <c r="O109">
        <v>8</v>
      </c>
      <c r="P109" t="s">
        <v>13</v>
      </c>
      <c r="Q109">
        <v>12.3</v>
      </c>
    </row>
    <row r="110" spans="1:17">
      <c r="A110">
        <v>3920</v>
      </c>
      <c r="B110" t="s">
        <v>33</v>
      </c>
      <c r="C110">
        <v>0.56499999999999995</v>
      </c>
      <c r="D110">
        <v>0.43</v>
      </c>
      <c r="E110">
        <v>0.13500000000000001</v>
      </c>
      <c r="F110">
        <v>0.85450000000000004</v>
      </c>
      <c r="G110">
        <v>0.32100000000000001</v>
      </c>
      <c r="H110">
        <v>0.17749999999999999</v>
      </c>
      <c r="I110">
        <v>0.27500000000000002</v>
      </c>
      <c r="J110">
        <v>11</v>
      </c>
      <c r="K110">
        <v>14</v>
      </c>
      <c r="L110" t="s">
        <v>72</v>
      </c>
      <c r="M110" t="s">
        <v>73</v>
      </c>
      <c r="N110" t="s">
        <v>74</v>
      </c>
      <c r="O110">
        <v>7</v>
      </c>
      <c r="P110" t="s">
        <v>6</v>
      </c>
      <c r="Q110">
        <v>2.5</v>
      </c>
    </row>
    <row r="111" spans="1:17">
      <c r="A111">
        <v>2494</v>
      </c>
      <c r="B111" t="s">
        <v>33</v>
      </c>
      <c r="C111">
        <v>0.42</v>
      </c>
      <c r="D111">
        <v>0.31</v>
      </c>
      <c r="E111">
        <v>0.1</v>
      </c>
      <c r="F111">
        <v>0.28649999999999998</v>
      </c>
      <c r="G111">
        <v>0.115</v>
      </c>
      <c r="H111">
        <v>7.3499999999999996E-2</v>
      </c>
      <c r="I111">
        <v>8.5000000000000006E-2</v>
      </c>
      <c r="J111">
        <v>8</v>
      </c>
      <c r="K111">
        <v>7</v>
      </c>
      <c r="L111" t="s">
        <v>62</v>
      </c>
      <c r="M111" t="s">
        <v>63</v>
      </c>
      <c r="N111" t="s">
        <v>64</v>
      </c>
      <c r="O111">
        <v>5</v>
      </c>
      <c r="P111" t="s">
        <v>12</v>
      </c>
      <c r="Q111">
        <v>12.8</v>
      </c>
    </row>
    <row r="112" spans="1:17">
      <c r="A112">
        <v>3667</v>
      </c>
      <c r="B112" t="s">
        <v>33</v>
      </c>
      <c r="C112">
        <v>0.57499999999999996</v>
      </c>
      <c r="D112">
        <v>0.44</v>
      </c>
      <c r="E112">
        <v>0.15</v>
      </c>
      <c r="F112">
        <v>0.98299999999999998</v>
      </c>
      <c r="G112">
        <v>0.48599999999999999</v>
      </c>
      <c r="H112">
        <v>0.215</v>
      </c>
      <c r="I112">
        <v>0.23899999999999999</v>
      </c>
      <c r="J112">
        <v>8</v>
      </c>
      <c r="K112">
        <v>1</v>
      </c>
      <c r="L112" t="s">
        <v>70</v>
      </c>
      <c r="M112" t="s">
        <v>71</v>
      </c>
      <c r="N112" t="s">
        <v>45</v>
      </c>
      <c r="O112">
        <v>9</v>
      </c>
      <c r="P112" t="s">
        <v>9</v>
      </c>
      <c r="Q112">
        <v>1.9</v>
      </c>
    </row>
    <row r="113" spans="1:17">
      <c r="A113">
        <v>952</v>
      </c>
      <c r="B113" t="s">
        <v>33</v>
      </c>
      <c r="C113">
        <v>0.48</v>
      </c>
      <c r="D113">
        <v>0.36</v>
      </c>
      <c r="E113">
        <v>0.1</v>
      </c>
      <c r="F113">
        <v>0.439</v>
      </c>
      <c r="G113">
        <v>0.19400000000000001</v>
      </c>
      <c r="H113">
        <v>9.9000000000000005E-2</v>
      </c>
      <c r="I113">
        <v>0.115</v>
      </c>
      <c r="J113">
        <v>8</v>
      </c>
      <c r="K113">
        <v>9</v>
      </c>
      <c r="L113" t="s">
        <v>34</v>
      </c>
      <c r="M113" t="s">
        <v>35</v>
      </c>
      <c r="N113" t="s">
        <v>36</v>
      </c>
      <c r="O113">
        <v>10</v>
      </c>
      <c r="P113" t="s">
        <v>11</v>
      </c>
      <c r="Q113">
        <v>24.1</v>
      </c>
    </row>
    <row r="114" spans="1:17">
      <c r="A114">
        <v>2990</v>
      </c>
      <c r="B114" t="s">
        <v>33</v>
      </c>
      <c r="C114">
        <v>0.56000000000000005</v>
      </c>
      <c r="D114">
        <v>0.42499999999999999</v>
      </c>
      <c r="E114">
        <v>0.13500000000000001</v>
      </c>
      <c r="F114">
        <v>0.9415</v>
      </c>
      <c r="G114">
        <v>0.50900000000000001</v>
      </c>
      <c r="H114">
        <v>0.20150000000000001</v>
      </c>
      <c r="I114">
        <v>0.19750000000000001</v>
      </c>
      <c r="J114">
        <v>9</v>
      </c>
      <c r="K114">
        <v>15</v>
      </c>
      <c r="L114" t="s">
        <v>60</v>
      </c>
      <c r="M114" t="s">
        <v>61</v>
      </c>
      <c r="N114" t="s">
        <v>45</v>
      </c>
      <c r="O114">
        <v>8</v>
      </c>
      <c r="P114" t="s">
        <v>13</v>
      </c>
      <c r="Q114">
        <v>12.3</v>
      </c>
    </row>
    <row r="115" spans="1:17">
      <c r="A115">
        <v>2743</v>
      </c>
      <c r="B115" t="s">
        <v>33</v>
      </c>
      <c r="C115">
        <v>0.46</v>
      </c>
      <c r="D115">
        <v>0.34499999999999997</v>
      </c>
      <c r="E115">
        <v>0.105</v>
      </c>
      <c r="F115">
        <v>0.41499999999999998</v>
      </c>
      <c r="G115">
        <v>0.187</v>
      </c>
      <c r="H115">
        <v>8.6999999999999994E-2</v>
      </c>
      <c r="I115">
        <v>0.11</v>
      </c>
      <c r="J115">
        <v>8</v>
      </c>
      <c r="K115">
        <v>1</v>
      </c>
      <c r="L115" t="s">
        <v>70</v>
      </c>
      <c r="M115" t="s">
        <v>71</v>
      </c>
      <c r="N115" t="s">
        <v>45</v>
      </c>
      <c r="O115">
        <v>9</v>
      </c>
      <c r="P115" t="s">
        <v>9</v>
      </c>
      <c r="Q115">
        <v>1.9</v>
      </c>
    </row>
    <row r="116" spans="1:17">
      <c r="A116">
        <v>2672</v>
      </c>
      <c r="B116" t="s">
        <v>33</v>
      </c>
      <c r="C116">
        <v>0.59</v>
      </c>
      <c r="D116">
        <v>0.46</v>
      </c>
      <c r="E116">
        <v>0.16</v>
      </c>
      <c r="F116">
        <v>1.0115000000000001</v>
      </c>
      <c r="G116">
        <v>0.44500000000000001</v>
      </c>
      <c r="H116">
        <v>0.26150000000000001</v>
      </c>
      <c r="I116">
        <v>0.25650000000000001</v>
      </c>
      <c r="J116">
        <v>8</v>
      </c>
      <c r="K116">
        <v>4</v>
      </c>
      <c r="L116" t="s">
        <v>40</v>
      </c>
      <c r="M116" t="s">
        <v>41</v>
      </c>
      <c r="N116" t="s">
        <v>42</v>
      </c>
      <c r="O116">
        <v>9</v>
      </c>
      <c r="P116" t="s">
        <v>9</v>
      </c>
      <c r="Q116">
        <v>1.9</v>
      </c>
    </row>
    <row r="117" spans="1:17">
      <c r="A117">
        <v>748</v>
      </c>
      <c r="B117" t="s">
        <v>33</v>
      </c>
      <c r="C117">
        <v>0.52</v>
      </c>
      <c r="D117">
        <v>0.38500000000000001</v>
      </c>
      <c r="E117">
        <v>0.14000000000000001</v>
      </c>
      <c r="F117">
        <v>0.65949999999999998</v>
      </c>
      <c r="G117">
        <v>0.2485</v>
      </c>
      <c r="H117">
        <v>0.20349999999999999</v>
      </c>
      <c r="I117">
        <v>0.16</v>
      </c>
      <c r="J117">
        <v>9</v>
      </c>
      <c r="K117">
        <v>3</v>
      </c>
      <c r="L117" t="s">
        <v>52</v>
      </c>
      <c r="M117" t="s">
        <v>53</v>
      </c>
      <c r="N117" t="s">
        <v>54</v>
      </c>
      <c r="O117">
        <v>4</v>
      </c>
      <c r="P117" t="s">
        <v>8</v>
      </c>
      <c r="Q117">
        <v>6.1</v>
      </c>
    </row>
    <row r="118" spans="1:17">
      <c r="A118">
        <v>3831</v>
      </c>
      <c r="B118" t="s">
        <v>33</v>
      </c>
      <c r="C118">
        <v>0.5</v>
      </c>
      <c r="D118">
        <v>0.38500000000000001</v>
      </c>
      <c r="E118">
        <v>0.12</v>
      </c>
      <c r="F118">
        <v>0.63349999999999995</v>
      </c>
      <c r="G118">
        <v>0.23050000000000001</v>
      </c>
      <c r="H118">
        <v>0.125</v>
      </c>
      <c r="I118">
        <v>0.23499999999999999</v>
      </c>
      <c r="J118">
        <v>14</v>
      </c>
      <c r="K118">
        <v>1</v>
      </c>
      <c r="L118" t="s">
        <v>70</v>
      </c>
      <c r="M118" t="s">
        <v>71</v>
      </c>
      <c r="N118" t="s">
        <v>45</v>
      </c>
      <c r="O118">
        <v>8</v>
      </c>
      <c r="P118" t="s">
        <v>13</v>
      </c>
      <c r="Q118">
        <v>12.3</v>
      </c>
    </row>
    <row r="119" spans="1:17">
      <c r="A119">
        <v>1992</v>
      </c>
      <c r="B119" t="s">
        <v>33</v>
      </c>
      <c r="C119">
        <v>0.28499999999999998</v>
      </c>
      <c r="D119">
        <v>0.215</v>
      </c>
      <c r="E119">
        <v>0.06</v>
      </c>
      <c r="F119">
        <v>9.35E-2</v>
      </c>
      <c r="G119">
        <v>3.1E-2</v>
      </c>
      <c r="H119">
        <v>2.3E-2</v>
      </c>
      <c r="I119">
        <v>0.03</v>
      </c>
      <c r="J119">
        <v>6</v>
      </c>
      <c r="K119">
        <v>9</v>
      </c>
      <c r="L119" t="s">
        <v>34</v>
      </c>
      <c r="M119" t="s">
        <v>35</v>
      </c>
      <c r="N119" t="s">
        <v>36</v>
      </c>
      <c r="O119">
        <v>5</v>
      </c>
      <c r="P119" t="s">
        <v>12</v>
      </c>
      <c r="Q119">
        <v>12.8</v>
      </c>
    </row>
    <row r="120" spans="1:17">
      <c r="A120">
        <v>91</v>
      </c>
      <c r="B120" t="s">
        <v>33</v>
      </c>
      <c r="C120">
        <v>0.56499999999999995</v>
      </c>
      <c r="D120">
        <v>0.42499999999999999</v>
      </c>
      <c r="E120">
        <v>0.13500000000000001</v>
      </c>
      <c r="F120">
        <v>0.8115</v>
      </c>
      <c r="G120">
        <v>0.34100000000000003</v>
      </c>
      <c r="H120">
        <v>0.16750000000000001</v>
      </c>
      <c r="I120">
        <v>0.255</v>
      </c>
      <c r="J120">
        <v>15</v>
      </c>
      <c r="K120">
        <v>13</v>
      </c>
      <c r="L120" t="s">
        <v>43</v>
      </c>
      <c r="M120" t="s">
        <v>44</v>
      </c>
      <c r="N120" t="s">
        <v>45</v>
      </c>
      <c r="O120">
        <v>3</v>
      </c>
      <c r="P120" t="s">
        <v>10</v>
      </c>
      <c r="Q120">
        <v>3.6</v>
      </c>
    </row>
    <row r="121" spans="1:17">
      <c r="A121">
        <v>2565</v>
      </c>
      <c r="B121" t="s">
        <v>33</v>
      </c>
      <c r="C121">
        <v>0.45</v>
      </c>
      <c r="D121">
        <v>0.35</v>
      </c>
      <c r="E121">
        <v>0.125</v>
      </c>
      <c r="F121">
        <v>0.47749999999999998</v>
      </c>
      <c r="G121">
        <v>0.2235</v>
      </c>
      <c r="H121">
        <v>8.8999999999999996E-2</v>
      </c>
      <c r="I121">
        <v>0.11799999999999999</v>
      </c>
      <c r="J121">
        <v>6</v>
      </c>
      <c r="K121">
        <v>6</v>
      </c>
      <c r="L121" t="s">
        <v>46</v>
      </c>
      <c r="M121" t="s">
        <v>47</v>
      </c>
      <c r="N121" t="s">
        <v>48</v>
      </c>
      <c r="O121">
        <v>8</v>
      </c>
      <c r="P121" t="s">
        <v>13</v>
      </c>
      <c r="Q121">
        <v>12.3</v>
      </c>
    </row>
    <row r="122" spans="1:17">
      <c r="A122">
        <v>2495</v>
      </c>
      <c r="B122" t="s">
        <v>33</v>
      </c>
      <c r="C122">
        <v>0.4</v>
      </c>
      <c r="D122">
        <v>0.30499999999999999</v>
      </c>
      <c r="E122">
        <v>0.13</v>
      </c>
      <c r="F122">
        <v>0.29349999999999998</v>
      </c>
      <c r="G122">
        <v>9.6000000000000002E-2</v>
      </c>
      <c r="H122">
        <v>6.7500000000000004E-2</v>
      </c>
      <c r="I122">
        <v>0.105</v>
      </c>
      <c r="J122">
        <v>9</v>
      </c>
      <c r="K122">
        <v>9</v>
      </c>
      <c r="L122" t="s">
        <v>34</v>
      </c>
      <c r="M122" t="s">
        <v>35</v>
      </c>
      <c r="N122" t="s">
        <v>36</v>
      </c>
      <c r="O122">
        <v>3</v>
      </c>
      <c r="P122" t="s">
        <v>10</v>
      </c>
      <c r="Q122">
        <v>3.6</v>
      </c>
    </row>
    <row r="123" spans="1:17">
      <c r="A123">
        <v>2057</v>
      </c>
      <c r="B123" t="s">
        <v>33</v>
      </c>
      <c r="C123">
        <v>0.47499999999999998</v>
      </c>
      <c r="D123">
        <v>0.38</v>
      </c>
      <c r="E123">
        <v>0.14000000000000001</v>
      </c>
      <c r="F123">
        <v>0.68899999999999995</v>
      </c>
      <c r="G123">
        <v>0.3165</v>
      </c>
      <c r="H123">
        <v>0.13150000000000001</v>
      </c>
      <c r="I123">
        <v>0.19550000000000001</v>
      </c>
      <c r="J123">
        <v>7</v>
      </c>
      <c r="K123">
        <v>7</v>
      </c>
      <c r="L123" t="s">
        <v>62</v>
      </c>
      <c r="M123" t="s">
        <v>63</v>
      </c>
      <c r="N123" t="s">
        <v>64</v>
      </c>
      <c r="O123">
        <v>8</v>
      </c>
      <c r="P123" t="s">
        <v>13</v>
      </c>
      <c r="Q123">
        <v>12.3</v>
      </c>
    </row>
    <row r="124" spans="1:17">
      <c r="A124">
        <v>2531</v>
      </c>
      <c r="B124" t="s">
        <v>33</v>
      </c>
      <c r="C124">
        <v>0.6</v>
      </c>
      <c r="D124">
        <v>0.48499999999999999</v>
      </c>
      <c r="E124">
        <v>0.16500000000000001</v>
      </c>
      <c r="F124">
        <v>1.1405000000000001</v>
      </c>
      <c r="G124">
        <v>0.58699999999999997</v>
      </c>
      <c r="H124">
        <v>0.2175</v>
      </c>
      <c r="I124">
        <v>0.28799999999999998</v>
      </c>
      <c r="J124">
        <v>9</v>
      </c>
      <c r="K124">
        <v>12</v>
      </c>
      <c r="L124" t="s">
        <v>58</v>
      </c>
      <c r="M124" t="s">
        <v>59</v>
      </c>
      <c r="N124" t="s">
        <v>45</v>
      </c>
      <c r="O124">
        <v>8</v>
      </c>
      <c r="P124" t="s">
        <v>13</v>
      </c>
      <c r="Q124">
        <v>12.3</v>
      </c>
    </row>
    <row r="125" spans="1:17">
      <c r="A125">
        <v>3238</v>
      </c>
      <c r="B125" t="s">
        <v>33</v>
      </c>
      <c r="C125">
        <v>0.63500000000000001</v>
      </c>
      <c r="D125">
        <v>0.51</v>
      </c>
      <c r="E125">
        <v>0.155</v>
      </c>
      <c r="F125">
        <v>1.1559999999999999</v>
      </c>
      <c r="G125">
        <v>0.42799999999999999</v>
      </c>
      <c r="H125">
        <v>0.28899999999999998</v>
      </c>
      <c r="I125">
        <v>0.315</v>
      </c>
      <c r="J125">
        <v>18</v>
      </c>
      <c r="K125">
        <v>6</v>
      </c>
      <c r="L125" t="s">
        <v>46</v>
      </c>
      <c r="M125" t="s">
        <v>47</v>
      </c>
      <c r="N125" t="s">
        <v>48</v>
      </c>
      <c r="O125">
        <v>8</v>
      </c>
      <c r="P125" t="s">
        <v>13</v>
      </c>
      <c r="Q125">
        <v>12.3</v>
      </c>
    </row>
    <row r="126" spans="1:17">
      <c r="A126">
        <v>3833</v>
      </c>
      <c r="B126" t="s">
        <v>33</v>
      </c>
      <c r="C126">
        <v>0.46</v>
      </c>
      <c r="D126">
        <v>0.36499999999999999</v>
      </c>
      <c r="E126">
        <v>0.115</v>
      </c>
      <c r="F126">
        <v>0.44850000000000001</v>
      </c>
      <c r="G126">
        <v>0.16500000000000001</v>
      </c>
      <c r="H126">
        <v>8.3000000000000004E-2</v>
      </c>
      <c r="I126">
        <v>0.17</v>
      </c>
      <c r="J126">
        <v>14</v>
      </c>
      <c r="K126">
        <v>14</v>
      </c>
      <c r="L126" t="s">
        <v>72</v>
      </c>
      <c r="M126" t="s">
        <v>73</v>
      </c>
      <c r="N126" t="s">
        <v>74</v>
      </c>
      <c r="O126">
        <v>2</v>
      </c>
      <c r="P126" t="s">
        <v>5</v>
      </c>
      <c r="Q126">
        <v>18</v>
      </c>
    </row>
    <row r="127" spans="1:17">
      <c r="A127">
        <v>3611</v>
      </c>
      <c r="B127" t="s">
        <v>33</v>
      </c>
      <c r="C127">
        <v>0.57999999999999996</v>
      </c>
      <c r="D127">
        <v>0.45</v>
      </c>
      <c r="E127">
        <v>0.16</v>
      </c>
      <c r="F127">
        <v>0.86750000000000005</v>
      </c>
      <c r="G127">
        <v>0.39350000000000002</v>
      </c>
      <c r="H127">
        <v>0.221</v>
      </c>
      <c r="I127">
        <v>0.215</v>
      </c>
      <c r="J127">
        <v>9</v>
      </c>
      <c r="K127">
        <v>11</v>
      </c>
      <c r="L127" t="s">
        <v>65</v>
      </c>
      <c r="M127" t="s">
        <v>66</v>
      </c>
      <c r="N127" t="s">
        <v>45</v>
      </c>
      <c r="O127">
        <v>1</v>
      </c>
      <c r="P127" t="s">
        <v>4</v>
      </c>
      <c r="Q127">
        <v>22.1</v>
      </c>
    </row>
    <row r="128" spans="1:17">
      <c r="A128">
        <v>2750</v>
      </c>
      <c r="B128" t="s">
        <v>33</v>
      </c>
      <c r="C128">
        <v>0.505</v>
      </c>
      <c r="D128">
        <v>0.38</v>
      </c>
      <c r="E128">
        <v>0.13500000000000001</v>
      </c>
      <c r="F128">
        <v>0.53849999999999998</v>
      </c>
      <c r="G128">
        <v>0.26450000000000001</v>
      </c>
      <c r="H128">
        <v>9.5000000000000001E-2</v>
      </c>
      <c r="I128">
        <v>0.16500000000000001</v>
      </c>
      <c r="J128">
        <v>9</v>
      </c>
      <c r="K128">
        <v>1</v>
      </c>
      <c r="L128" t="s">
        <v>70</v>
      </c>
      <c r="M128" t="s">
        <v>71</v>
      </c>
      <c r="N128" t="s">
        <v>45</v>
      </c>
      <c r="O128">
        <v>8</v>
      </c>
      <c r="P128" t="s">
        <v>13</v>
      </c>
      <c r="Q128">
        <v>12.3</v>
      </c>
    </row>
    <row r="129" spans="1:17">
      <c r="A129">
        <v>3476</v>
      </c>
      <c r="B129" t="s">
        <v>33</v>
      </c>
      <c r="C129">
        <v>0.4</v>
      </c>
      <c r="D129">
        <v>0.315</v>
      </c>
      <c r="E129">
        <v>8.5000000000000006E-2</v>
      </c>
      <c r="F129">
        <v>0.26750000000000002</v>
      </c>
      <c r="G129">
        <v>0.11600000000000001</v>
      </c>
      <c r="H129">
        <v>5.8500000000000003E-2</v>
      </c>
      <c r="I129">
        <v>7.6499999999999999E-2</v>
      </c>
      <c r="J129">
        <v>6</v>
      </c>
      <c r="K129">
        <v>10</v>
      </c>
      <c r="L129" t="s">
        <v>37</v>
      </c>
      <c r="M129" t="s">
        <v>38</v>
      </c>
      <c r="N129" t="s">
        <v>39</v>
      </c>
      <c r="O129">
        <v>8</v>
      </c>
      <c r="P129" t="s">
        <v>13</v>
      </c>
      <c r="Q129">
        <v>12.3</v>
      </c>
    </row>
    <row r="130" spans="1:17">
      <c r="A130">
        <v>258</v>
      </c>
      <c r="B130" t="s">
        <v>33</v>
      </c>
      <c r="C130">
        <v>0.54500000000000004</v>
      </c>
      <c r="D130">
        <v>0.46</v>
      </c>
      <c r="E130">
        <v>0.16</v>
      </c>
      <c r="F130">
        <v>0.89749999999999996</v>
      </c>
      <c r="G130">
        <v>0.34100000000000003</v>
      </c>
      <c r="H130">
        <v>0.16550000000000001</v>
      </c>
      <c r="I130">
        <v>0.34499999999999997</v>
      </c>
      <c r="J130">
        <v>10</v>
      </c>
      <c r="K130">
        <v>6</v>
      </c>
      <c r="L130" t="s">
        <v>46</v>
      </c>
      <c r="M130" t="s">
        <v>47</v>
      </c>
      <c r="N130" t="s">
        <v>48</v>
      </c>
      <c r="O130">
        <v>6</v>
      </c>
      <c r="P130" t="s">
        <v>7</v>
      </c>
      <c r="Q130">
        <v>14.1</v>
      </c>
    </row>
    <row r="131" spans="1:17">
      <c r="A131">
        <v>1907</v>
      </c>
      <c r="B131" t="s">
        <v>33</v>
      </c>
      <c r="C131">
        <v>0.57499999999999996</v>
      </c>
      <c r="D131">
        <v>0.45</v>
      </c>
      <c r="E131">
        <v>0.13500000000000001</v>
      </c>
      <c r="F131">
        <v>0.82450000000000001</v>
      </c>
      <c r="G131">
        <v>0.33750000000000002</v>
      </c>
      <c r="H131">
        <v>0.21149999999999999</v>
      </c>
      <c r="I131">
        <v>0.23899999999999999</v>
      </c>
      <c r="J131">
        <v>11</v>
      </c>
      <c r="K131">
        <v>1</v>
      </c>
      <c r="L131" t="s">
        <v>70</v>
      </c>
      <c r="M131" t="s">
        <v>71</v>
      </c>
      <c r="N131" t="s">
        <v>45</v>
      </c>
      <c r="O131">
        <v>8</v>
      </c>
      <c r="P131" t="s">
        <v>13</v>
      </c>
      <c r="Q131">
        <v>12.3</v>
      </c>
    </row>
    <row r="132" spans="1:17">
      <c r="A132">
        <v>218</v>
      </c>
      <c r="B132" t="s">
        <v>33</v>
      </c>
      <c r="C132">
        <v>0.40500000000000003</v>
      </c>
      <c r="D132">
        <v>0.3</v>
      </c>
      <c r="E132">
        <v>0.12</v>
      </c>
      <c r="F132">
        <v>0.32400000000000001</v>
      </c>
      <c r="G132">
        <v>0.1265</v>
      </c>
      <c r="H132">
        <v>7.0000000000000007E-2</v>
      </c>
      <c r="I132">
        <v>0.11</v>
      </c>
      <c r="J132">
        <v>7</v>
      </c>
      <c r="K132">
        <v>11</v>
      </c>
      <c r="L132" t="s">
        <v>65</v>
      </c>
      <c r="M132" t="s">
        <v>66</v>
      </c>
      <c r="N132" t="s">
        <v>45</v>
      </c>
      <c r="O132">
        <v>6</v>
      </c>
      <c r="P132" t="s">
        <v>7</v>
      </c>
      <c r="Q132">
        <v>14.1</v>
      </c>
    </row>
    <row r="133" spans="1:17">
      <c r="A133">
        <v>904</v>
      </c>
      <c r="B133" t="s">
        <v>33</v>
      </c>
      <c r="C133">
        <v>0.315</v>
      </c>
      <c r="D133">
        <v>0.23499999999999999</v>
      </c>
      <c r="E133">
        <v>7.4999999999999997E-2</v>
      </c>
      <c r="F133">
        <v>0.14849999999999999</v>
      </c>
      <c r="G133">
        <v>5.8500000000000003E-2</v>
      </c>
      <c r="H133">
        <v>3.7499999999999999E-2</v>
      </c>
      <c r="I133">
        <v>4.2500000000000003E-2</v>
      </c>
      <c r="J133">
        <v>6</v>
      </c>
      <c r="K133">
        <v>15</v>
      </c>
      <c r="L133" t="s">
        <v>60</v>
      </c>
      <c r="M133" t="s">
        <v>61</v>
      </c>
      <c r="N133" t="s">
        <v>45</v>
      </c>
      <c r="O133">
        <v>6</v>
      </c>
      <c r="P133" t="s">
        <v>7</v>
      </c>
      <c r="Q133">
        <v>14.1</v>
      </c>
    </row>
    <row r="134" spans="1:17">
      <c r="A134">
        <v>909</v>
      </c>
      <c r="B134" t="s">
        <v>33</v>
      </c>
      <c r="C134">
        <v>0.33500000000000002</v>
      </c>
      <c r="D134">
        <v>0.25</v>
      </c>
      <c r="E134">
        <v>7.4999999999999997E-2</v>
      </c>
      <c r="F134">
        <v>0.1825</v>
      </c>
      <c r="G134">
        <v>7.0499999999999993E-2</v>
      </c>
      <c r="H134">
        <v>4.3999999999999997E-2</v>
      </c>
      <c r="I134">
        <v>5.5E-2</v>
      </c>
      <c r="J134">
        <v>7</v>
      </c>
      <c r="K134">
        <v>13</v>
      </c>
      <c r="L134" t="s">
        <v>43</v>
      </c>
      <c r="M134" t="s">
        <v>44</v>
      </c>
      <c r="N134" t="s">
        <v>45</v>
      </c>
      <c r="O134">
        <v>5</v>
      </c>
      <c r="P134" t="s">
        <v>12</v>
      </c>
      <c r="Q134">
        <v>12.8</v>
      </c>
    </row>
    <row r="135" spans="1:17">
      <c r="A135">
        <v>303</v>
      </c>
      <c r="B135" t="s">
        <v>33</v>
      </c>
      <c r="C135">
        <v>0.37</v>
      </c>
      <c r="D135">
        <v>0.28000000000000003</v>
      </c>
      <c r="E135">
        <v>0.1</v>
      </c>
      <c r="F135">
        <v>0.252</v>
      </c>
      <c r="G135">
        <v>0.1065</v>
      </c>
      <c r="H135">
        <v>5.9499999999999997E-2</v>
      </c>
      <c r="I135">
        <v>7.3999999999999996E-2</v>
      </c>
      <c r="J135">
        <v>8</v>
      </c>
      <c r="K135">
        <v>8</v>
      </c>
      <c r="L135" t="s">
        <v>55</v>
      </c>
      <c r="M135" t="s">
        <v>56</v>
      </c>
      <c r="N135" t="s">
        <v>57</v>
      </c>
      <c r="O135">
        <v>6</v>
      </c>
      <c r="P135" t="s">
        <v>7</v>
      </c>
      <c r="Q135">
        <v>14.1</v>
      </c>
    </row>
    <row r="136" spans="1:17">
      <c r="A136">
        <v>1093</v>
      </c>
      <c r="B136" t="s">
        <v>33</v>
      </c>
      <c r="C136">
        <v>0.46</v>
      </c>
      <c r="D136">
        <v>0.35</v>
      </c>
      <c r="E136">
        <v>0.115</v>
      </c>
      <c r="F136">
        <v>0.41549999999999998</v>
      </c>
      <c r="G136">
        <v>0.18</v>
      </c>
      <c r="H136">
        <v>9.8000000000000004E-2</v>
      </c>
      <c r="I136">
        <v>0.11749999999999999</v>
      </c>
      <c r="J136">
        <v>7</v>
      </c>
      <c r="K136">
        <v>6</v>
      </c>
      <c r="L136" t="s">
        <v>46</v>
      </c>
      <c r="M136" t="s">
        <v>47</v>
      </c>
      <c r="N136" t="s">
        <v>48</v>
      </c>
      <c r="O136">
        <v>3</v>
      </c>
      <c r="P136" t="s">
        <v>10</v>
      </c>
      <c r="Q136">
        <v>3.6</v>
      </c>
    </row>
    <row r="137" spans="1:17">
      <c r="A137">
        <v>2887</v>
      </c>
      <c r="B137" t="s">
        <v>33</v>
      </c>
      <c r="C137">
        <v>0.505</v>
      </c>
      <c r="D137">
        <v>0.36499999999999999</v>
      </c>
      <c r="E137">
        <v>0.115</v>
      </c>
      <c r="F137">
        <v>0.52100000000000002</v>
      </c>
      <c r="G137">
        <v>0.25</v>
      </c>
      <c r="H137">
        <v>9.6000000000000002E-2</v>
      </c>
      <c r="I137">
        <v>0.15</v>
      </c>
      <c r="J137">
        <v>8</v>
      </c>
      <c r="K137">
        <v>3</v>
      </c>
      <c r="L137" t="s">
        <v>52</v>
      </c>
      <c r="M137" t="s">
        <v>53</v>
      </c>
      <c r="N137" t="s">
        <v>54</v>
      </c>
      <c r="O137">
        <v>7</v>
      </c>
      <c r="P137" t="s">
        <v>6</v>
      </c>
      <c r="Q137">
        <v>2.5</v>
      </c>
    </row>
    <row r="138" spans="1:17">
      <c r="A138">
        <v>4082</v>
      </c>
      <c r="B138" t="s">
        <v>33</v>
      </c>
      <c r="C138">
        <v>0.56000000000000005</v>
      </c>
      <c r="D138">
        <v>0.45</v>
      </c>
      <c r="E138">
        <v>0.14499999999999999</v>
      </c>
      <c r="F138">
        <v>0.9355</v>
      </c>
      <c r="G138">
        <v>0.42499999999999999</v>
      </c>
      <c r="H138">
        <v>0.16450000000000001</v>
      </c>
      <c r="I138">
        <v>0.27250000000000002</v>
      </c>
      <c r="J138">
        <v>11</v>
      </c>
      <c r="K138">
        <v>5</v>
      </c>
      <c r="L138" t="s">
        <v>67</v>
      </c>
      <c r="M138" t="s">
        <v>68</v>
      </c>
      <c r="N138" t="s">
        <v>69</v>
      </c>
      <c r="O138">
        <v>5</v>
      </c>
      <c r="P138" t="s">
        <v>12</v>
      </c>
      <c r="Q138">
        <v>12.8</v>
      </c>
    </row>
    <row r="139" spans="1:17">
      <c r="A139">
        <v>3208</v>
      </c>
      <c r="B139" t="s">
        <v>33</v>
      </c>
      <c r="C139">
        <v>0.48</v>
      </c>
      <c r="D139">
        <v>0.38</v>
      </c>
      <c r="E139">
        <v>0.125</v>
      </c>
      <c r="F139">
        <v>0.52300000000000002</v>
      </c>
      <c r="G139">
        <v>0.21049999999999999</v>
      </c>
      <c r="H139">
        <v>0.1045</v>
      </c>
      <c r="I139">
        <v>0.17499999999999999</v>
      </c>
      <c r="J139">
        <v>15</v>
      </c>
      <c r="K139">
        <v>8</v>
      </c>
      <c r="L139" t="s">
        <v>55</v>
      </c>
      <c r="M139" t="s">
        <v>56</v>
      </c>
      <c r="N139" t="s">
        <v>57</v>
      </c>
      <c r="O139">
        <v>7</v>
      </c>
      <c r="P139" t="s">
        <v>6</v>
      </c>
      <c r="Q139">
        <v>2.5</v>
      </c>
    </row>
    <row r="140" spans="1:17">
      <c r="A140">
        <v>912</v>
      </c>
      <c r="B140" t="s">
        <v>33</v>
      </c>
      <c r="C140">
        <v>0.34</v>
      </c>
      <c r="D140">
        <v>0.25</v>
      </c>
      <c r="E140">
        <v>7.0000000000000007E-2</v>
      </c>
      <c r="F140">
        <v>0.2225</v>
      </c>
      <c r="G140">
        <v>0.104</v>
      </c>
      <c r="H140">
        <v>4.2500000000000003E-2</v>
      </c>
      <c r="I140">
        <v>5.5E-2</v>
      </c>
      <c r="J140">
        <v>7</v>
      </c>
      <c r="K140">
        <v>10</v>
      </c>
      <c r="L140" t="s">
        <v>37</v>
      </c>
      <c r="M140" t="s">
        <v>38</v>
      </c>
      <c r="N140" t="s">
        <v>39</v>
      </c>
      <c r="O140">
        <v>5</v>
      </c>
      <c r="P140" t="s">
        <v>12</v>
      </c>
      <c r="Q140">
        <v>12.8</v>
      </c>
    </row>
    <row r="141" spans="1:17">
      <c r="A141">
        <v>989</v>
      </c>
      <c r="B141" t="s">
        <v>33</v>
      </c>
      <c r="C141">
        <v>0.56999999999999995</v>
      </c>
      <c r="D141">
        <v>0.46</v>
      </c>
      <c r="E141">
        <v>0.17</v>
      </c>
      <c r="F141">
        <v>0.90349999999999997</v>
      </c>
      <c r="G141">
        <v>0.40749999999999997</v>
      </c>
      <c r="H141">
        <v>0.19350000000000001</v>
      </c>
      <c r="I141">
        <v>0.214</v>
      </c>
      <c r="J141">
        <v>7</v>
      </c>
      <c r="K141">
        <v>4</v>
      </c>
      <c r="L141" t="s">
        <v>40</v>
      </c>
      <c r="M141" t="s">
        <v>41</v>
      </c>
      <c r="N141" t="s">
        <v>42</v>
      </c>
      <c r="O141">
        <v>5</v>
      </c>
      <c r="P141" t="s">
        <v>12</v>
      </c>
      <c r="Q141">
        <v>12.8</v>
      </c>
    </row>
    <row r="142" spans="1:17">
      <c r="A142">
        <v>1145</v>
      </c>
      <c r="B142" t="s">
        <v>33</v>
      </c>
      <c r="C142">
        <v>0.57999999999999996</v>
      </c>
      <c r="D142">
        <v>0.45500000000000002</v>
      </c>
      <c r="E142">
        <v>0.15</v>
      </c>
      <c r="F142">
        <v>1.1140000000000001</v>
      </c>
      <c r="G142">
        <v>0.47649999999999998</v>
      </c>
      <c r="H142">
        <v>0.2155</v>
      </c>
      <c r="I142">
        <v>0.26500000000000001</v>
      </c>
      <c r="J142">
        <v>8</v>
      </c>
      <c r="K142">
        <v>5</v>
      </c>
      <c r="L142" t="s">
        <v>67</v>
      </c>
      <c r="M142" t="s">
        <v>68</v>
      </c>
      <c r="N142" t="s">
        <v>69</v>
      </c>
      <c r="O142">
        <v>4</v>
      </c>
      <c r="P142" t="s">
        <v>8</v>
      </c>
      <c r="Q142">
        <v>6.1</v>
      </c>
    </row>
    <row r="143" spans="1:17">
      <c r="A143">
        <v>3271</v>
      </c>
      <c r="B143" t="s">
        <v>33</v>
      </c>
      <c r="C143">
        <v>0.625</v>
      </c>
      <c r="D143">
        <v>0.47499999999999998</v>
      </c>
      <c r="E143">
        <v>0.13</v>
      </c>
      <c r="F143">
        <v>0.85950000000000004</v>
      </c>
      <c r="G143">
        <v>0.31950000000000001</v>
      </c>
      <c r="H143">
        <v>0.17749999999999999</v>
      </c>
      <c r="I143">
        <v>0.24</v>
      </c>
      <c r="J143">
        <v>13</v>
      </c>
      <c r="K143">
        <v>3</v>
      </c>
      <c r="L143" t="s">
        <v>52</v>
      </c>
      <c r="M143" t="s">
        <v>53</v>
      </c>
      <c r="N143" t="s">
        <v>54</v>
      </c>
      <c r="O143">
        <v>9</v>
      </c>
      <c r="P143" t="s">
        <v>9</v>
      </c>
      <c r="Q143">
        <v>1.9</v>
      </c>
    </row>
    <row r="144" spans="1:17">
      <c r="A144">
        <v>2093</v>
      </c>
      <c r="B144" t="s">
        <v>33</v>
      </c>
      <c r="C144">
        <v>0.53</v>
      </c>
      <c r="D144">
        <v>0.42499999999999999</v>
      </c>
      <c r="E144">
        <v>0.13</v>
      </c>
      <c r="F144">
        <v>0.74550000000000005</v>
      </c>
      <c r="G144">
        <v>0.29949999999999999</v>
      </c>
      <c r="H144">
        <v>0.13550000000000001</v>
      </c>
      <c r="I144">
        <v>0.245</v>
      </c>
      <c r="J144">
        <v>10</v>
      </c>
      <c r="K144">
        <v>14</v>
      </c>
      <c r="L144" t="s">
        <v>72</v>
      </c>
      <c r="M144" t="s">
        <v>73</v>
      </c>
      <c r="N144" t="s">
        <v>74</v>
      </c>
      <c r="O144">
        <v>6</v>
      </c>
      <c r="P144" t="s">
        <v>7</v>
      </c>
      <c r="Q144">
        <v>14.1</v>
      </c>
    </row>
    <row r="145" spans="1:17">
      <c r="A145">
        <v>3269</v>
      </c>
      <c r="B145" t="s">
        <v>33</v>
      </c>
      <c r="C145">
        <v>0.41</v>
      </c>
      <c r="D145">
        <v>0.31</v>
      </c>
      <c r="E145">
        <v>0.125</v>
      </c>
      <c r="F145">
        <v>0.35949999999999999</v>
      </c>
      <c r="G145">
        <v>0.14149999999999999</v>
      </c>
      <c r="H145">
        <v>8.8499999999999995E-2</v>
      </c>
      <c r="I145">
        <v>0.115</v>
      </c>
      <c r="J145">
        <v>11</v>
      </c>
      <c r="K145">
        <v>11</v>
      </c>
      <c r="L145" t="s">
        <v>65</v>
      </c>
      <c r="M145" t="s">
        <v>66</v>
      </c>
      <c r="N145" t="s">
        <v>45</v>
      </c>
      <c r="O145">
        <v>9</v>
      </c>
      <c r="P145" t="s">
        <v>9</v>
      </c>
      <c r="Q145">
        <v>1.9</v>
      </c>
    </row>
    <row r="146" spans="1:17">
      <c r="A146">
        <v>3847</v>
      </c>
      <c r="B146" t="s">
        <v>33</v>
      </c>
      <c r="C146">
        <v>0.37</v>
      </c>
      <c r="D146">
        <v>0.27500000000000002</v>
      </c>
      <c r="E146">
        <v>8.5000000000000006E-2</v>
      </c>
      <c r="F146">
        <v>0.20449999999999999</v>
      </c>
      <c r="G146">
        <v>9.6000000000000002E-2</v>
      </c>
      <c r="H146">
        <v>5.6000000000000001E-2</v>
      </c>
      <c r="I146">
        <v>0.08</v>
      </c>
      <c r="J146">
        <v>6</v>
      </c>
      <c r="K146">
        <v>9</v>
      </c>
      <c r="L146" t="s">
        <v>34</v>
      </c>
      <c r="M146" t="s">
        <v>35</v>
      </c>
      <c r="N146" t="s">
        <v>36</v>
      </c>
      <c r="O146">
        <v>1</v>
      </c>
      <c r="P146" t="s">
        <v>4</v>
      </c>
      <c r="Q146">
        <v>22.1</v>
      </c>
    </row>
    <row r="147" spans="1:17">
      <c r="A147">
        <v>1842</v>
      </c>
      <c r="B147" t="s">
        <v>33</v>
      </c>
      <c r="C147">
        <v>0.435</v>
      </c>
      <c r="D147">
        <v>0.33500000000000002</v>
      </c>
      <c r="E147">
        <v>0.1</v>
      </c>
      <c r="F147">
        <v>0.32450000000000001</v>
      </c>
      <c r="G147">
        <v>0.13500000000000001</v>
      </c>
      <c r="H147">
        <v>7.85E-2</v>
      </c>
      <c r="I147">
        <v>9.8000000000000004E-2</v>
      </c>
      <c r="J147">
        <v>7</v>
      </c>
      <c r="K147">
        <v>11</v>
      </c>
      <c r="L147" t="s">
        <v>65</v>
      </c>
      <c r="M147" t="s">
        <v>66</v>
      </c>
      <c r="N147" t="s">
        <v>45</v>
      </c>
      <c r="O147">
        <v>10</v>
      </c>
      <c r="P147" t="s">
        <v>11</v>
      </c>
      <c r="Q147">
        <v>24.1</v>
      </c>
    </row>
    <row r="148" spans="1:17">
      <c r="A148">
        <v>971</v>
      </c>
      <c r="B148" t="s">
        <v>33</v>
      </c>
      <c r="C148">
        <v>0.51500000000000001</v>
      </c>
      <c r="D148">
        <v>0.43</v>
      </c>
      <c r="E148">
        <v>0.14000000000000001</v>
      </c>
      <c r="F148">
        <v>0.83399999999999996</v>
      </c>
      <c r="G148">
        <v>0.36699999999999999</v>
      </c>
      <c r="H148">
        <v>0.2</v>
      </c>
      <c r="I148">
        <v>0.23</v>
      </c>
      <c r="J148">
        <v>8</v>
      </c>
      <c r="K148">
        <v>15</v>
      </c>
      <c r="L148" t="s">
        <v>60</v>
      </c>
      <c r="M148" t="s">
        <v>61</v>
      </c>
      <c r="N148" t="s">
        <v>45</v>
      </c>
      <c r="O148">
        <v>2</v>
      </c>
      <c r="P148" t="s">
        <v>5</v>
      </c>
      <c r="Q148">
        <v>18</v>
      </c>
    </row>
    <row r="149" spans="1:17">
      <c r="A149">
        <v>1928</v>
      </c>
      <c r="B149" t="s">
        <v>33</v>
      </c>
      <c r="C149">
        <v>0.61499999999999999</v>
      </c>
      <c r="D149">
        <v>0.47</v>
      </c>
      <c r="E149">
        <v>0.15</v>
      </c>
      <c r="F149">
        <v>1.0874999999999999</v>
      </c>
      <c r="G149">
        <v>0.4975</v>
      </c>
      <c r="H149">
        <v>0.28299999999999997</v>
      </c>
      <c r="I149">
        <v>0.26850000000000002</v>
      </c>
      <c r="J149">
        <v>9</v>
      </c>
      <c r="K149">
        <v>11</v>
      </c>
      <c r="L149" t="s">
        <v>65</v>
      </c>
      <c r="M149" t="s">
        <v>66</v>
      </c>
      <c r="N149" t="s">
        <v>45</v>
      </c>
      <c r="O149">
        <v>2</v>
      </c>
      <c r="P149" t="s">
        <v>5</v>
      </c>
      <c r="Q149">
        <v>18</v>
      </c>
    </row>
    <row r="150" spans="1:17">
      <c r="A150">
        <v>427</v>
      </c>
      <c r="B150" t="s">
        <v>33</v>
      </c>
      <c r="C150">
        <v>0.61</v>
      </c>
      <c r="D150">
        <v>0.48499999999999999</v>
      </c>
      <c r="E150">
        <v>0.16500000000000001</v>
      </c>
      <c r="F150">
        <v>1.0914999999999999</v>
      </c>
      <c r="G150">
        <v>0.39350000000000002</v>
      </c>
      <c r="H150">
        <v>0.24349999999999999</v>
      </c>
      <c r="I150">
        <v>0.33</v>
      </c>
      <c r="J150">
        <v>18</v>
      </c>
      <c r="K150">
        <v>11</v>
      </c>
      <c r="L150" t="s">
        <v>65</v>
      </c>
      <c r="M150" t="s">
        <v>66</v>
      </c>
      <c r="N150" t="s">
        <v>45</v>
      </c>
      <c r="O150">
        <v>7</v>
      </c>
      <c r="P150" t="s">
        <v>6</v>
      </c>
      <c r="Q150">
        <v>2.5</v>
      </c>
    </row>
    <row r="151" spans="1:17">
      <c r="A151">
        <v>3572</v>
      </c>
      <c r="B151" t="s">
        <v>33</v>
      </c>
      <c r="C151">
        <v>0.58499999999999996</v>
      </c>
      <c r="D151">
        <v>0.46500000000000002</v>
      </c>
      <c r="E151">
        <v>0.16500000000000001</v>
      </c>
      <c r="F151">
        <v>0.9355</v>
      </c>
      <c r="G151">
        <v>0.40350000000000003</v>
      </c>
      <c r="H151">
        <v>0.22750000000000001</v>
      </c>
      <c r="I151">
        <v>0.25900000000000001</v>
      </c>
      <c r="J151">
        <v>9</v>
      </c>
      <c r="K151">
        <v>8</v>
      </c>
      <c r="L151" t="s">
        <v>55</v>
      </c>
      <c r="M151" t="s">
        <v>56</v>
      </c>
      <c r="N151" t="s">
        <v>57</v>
      </c>
      <c r="O151">
        <v>6</v>
      </c>
      <c r="P151" t="s">
        <v>7</v>
      </c>
      <c r="Q151">
        <v>14.1</v>
      </c>
    </row>
    <row r="152" spans="1:17">
      <c r="A152">
        <v>713</v>
      </c>
      <c r="B152" t="s">
        <v>33</v>
      </c>
      <c r="C152">
        <v>0.28000000000000003</v>
      </c>
      <c r="D152">
        <v>0.20499999999999999</v>
      </c>
      <c r="E152">
        <v>5.5E-2</v>
      </c>
      <c r="F152">
        <v>0.1135</v>
      </c>
      <c r="G152">
        <v>4.4999999999999998E-2</v>
      </c>
      <c r="H152">
        <v>2.75E-2</v>
      </c>
      <c r="I152">
        <v>3.3500000000000002E-2</v>
      </c>
      <c r="J152">
        <v>7</v>
      </c>
      <c r="K152">
        <v>11</v>
      </c>
      <c r="L152" t="s">
        <v>65</v>
      </c>
      <c r="M152" t="s">
        <v>66</v>
      </c>
      <c r="N152" t="s">
        <v>45</v>
      </c>
      <c r="O152">
        <v>5</v>
      </c>
      <c r="P152" t="s">
        <v>12</v>
      </c>
      <c r="Q152">
        <v>12.8</v>
      </c>
    </row>
    <row r="153" spans="1:17">
      <c r="A153">
        <v>3579</v>
      </c>
      <c r="B153" t="s">
        <v>33</v>
      </c>
      <c r="C153">
        <v>0.6</v>
      </c>
      <c r="D153">
        <v>0.47499999999999998</v>
      </c>
      <c r="E153">
        <v>0.17</v>
      </c>
      <c r="F153">
        <v>1.0880000000000001</v>
      </c>
      <c r="G153">
        <v>0.49049999999999999</v>
      </c>
      <c r="H153">
        <v>0.2475</v>
      </c>
      <c r="I153">
        <v>0.31</v>
      </c>
      <c r="J153">
        <v>10</v>
      </c>
      <c r="K153">
        <v>9</v>
      </c>
      <c r="L153" t="s">
        <v>34</v>
      </c>
      <c r="M153" t="s">
        <v>35</v>
      </c>
      <c r="N153" t="s">
        <v>36</v>
      </c>
      <c r="O153">
        <v>3</v>
      </c>
      <c r="P153" t="s">
        <v>10</v>
      </c>
      <c r="Q153">
        <v>3.6</v>
      </c>
    </row>
    <row r="154" spans="1:17">
      <c r="A154">
        <v>1235</v>
      </c>
      <c r="B154" t="s">
        <v>33</v>
      </c>
      <c r="C154">
        <v>0.375</v>
      </c>
      <c r="D154">
        <v>0.28999999999999998</v>
      </c>
      <c r="E154">
        <v>9.5000000000000001E-2</v>
      </c>
      <c r="F154">
        <v>0.21299999999999999</v>
      </c>
      <c r="G154">
        <v>9.6000000000000002E-2</v>
      </c>
      <c r="H154">
        <v>4.1000000000000002E-2</v>
      </c>
      <c r="I154">
        <v>6.0999999999999999E-2</v>
      </c>
      <c r="J154">
        <v>5</v>
      </c>
      <c r="K154">
        <v>1</v>
      </c>
      <c r="L154" t="s">
        <v>70</v>
      </c>
      <c r="M154" t="s">
        <v>71</v>
      </c>
      <c r="N154" t="s">
        <v>45</v>
      </c>
      <c r="O154">
        <v>3</v>
      </c>
      <c r="P154" t="s">
        <v>10</v>
      </c>
      <c r="Q154">
        <v>3.6</v>
      </c>
    </row>
    <row r="155" spans="1:17">
      <c r="A155">
        <v>1557</v>
      </c>
      <c r="B155" t="s">
        <v>33</v>
      </c>
      <c r="C155">
        <v>0.41499999999999998</v>
      </c>
      <c r="D155">
        <v>0.32500000000000001</v>
      </c>
      <c r="E155">
        <v>0.1</v>
      </c>
      <c r="F155">
        <v>0.313</v>
      </c>
      <c r="G155">
        <v>0.13900000000000001</v>
      </c>
      <c r="H155">
        <v>6.25E-2</v>
      </c>
      <c r="I155">
        <v>9.6500000000000002E-2</v>
      </c>
      <c r="J155">
        <v>7</v>
      </c>
      <c r="K155">
        <v>10</v>
      </c>
      <c r="L155" t="s">
        <v>37</v>
      </c>
      <c r="M155" t="s">
        <v>38</v>
      </c>
      <c r="N155" t="s">
        <v>39</v>
      </c>
      <c r="O155">
        <v>2</v>
      </c>
      <c r="P155" t="s">
        <v>5</v>
      </c>
      <c r="Q155">
        <v>18</v>
      </c>
    </row>
    <row r="156" spans="1:17">
      <c r="A156">
        <v>491</v>
      </c>
      <c r="B156" t="s">
        <v>33</v>
      </c>
      <c r="C156">
        <v>0.59</v>
      </c>
      <c r="D156">
        <v>0.45500000000000002</v>
      </c>
      <c r="E156">
        <v>0.14499999999999999</v>
      </c>
      <c r="F156">
        <v>1.073</v>
      </c>
      <c r="G156">
        <v>0.47499999999999998</v>
      </c>
      <c r="H156">
        <v>0.19</v>
      </c>
      <c r="I156">
        <v>0.28499999999999998</v>
      </c>
      <c r="J156">
        <v>14</v>
      </c>
      <c r="K156">
        <v>6</v>
      </c>
      <c r="L156" t="s">
        <v>46</v>
      </c>
      <c r="M156" t="s">
        <v>47</v>
      </c>
      <c r="N156" t="s">
        <v>48</v>
      </c>
      <c r="O156">
        <v>7</v>
      </c>
      <c r="P156" t="s">
        <v>6</v>
      </c>
      <c r="Q156">
        <v>2.5</v>
      </c>
    </row>
    <row r="157" spans="1:17">
      <c r="A157">
        <v>2567</v>
      </c>
      <c r="B157" t="s">
        <v>33</v>
      </c>
      <c r="C157">
        <v>0.45500000000000002</v>
      </c>
      <c r="D157">
        <v>0.35</v>
      </c>
      <c r="E157">
        <v>0.12</v>
      </c>
      <c r="F157">
        <v>0.45550000000000002</v>
      </c>
      <c r="G157">
        <v>0.19450000000000001</v>
      </c>
      <c r="H157">
        <v>0.1045</v>
      </c>
      <c r="I157">
        <v>0.13750000000000001</v>
      </c>
      <c r="J157">
        <v>7</v>
      </c>
      <c r="K157">
        <v>1</v>
      </c>
      <c r="L157" t="s">
        <v>70</v>
      </c>
      <c r="M157" t="s">
        <v>71</v>
      </c>
      <c r="N157" t="s">
        <v>45</v>
      </c>
      <c r="O157">
        <v>3</v>
      </c>
      <c r="P157" t="s">
        <v>10</v>
      </c>
      <c r="Q157">
        <v>3.6</v>
      </c>
    </row>
    <row r="158" spans="1:17">
      <c r="A158">
        <v>3937</v>
      </c>
      <c r="B158" t="s">
        <v>33</v>
      </c>
      <c r="C158">
        <v>0.47499999999999998</v>
      </c>
      <c r="D158">
        <v>0.4</v>
      </c>
      <c r="E158">
        <v>0.115</v>
      </c>
      <c r="F158">
        <v>0.54100000000000004</v>
      </c>
      <c r="G158">
        <v>0.186</v>
      </c>
      <c r="H158">
        <v>0.10249999999999999</v>
      </c>
      <c r="I158">
        <v>0.21</v>
      </c>
      <c r="J158">
        <v>13</v>
      </c>
      <c r="K158">
        <v>2</v>
      </c>
      <c r="L158" t="s">
        <v>49</v>
      </c>
      <c r="M158" t="s">
        <v>50</v>
      </c>
      <c r="N158" t="s">
        <v>51</v>
      </c>
      <c r="O158">
        <v>2</v>
      </c>
      <c r="P158" t="s">
        <v>5</v>
      </c>
      <c r="Q158">
        <v>18</v>
      </c>
    </row>
    <row r="159" spans="1:17">
      <c r="A159">
        <v>2605</v>
      </c>
      <c r="B159" t="s">
        <v>33</v>
      </c>
      <c r="C159">
        <v>0.62</v>
      </c>
      <c r="D159">
        <v>0.48499999999999999</v>
      </c>
      <c r="E159">
        <v>0.17499999999999999</v>
      </c>
      <c r="F159">
        <v>1.2155</v>
      </c>
      <c r="G159">
        <v>0.54500000000000004</v>
      </c>
      <c r="H159">
        <v>0.253</v>
      </c>
      <c r="I159">
        <v>0.34499999999999997</v>
      </c>
      <c r="J159">
        <v>10</v>
      </c>
      <c r="K159">
        <v>5</v>
      </c>
      <c r="L159" t="s">
        <v>67</v>
      </c>
      <c r="M159" t="s">
        <v>68</v>
      </c>
      <c r="N159" t="s">
        <v>69</v>
      </c>
      <c r="O159">
        <v>5</v>
      </c>
      <c r="P159" t="s">
        <v>12</v>
      </c>
      <c r="Q159">
        <v>12.8</v>
      </c>
    </row>
    <row r="160" spans="1:17">
      <c r="A160">
        <v>729</v>
      </c>
      <c r="B160" t="s">
        <v>33</v>
      </c>
      <c r="C160">
        <v>0.505</v>
      </c>
      <c r="D160">
        <v>0.4</v>
      </c>
      <c r="E160">
        <v>0.125</v>
      </c>
      <c r="F160">
        <v>0.77</v>
      </c>
      <c r="G160">
        <v>0.27350000000000002</v>
      </c>
      <c r="H160">
        <v>0.159</v>
      </c>
      <c r="I160">
        <v>0.255</v>
      </c>
      <c r="J160">
        <v>13</v>
      </c>
      <c r="K160">
        <v>11</v>
      </c>
      <c r="L160" t="s">
        <v>65</v>
      </c>
      <c r="M160" t="s">
        <v>66</v>
      </c>
      <c r="N160" t="s">
        <v>45</v>
      </c>
      <c r="O160">
        <v>5</v>
      </c>
      <c r="P160" t="s">
        <v>12</v>
      </c>
      <c r="Q160">
        <v>12.8</v>
      </c>
    </row>
    <row r="161" spans="1:17">
      <c r="A161">
        <v>841</v>
      </c>
      <c r="B161" t="s">
        <v>33</v>
      </c>
      <c r="C161">
        <v>0.49</v>
      </c>
      <c r="D161">
        <v>0.38500000000000001</v>
      </c>
      <c r="E161">
        <v>0.125</v>
      </c>
      <c r="F161">
        <v>0.60899999999999999</v>
      </c>
      <c r="G161">
        <v>0.30649999999999999</v>
      </c>
      <c r="H161">
        <v>9.6000000000000002E-2</v>
      </c>
      <c r="I161">
        <v>0.17749999999999999</v>
      </c>
      <c r="J161">
        <v>8</v>
      </c>
      <c r="K161">
        <v>9</v>
      </c>
      <c r="L161" t="s">
        <v>34</v>
      </c>
      <c r="M161" t="s">
        <v>35</v>
      </c>
      <c r="N161" t="s">
        <v>36</v>
      </c>
      <c r="O161">
        <v>6</v>
      </c>
      <c r="P161" t="s">
        <v>7</v>
      </c>
      <c r="Q161">
        <v>14.1</v>
      </c>
    </row>
    <row r="162" spans="1:17">
      <c r="A162">
        <v>1901</v>
      </c>
      <c r="B162" t="s">
        <v>33</v>
      </c>
      <c r="C162">
        <v>0.57499999999999996</v>
      </c>
      <c r="D162">
        <v>0.45</v>
      </c>
      <c r="E162">
        <v>0.155</v>
      </c>
      <c r="F162">
        <v>0.97650000000000003</v>
      </c>
      <c r="G162">
        <v>0.495</v>
      </c>
      <c r="H162">
        <v>0.2145</v>
      </c>
      <c r="I162">
        <v>0.23499999999999999</v>
      </c>
      <c r="J162">
        <v>9</v>
      </c>
      <c r="K162">
        <v>11</v>
      </c>
      <c r="L162" t="s">
        <v>65</v>
      </c>
      <c r="M162" t="s">
        <v>66</v>
      </c>
      <c r="N162" t="s">
        <v>45</v>
      </c>
      <c r="O162">
        <v>10</v>
      </c>
      <c r="P162" t="s">
        <v>11</v>
      </c>
      <c r="Q162">
        <v>24.1</v>
      </c>
    </row>
    <row r="163" spans="1:17">
      <c r="A163">
        <v>172</v>
      </c>
      <c r="B163" t="s">
        <v>33</v>
      </c>
      <c r="C163">
        <v>0.53</v>
      </c>
      <c r="D163">
        <v>0.39500000000000002</v>
      </c>
      <c r="E163">
        <v>0.14499999999999999</v>
      </c>
      <c r="F163">
        <v>0.77500000000000002</v>
      </c>
      <c r="G163">
        <v>0.308</v>
      </c>
      <c r="H163">
        <v>0.16900000000000001</v>
      </c>
      <c r="I163">
        <v>0.255</v>
      </c>
      <c r="J163">
        <v>7</v>
      </c>
      <c r="K163">
        <v>8</v>
      </c>
      <c r="L163" t="s">
        <v>55</v>
      </c>
      <c r="M163" t="s">
        <v>56</v>
      </c>
      <c r="N163" t="s">
        <v>57</v>
      </c>
      <c r="O163">
        <v>3</v>
      </c>
      <c r="P163" t="s">
        <v>10</v>
      </c>
      <c r="Q163">
        <v>3.6</v>
      </c>
    </row>
    <row r="164" spans="1:17">
      <c r="A164">
        <v>3826</v>
      </c>
      <c r="B164" t="s">
        <v>33</v>
      </c>
      <c r="C164">
        <v>0.625</v>
      </c>
      <c r="D164">
        <v>0.47</v>
      </c>
      <c r="E164">
        <v>0.17</v>
      </c>
      <c r="F164">
        <v>1.1665000000000001</v>
      </c>
      <c r="G164">
        <v>0.46050000000000002</v>
      </c>
      <c r="H164">
        <v>0.25650000000000001</v>
      </c>
      <c r="I164">
        <v>0.39450000000000002</v>
      </c>
      <c r="J164">
        <v>11</v>
      </c>
      <c r="K164">
        <v>12</v>
      </c>
      <c r="L164" t="s">
        <v>58</v>
      </c>
      <c r="M164" t="s">
        <v>59</v>
      </c>
      <c r="N164" t="s">
        <v>45</v>
      </c>
      <c r="O164">
        <v>6</v>
      </c>
      <c r="P164" t="s">
        <v>7</v>
      </c>
      <c r="Q164">
        <v>14.1</v>
      </c>
    </row>
    <row r="165" spans="1:17">
      <c r="A165">
        <v>2257</v>
      </c>
      <c r="B165" t="s">
        <v>33</v>
      </c>
      <c r="C165">
        <v>0.52</v>
      </c>
      <c r="D165">
        <v>0.38</v>
      </c>
      <c r="E165">
        <v>0.13500000000000001</v>
      </c>
      <c r="F165">
        <v>0.58250000000000002</v>
      </c>
      <c r="G165">
        <v>0.2505</v>
      </c>
      <c r="H165">
        <v>0.1565</v>
      </c>
      <c r="I165">
        <v>0.17499999999999999</v>
      </c>
      <c r="J165">
        <v>8</v>
      </c>
      <c r="K165">
        <v>2</v>
      </c>
      <c r="L165" t="s">
        <v>49</v>
      </c>
      <c r="M165" t="s">
        <v>50</v>
      </c>
      <c r="N165" t="s">
        <v>51</v>
      </c>
      <c r="O165">
        <v>1</v>
      </c>
      <c r="P165" t="s">
        <v>4</v>
      </c>
      <c r="Q165">
        <v>22.1</v>
      </c>
    </row>
    <row r="166" spans="1:17">
      <c r="A166">
        <v>3495</v>
      </c>
      <c r="B166" t="s">
        <v>33</v>
      </c>
      <c r="C166">
        <v>0.55500000000000005</v>
      </c>
      <c r="D166">
        <v>0.43</v>
      </c>
      <c r="E166">
        <v>0.13500000000000001</v>
      </c>
      <c r="F166">
        <v>0.81200000000000006</v>
      </c>
      <c r="G166">
        <v>0.40550000000000003</v>
      </c>
      <c r="H166">
        <v>0.16300000000000001</v>
      </c>
      <c r="I166">
        <v>0.2215</v>
      </c>
      <c r="J166">
        <v>9</v>
      </c>
      <c r="K166">
        <v>11</v>
      </c>
      <c r="L166" t="s">
        <v>65</v>
      </c>
      <c r="M166" t="s">
        <v>66</v>
      </c>
      <c r="N166" t="s">
        <v>45</v>
      </c>
      <c r="O166">
        <v>7</v>
      </c>
      <c r="P166" t="s">
        <v>6</v>
      </c>
      <c r="Q166">
        <v>2.5</v>
      </c>
    </row>
    <row r="167" spans="1:17">
      <c r="A167">
        <v>1309</v>
      </c>
      <c r="B167" t="s">
        <v>33</v>
      </c>
      <c r="C167">
        <v>0.54500000000000004</v>
      </c>
      <c r="D167">
        <v>0.44500000000000001</v>
      </c>
      <c r="E167">
        <v>0.15</v>
      </c>
      <c r="F167">
        <v>0.8</v>
      </c>
      <c r="G167">
        <v>0.35349999999999998</v>
      </c>
      <c r="H167">
        <v>0.16300000000000001</v>
      </c>
      <c r="I167">
        <v>0.20699999999999999</v>
      </c>
      <c r="J167">
        <v>9</v>
      </c>
      <c r="K167">
        <v>14</v>
      </c>
      <c r="L167" t="s">
        <v>72</v>
      </c>
      <c r="M167" t="s">
        <v>73</v>
      </c>
      <c r="N167" t="s">
        <v>74</v>
      </c>
      <c r="O167">
        <v>4</v>
      </c>
      <c r="P167" t="s">
        <v>8</v>
      </c>
      <c r="Q167">
        <v>6.1</v>
      </c>
    </row>
    <row r="168" spans="1:17">
      <c r="A168">
        <v>3215</v>
      </c>
      <c r="B168" t="s">
        <v>33</v>
      </c>
      <c r="C168">
        <v>0.56999999999999995</v>
      </c>
      <c r="D168">
        <v>0.495</v>
      </c>
      <c r="E168">
        <v>0.16</v>
      </c>
      <c r="F168">
        <v>1.0914999999999999</v>
      </c>
      <c r="G168">
        <v>0.45200000000000001</v>
      </c>
      <c r="H168">
        <v>0.27500000000000002</v>
      </c>
      <c r="I168">
        <v>0.315</v>
      </c>
      <c r="J168">
        <v>14</v>
      </c>
      <c r="K168">
        <v>8</v>
      </c>
      <c r="L168" t="s">
        <v>55</v>
      </c>
      <c r="M168" t="s">
        <v>56</v>
      </c>
      <c r="N168" t="s">
        <v>57</v>
      </c>
      <c r="O168">
        <v>4</v>
      </c>
      <c r="P168" t="s">
        <v>8</v>
      </c>
      <c r="Q168">
        <v>6.1</v>
      </c>
    </row>
    <row r="169" spans="1:17">
      <c r="A169">
        <v>1807</v>
      </c>
      <c r="B169" t="s">
        <v>33</v>
      </c>
      <c r="C169">
        <v>0.625</v>
      </c>
      <c r="D169">
        <v>0.49</v>
      </c>
      <c r="E169">
        <v>0.185</v>
      </c>
      <c r="F169">
        <v>1.169</v>
      </c>
      <c r="G169">
        <v>0.52749999999999997</v>
      </c>
      <c r="H169">
        <v>0.2535</v>
      </c>
      <c r="I169">
        <v>0.34399999999999997</v>
      </c>
      <c r="J169">
        <v>11</v>
      </c>
      <c r="K169">
        <v>7</v>
      </c>
      <c r="L169" t="s">
        <v>62</v>
      </c>
      <c r="M169" t="s">
        <v>63</v>
      </c>
      <c r="N169" t="s">
        <v>64</v>
      </c>
      <c r="O169">
        <v>1</v>
      </c>
      <c r="P169" t="s">
        <v>4</v>
      </c>
      <c r="Q169">
        <v>22.1</v>
      </c>
    </row>
    <row r="170" spans="1:17">
      <c r="A170">
        <v>1287</v>
      </c>
      <c r="B170" t="s">
        <v>33</v>
      </c>
      <c r="C170">
        <v>0.5</v>
      </c>
      <c r="D170">
        <v>0.39500000000000002</v>
      </c>
      <c r="E170">
        <v>0.14000000000000001</v>
      </c>
      <c r="F170">
        <v>0.62150000000000005</v>
      </c>
      <c r="G170">
        <v>0.29249999999999998</v>
      </c>
      <c r="H170">
        <v>0.1205</v>
      </c>
      <c r="I170">
        <v>0.19500000000000001</v>
      </c>
      <c r="J170">
        <v>9</v>
      </c>
      <c r="K170">
        <v>8</v>
      </c>
      <c r="L170" t="s">
        <v>55</v>
      </c>
      <c r="M170" t="s">
        <v>56</v>
      </c>
      <c r="N170" t="s">
        <v>57</v>
      </c>
      <c r="O170">
        <v>3</v>
      </c>
      <c r="P170" t="s">
        <v>10</v>
      </c>
      <c r="Q170">
        <v>3.6</v>
      </c>
    </row>
    <row r="171" spans="1:17">
      <c r="A171">
        <v>2153</v>
      </c>
      <c r="B171" t="s">
        <v>33</v>
      </c>
      <c r="C171">
        <v>0.4</v>
      </c>
      <c r="D171">
        <v>0.3</v>
      </c>
      <c r="E171">
        <v>0.115</v>
      </c>
      <c r="F171">
        <v>0.30249999999999999</v>
      </c>
      <c r="G171">
        <v>0.13350000000000001</v>
      </c>
      <c r="H171">
        <v>4.65E-2</v>
      </c>
      <c r="I171">
        <v>9.35E-2</v>
      </c>
      <c r="J171">
        <v>8</v>
      </c>
      <c r="K171">
        <v>4</v>
      </c>
      <c r="L171" t="s">
        <v>40</v>
      </c>
      <c r="M171" t="s">
        <v>41</v>
      </c>
      <c r="N171" t="s">
        <v>42</v>
      </c>
      <c r="O171">
        <v>3</v>
      </c>
      <c r="P171" t="s">
        <v>10</v>
      </c>
      <c r="Q171">
        <v>3.6</v>
      </c>
    </row>
    <row r="172" spans="1:17">
      <c r="A172">
        <v>1640</v>
      </c>
      <c r="B172" t="s">
        <v>33</v>
      </c>
      <c r="C172">
        <v>0.57499999999999996</v>
      </c>
      <c r="D172">
        <v>0.45</v>
      </c>
      <c r="E172">
        <v>0.13500000000000001</v>
      </c>
      <c r="F172">
        <v>0.80700000000000005</v>
      </c>
      <c r="G172">
        <v>0.36149999999999999</v>
      </c>
      <c r="H172">
        <v>0.17599999999999999</v>
      </c>
      <c r="I172">
        <v>0.254</v>
      </c>
      <c r="J172">
        <v>10</v>
      </c>
      <c r="K172">
        <v>3</v>
      </c>
      <c r="L172" t="s">
        <v>52</v>
      </c>
      <c r="M172" t="s">
        <v>53</v>
      </c>
      <c r="N172" t="s">
        <v>54</v>
      </c>
      <c r="O172">
        <v>7</v>
      </c>
      <c r="P172" t="s">
        <v>6</v>
      </c>
      <c r="Q172">
        <v>2.5</v>
      </c>
    </row>
    <row r="173" spans="1:17">
      <c r="A173">
        <v>4166</v>
      </c>
      <c r="B173" t="s">
        <v>33</v>
      </c>
      <c r="C173">
        <v>0.40500000000000003</v>
      </c>
      <c r="D173">
        <v>0.3</v>
      </c>
      <c r="E173">
        <v>8.5000000000000006E-2</v>
      </c>
      <c r="F173">
        <v>0.30349999999999999</v>
      </c>
      <c r="G173">
        <v>0.15</v>
      </c>
      <c r="H173">
        <v>5.0500000000000003E-2</v>
      </c>
      <c r="I173">
        <v>8.7999999999999995E-2</v>
      </c>
      <c r="J173">
        <v>7</v>
      </c>
      <c r="K173">
        <v>15</v>
      </c>
      <c r="L173" t="s">
        <v>60</v>
      </c>
      <c r="M173" t="s">
        <v>61</v>
      </c>
      <c r="N173" t="s">
        <v>45</v>
      </c>
      <c r="O173">
        <v>3</v>
      </c>
      <c r="P173" t="s">
        <v>10</v>
      </c>
      <c r="Q173">
        <v>3.6</v>
      </c>
    </row>
    <row r="174" spans="1:17">
      <c r="A174">
        <v>443</v>
      </c>
      <c r="B174" t="s">
        <v>33</v>
      </c>
      <c r="C174">
        <v>0.505</v>
      </c>
      <c r="D174">
        <v>0.42499999999999999</v>
      </c>
      <c r="E174">
        <v>0.14000000000000001</v>
      </c>
      <c r="F174">
        <v>0.85</v>
      </c>
      <c r="G174">
        <v>0.27500000000000002</v>
      </c>
      <c r="H174">
        <v>0.16250000000000001</v>
      </c>
      <c r="I174">
        <v>0.28499999999999998</v>
      </c>
      <c r="J174">
        <v>19</v>
      </c>
      <c r="K174">
        <v>6</v>
      </c>
      <c r="L174" t="s">
        <v>46</v>
      </c>
      <c r="M174" t="s">
        <v>47</v>
      </c>
      <c r="N174" t="s">
        <v>48</v>
      </c>
      <c r="O174">
        <v>7</v>
      </c>
      <c r="P174" t="s">
        <v>6</v>
      </c>
      <c r="Q174">
        <v>2.5</v>
      </c>
    </row>
    <row r="175" spans="1:17">
      <c r="A175">
        <v>1570</v>
      </c>
      <c r="B175" t="s">
        <v>33</v>
      </c>
      <c r="C175">
        <v>0.47499999999999998</v>
      </c>
      <c r="D175">
        <v>0.36</v>
      </c>
      <c r="E175">
        <v>0.14499999999999999</v>
      </c>
      <c r="F175">
        <v>0.63249999999999995</v>
      </c>
      <c r="G175">
        <v>0.28249999999999997</v>
      </c>
      <c r="H175">
        <v>0.13700000000000001</v>
      </c>
      <c r="I175">
        <v>0.19</v>
      </c>
      <c r="J175">
        <v>8</v>
      </c>
      <c r="K175">
        <v>5</v>
      </c>
      <c r="L175" t="s">
        <v>67</v>
      </c>
      <c r="M175" t="s">
        <v>68</v>
      </c>
      <c r="N175" t="s">
        <v>69</v>
      </c>
      <c r="O175">
        <v>7</v>
      </c>
      <c r="P175" t="s">
        <v>6</v>
      </c>
      <c r="Q175">
        <v>2.5</v>
      </c>
    </row>
    <row r="176" spans="1:17">
      <c r="A176">
        <v>1271</v>
      </c>
      <c r="B176" t="s">
        <v>33</v>
      </c>
      <c r="C176">
        <v>0.47</v>
      </c>
      <c r="D176">
        <v>0.35499999999999998</v>
      </c>
      <c r="E176">
        <v>0.18</v>
      </c>
      <c r="F176">
        <v>0.48</v>
      </c>
      <c r="G176">
        <v>0.20549999999999999</v>
      </c>
      <c r="H176">
        <v>0.105</v>
      </c>
      <c r="I176">
        <v>0.15049999999999999</v>
      </c>
      <c r="J176">
        <v>8</v>
      </c>
      <c r="K176">
        <v>7</v>
      </c>
      <c r="L176" t="s">
        <v>62</v>
      </c>
      <c r="M176" t="s">
        <v>63</v>
      </c>
      <c r="N176" t="s">
        <v>64</v>
      </c>
      <c r="O176">
        <v>1</v>
      </c>
      <c r="P176" t="s">
        <v>4</v>
      </c>
      <c r="Q176">
        <v>22.1</v>
      </c>
    </row>
    <row r="177" spans="1:17">
      <c r="A177">
        <v>2041</v>
      </c>
      <c r="B177" t="s">
        <v>33</v>
      </c>
      <c r="C177">
        <v>0.32</v>
      </c>
      <c r="D177">
        <v>0.255</v>
      </c>
      <c r="E177">
        <v>8.5000000000000006E-2</v>
      </c>
      <c r="F177">
        <v>0.17449999999999999</v>
      </c>
      <c r="G177">
        <v>7.1999999999999995E-2</v>
      </c>
      <c r="H177">
        <v>3.3000000000000002E-2</v>
      </c>
      <c r="I177">
        <v>5.7000000000000002E-2</v>
      </c>
      <c r="J177">
        <v>8</v>
      </c>
      <c r="K177">
        <v>4</v>
      </c>
      <c r="L177" t="s">
        <v>40</v>
      </c>
      <c r="M177" t="s">
        <v>41</v>
      </c>
      <c r="N177" t="s">
        <v>42</v>
      </c>
      <c r="O177">
        <v>5</v>
      </c>
      <c r="P177" t="s">
        <v>12</v>
      </c>
      <c r="Q177">
        <v>12.8</v>
      </c>
    </row>
    <row r="178" spans="1:17">
      <c r="A178">
        <v>103</v>
      </c>
      <c r="B178" t="s">
        <v>33</v>
      </c>
      <c r="C178">
        <v>0.53</v>
      </c>
      <c r="D178">
        <v>0.435</v>
      </c>
      <c r="E178">
        <v>0.16</v>
      </c>
      <c r="F178">
        <v>0.88300000000000001</v>
      </c>
      <c r="G178">
        <v>0.316</v>
      </c>
      <c r="H178">
        <v>0.16400000000000001</v>
      </c>
      <c r="I178">
        <v>0.33500000000000002</v>
      </c>
      <c r="J178">
        <v>15</v>
      </c>
      <c r="K178">
        <v>10</v>
      </c>
      <c r="L178" t="s">
        <v>37</v>
      </c>
      <c r="M178" t="s">
        <v>38</v>
      </c>
      <c r="N178" t="s">
        <v>39</v>
      </c>
      <c r="O178">
        <v>3</v>
      </c>
      <c r="P178" t="s">
        <v>10</v>
      </c>
      <c r="Q178">
        <v>3.6</v>
      </c>
    </row>
    <row r="179" spans="1:17">
      <c r="A179">
        <v>1612</v>
      </c>
      <c r="B179" t="s">
        <v>33</v>
      </c>
      <c r="C179">
        <v>0.55000000000000004</v>
      </c>
      <c r="D179">
        <v>0.435</v>
      </c>
      <c r="E179">
        <v>0.14000000000000001</v>
      </c>
      <c r="F179">
        <v>0.76249999999999996</v>
      </c>
      <c r="G179">
        <v>0.32700000000000001</v>
      </c>
      <c r="H179">
        <v>0.16850000000000001</v>
      </c>
      <c r="I179">
        <v>0.25900000000000001</v>
      </c>
      <c r="J179">
        <v>10</v>
      </c>
      <c r="K179">
        <v>1</v>
      </c>
      <c r="L179" t="s">
        <v>70</v>
      </c>
      <c r="M179" t="s">
        <v>71</v>
      </c>
      <c r="N179" t="s">
        <v>45</v>
      </c>
      <c r="O179">
        <v>10</v>
      </c>
      <c r="P179" t="s">
        <v>11</v>
      </c>
      <c r="Q179">
        <v>24.1</v>
      </c>
    </row>
    <row r="180" spans="1:17">
      <c r="A180">
        <v>3910</v>
      </c>
      <c r="B180" t="s">
        <v>33</v>
      </c>
      <c r="C180">
        <v>0.45500000000000002</v>
      </c>
      <c r="D180">
        <v>0.375</v>
      </c>
      <c r="E180">
        <v>0.125</v>
      </c>
      <c r="F180">
        <v>0.45800000000000002</v>
      </c>
      <c r="G180">
        <v>0.19850000000000001</v>
      </c>
      <c r="H180">
        <v>0.111</v>
      </c>
      <c r="I180">
        <v>0.12</v>
      </c>
      <c r="J180">
        <v>10</v>
      </c>
      <c r="K180">
        <v>9</v>
      </c>
      <c r="L180" t="s">
        <v>34</v>
      </c>
      <c r="M180" t="s">
        <v>35</v>
      </c>
      <c r="N180" t="s">
        <v>36</v>
      </c>
      <c r="O180">
        <v>2</v>
      </c>
      <c r="P180" t="s">
        <v>5</v>
      </c>
      <c r="Q180">
        <v>18</v>
      </c>
    </row>
    <row r="181" spans="1:17">
      <c r="A181">
        <v>3295</v>
      </c>
      <c r="B181" t="s">
        <v>33</v>
      </c>
      <c r="C181">
        <v>0.63</v>
      </c>
      <c r="D181">
        <v>0.5</v>
      </c>
      <c r="E181">
        <v>0.16</v>
      </c>
      <c r="F181">
        <v>1.22</v>
      </c>
      <c r="G181">
        <v>0.49049999999999999</v>
      </c>
      <c r="H181">
        <v>0.3</v>
      </c>
      <c r="I181">
        <v>0.34499999999999997</v>
      </c>
      <c r="J181">
        <v>14</v>
      </c>
      <c r="K181">
        <v>6</v>
      </c>
      <c r="L181" t="s">
        <v>46</v>
      </c>
      <c r="M181" t="s">
        <v>47</v>
      </c>
      <c r="N181" t="s">
        <v>48</v>
      </c>
      <c r="O181">
        <v>5</v>
      </c>
      <c r="P181" t="s">
        <v>12</v>
      </c>
      <c r="Q181">
        <v>12.8</v>
      </c>
    </row>
    <row r="182" spans="1:17">
      <c r="A182">
        <v>3356</v>
      </c>
      <c r="B182" t="s">
        <v>33</v>
      </c>
      <c r="C182">
        <v>0.435</v>
      </c>
      <c r="D182">
        <v>0.34</v>
      </c>
      <c r="E182">
        <v>0.11</v>
      </c>
      <c r="F182">
        <v>0.40699999999999997</v>
      </c>
      <c r="G182">
        <v>0.16850000000000001</v>
      </c>
      <c r="H182">
        <v>7.2999999999999995E-2</v>
      </c>
      <c r="I182">
        <v>0.13</v>
      </c>
      <c r="J182">
        <v>10</v>
      </c>
      <c r="K182">
        <v>2</v>
      </c>
      <c r="L182" t="s">
        <v>49</v>
      </c>
      <c r="M182" t="s">
        <v>50</v>
      </c>
      <c r="N182" t="s">
        <v>51</v>
      </c>
      <c r="O182">
        <v>1</v>
      </c>
      <c r="P182" t="s">
        <v>4</v>
      </c>
      <c r="Q182">
        <v>22.1</v>
      </c>
    </row>
    <row r="183" spans="1:17">
      <c r="A183">
        <v>2785</v>
      </c>
      <c r="B183" t="s">
        <v>33</v>
      </c>
      <c r="C183">
        <v>0.6</v>
      </c>
      <c r="D183">
        <v>0.45</v>
      </c>
      <c r="E183">
        <v>0.14499999999999999</v>
      </c>
      <c r="F183">
        <v>0.877</v>
      </c>
      <c r="G183">
        <v>0.4325</v>
      </c>
      <c r="H183">
        <v>0.155</v>
      </c>
      <c r="I183">
        <v>0.24</v>
      </c>
      <c r="J183">
        <v>9</v>
      </c>
      <c r="K183">
        <v>12</v>
      </c>
      <c r="L183" t="s">
        <v>58</v>
      </c>
      <c r="M183" t="s">
        <v>59</v>
      </c>
      <c r="N183" t="s">
        <v>45</v>
      </c>
      <c r="O183">
        <v>4</v>
      </c>
      <c r="P183" t="s">
        <v>8</v>
      </c>
      <c r="Q183">
        <v>6.1</v>
      </c>
    </row>
    <row r="184" spans="1:17">
      <c r="A184">
        <v>2063</v>
      </c>
      <c r="B184" t="s">
        <v>33</v>
      </c>
      <c r="C184">
        <v>0.505</v>
      </c>
      <c r="D184">
        <v>0.38500000000000001</v>
      </c>
      <c r="E184">
        <v>0.13</v>
      </c>
      <c r="F184">
        <v>0.64349999999999996</v>
      </c>
      <c r="G184">
        <v>0.3135</v>
      </c>
      <c r="H184">
        <v>0.14899999999999999</v>
      </c>
      <c r="I184">
        <v>0.1515</v>
      </c>
      <c r="J184">
        <v>7</v>
      </c>
      <c r="K184">
        <v>6</v>
      </c>
      <c r="L184" t="s">
        <v>46</v>
      </c>
      <c r="M184" t="s">
        <v>47</v>
      </c>
      <c r="N184" t="s">
        <v>48</v>
      </c>
      <c r="O184">
        <v>7</v>
      </c>
      <c r="P184" t="s">
        <v>6</v>
      </c>
      <c r="Q184">
        <v>2.5</v>
      </c>
    </row>
    <row r="185" spans="1:17">
      <c r="A185">
        <v>2165</v>
      </c>
      <c r="B185" t="s">
        <v>33</v>
      </c>
      <c r="C185">
        <v>0.375</v>
      </c>
      <c r="D185">
        <v>0.30499999999999999</v>
      </c>
      <c r="E185">
        <v>0.09</v>
      </c>
      <c r="F185">
        <v>0.32450000000000001</v>
      </c>
      <c r="G185">
        <v>0.13950000000000001</v>
      </c>
      <c r="H185">
        <v>5.6500000000000002E-2</v>
      </c>
      <c r="I185">
        <v>9.5000000000000001E-2</v>
      </c>
      <c r="J185">
        <v>5</v>
      </c>
      <c r="K185">
        <v>15</v>
      </c>
      <c r="L185" t="s">
        <v>60</v>
      </c>
      <c r="M185" t="s">
        <v>61</v>
      </c>
      <c r="N185" t="s">
        <v>45</v>
      </c>
      <c r="O185">
        <v>9</v>
      </c>
      <c r="P185" t="s">
        <v>9</v>
      </c>
      <c r="Q185">
        <v>1.9</v>
      </c>
    </row>
    <row r="186" spans="1:17">
      <c r="A186">
        <v>714</v>
      </c>
      <c r="B186" t="s">
        <v>33</v>
      </c>
      <c r="C186">
        <v>0.35499999999999998</v>
      </c>
      <c r="D186">
        <v>0.26500000000000001</v>
      </c>
      <c r="E186">
        <v>8.5000000000000006E-2</v>
      </c>
      <c r="F186">
        <v>0.20100000000000001</v>
      </c>
      <c r="G186">
        <v>6.9000000000000006E-2</v>
      </c>
      <c r="H186">
        <v>5.2999999999999999E-2</v>
      </c>
      <c r="I186">
        <v>6.9500000000000006E-2</v>
      </c>
      <c r="J186">
        <v>8</v>
      </c>
      <c r="K186">
        <v>12</v>
      </c>
      <c r="L186" t="s">
        <v>58</v>
      </c>
      <c r="M186" t="s">
        <v>59</v>
      </c>
      <c r="N186" t="s">
        <v>45</v>
      </c>
      <c r="O186">
        <v>10</v>
      </c>
      <c r="P186" t="s">
        <v>11</v>
      </c>
      <c r="Q186">
        <v>24.1</v>
      </c>
    </row>
    <row r="187" spans="1:17">
      <c r="A187">
        <v>1008</v>
      </c>
      <c r="B187" t="s">
        <v>33</v>
      </c>
      <c r="C187">
        <v>0.61</v>
      </c>
      <c r="D187">
        <v>0.47</v>
      </c>
      <c r="E187">
        <v>0.15</v>
      </c>
      <c r="F187">
        <v>1.1625000000000001</v>
      </c>
      <c r="G187">
        <v>0.56499999999999995</v>
      </c>
      <c r="H187">
        <v>0.25800000000000001</v>
      </c>
      <c r="I187">
        <v>0.3085</v>
      </c>
      <c r="J187">
        <v>11</v>
      </c>
      <c r="K187">
        <v>6</v>
      </c>
      <c r="L187" t="s">
        <v>46</v>
      </c>
      <c r="M187" t="s">
        <v>47</v>
      </c>
      <c r="N187" t="s">
        <v>48</v>
      </c>
      <c r="O187">
        <v>9</v>
      </c>
      <c r="P187" t="s">
        <v>9</v>
      </c>
      <c r="Q187">
        <v>1.9</v>
      </c>
    </row>
    <row r="188" spans="1:17">
      <c r="A188">
        <v>2263</v>
      </c>
      <c r="B188" t="s">
        <v>33</v>
      </c>
      <c r="C188">
        <v>0.57999999999999996</v>
      </c>
      <c r="D188">
        <v>0.45500000000000002</v>
      </c>
      <c r="E188">
        <v>0.16</v>
      </c>
      <c r="F188">
        <v>0.92149999999999999</v>
      </c>
      <c r="G188">
        <v>0.312</v>
      </c>
      <c r="H188">
        <v>0.19600000000000001</v>
      </c>
      <c r="I188">
        <v>0.3</v>
      </c>
      <c r="J188">
        <v>17</v>
      </c>
      <c r="K188">
        <v>13</v>
      </c>
      <c r="L188" t="s">
        <v>43</v>
      </c>
      <c r="M188" t="s">
        <v>44</v>
      </c>
      <c r="N188" t="s">
        <v>45</v>
      </c>
      <c r="O188">
        <v>10</v>
      </c>
      <c r="P188" t="s">
        <v>11</v>
      </c>
      <c r="Q188">
        <v>24.1</v>
      </c>
    </row>
    <row r="189" spans="1:17">
      <c r="A189">
        <v>677</v>
      </c>
      <c r="B189" t="s">
        <v>33</v>
      </c>
      <c r="C189">
        <v>0.54</v>
      </c>
      <c r="D189">
        <v>0.41499999999999998</v>
      </c>
      <c r="E189">
        <v>0.14499999999999999</v>
      </c>
      <c r="F189">
        <v>0.74</v>
      </c>
      <c r="G189">
        <v>0.26350000000000001</v>
      </c>
      <c r="H189">
        <v>0.16800000000000001</v>
      </c>
      <c r="I189">
        <v>0.245</v>
      </c>
      <c r="J189">
        <v>12</v>
      </c>
      <c r="K189">
        <v>9</v>
      </c>
      <c r="L189" t="s">
        <v>34</v>
      </c>
      <c r="M189" t="s">
        <v>35</v>
      </c>
      <c r="N189" t="s">
        <v>36</v>
      </c>
      <c r="O189">
        <v>5</v>
      </c>
      <c r="P189" t="s">
        <v>12</v>
      </c>
      <c r="Q189">
        <v>12.8</v>
      </c>
    </row>
    <row r="190" spans="1:17">
      <c r="A190">
        <v>2896</v>
      </c>
      <c r="B190" t="s">
        <v>33</v>
      </c>
      <c r="C190">
        <v>0.54</v>
      </c>
      <c r="D190">
        <v>0.41499999999999998</v>
      </c>
      <c r="E190">
        <v>0.11</v>
      </c>
      <c r="F190">
        <v>0.61899999999999999</v>
      </c>
      <c r="G190">
        <v>0.27550000000000002</v>
      </c>
      <c r="H190">
        <v>0.15</v>
      </c>
      <c r="I190">
        <v>0.17649999999999999</v>
      </c>
      <c r="J190">
        <v>10</v>
      </c>
      <c r="K190">
        <v>1</v>
      </c>
      <c r="L190" t="s">
        <v>70</v>
      </c>
      <c r="M190" t="s">
        <v>71</v>
      </c>
      <c r="N190" t="s">
        <v>45</v>
      </c>
      <c r="O190">
        <v>9</v>
      </c>
      <c r="P190" t="s">
        <v>9</v>
      </c>
      <c r="Q190">
        <v>1.9</v>
      </c>
    </row>
    <row r="191" spans="1:17">
      <c r="A191">
        <v>2715</v>
      </c>
      <c r="B191" t="s">
        <v>33</v>
      </c>
      <c r="C191">
        <v>0.28999999999999998</v>
      </c>
      <c r="D191">
        <v>0.215</v>
      </c>
      <c r="E191">
        <v>6.5000000000000002E-2</v>
      </c>
      <c r="F191">
        <v>9.8500000000000004E-2</v>
      </c>
      <c r="G191">
        <v>4.2500000000000003E-2</v>
      </c>
      <c r="H191">
        <v>2.1000000000000001E-2</v>
      </c>
      <c r="I191">
        <v>3.1E-2</v>
      </c>
      <c r="J191">
        <v>5</v>
      </c>
      <c r="K191">
        <v>8</v>
      </c>
      <c r="L191" t="s">
        <v>55</v>
      </c>
      <c r="M191" t="s">
        <v>56</v>
      </c>
      <c r="N191" t="s">
        <v>57</v>
      </c>
      <c r="O191">
        <v>10</v>
      </c>
      <c r="P191" t="s">
        <v>11</v>
      </c>
      <c r="Q191">
        <v>24.1</v>
      </c>
    </row>
    <row r="192" spans="1:17">
      <c r="A192">
        <v>3312</v>
      </c>
      <c r="B192" t="s">
        <v>33</v>
      </c>
      <c r="C192">
        <v>0.48</v>
      </c>
      <c r="D192">
        <v>0.38</v>
      </c>
      <c r="E192">
        <v>0.13500000000000001</v>
      </c>
      <c r="F192">
        <v>0.50700000000000001</v>
      </c>
      <c r="G192">
        <v>0.1915</v>
      </c>
      <c r="H192">
        <v>0.13650000000000001</v>
      </c>
      <c r="I192">
        <v>0.155</v>
      </c>
      <c r="J192">
        <v>12</v>
      </c>
      <c r="K192">
        <v>15</v>
      </c>
      <c r="L192" t="s">
        <v>60</v>
      </c>
      <c r="M192" t="s">
        <v>61</v>
      </c>
      <c r="N192" t="s">
        <v>45</v>
      </c>
      <c r="O192">
        <v>5</v>
      </c>
      <c r="P192" t="s">
        <v>12</v>
      </c>
      <c r="Q192">
        <v>12.8</v>
      </c>
    </row>
    <row r="193" spans="1:17">
      <c r="A193">
        <v>9</v>
      </c>
      <c r="B193" t="s">
        <v>33</v>
      </c>
      <c r="C193">
        <v>0.47499999999999998</v>
      </c>
      <c r="D193">
        <v>0.37</v>
      </c>
      <c r="E193">
        <v>0.125</v>
      </c>
      <c r="F193">
        <v>0.50949999999999995</v>
      </c>
      <c r="G193">
        <v>0.2165</v>
      </c>
      <c r="H193">
        <v>0.1125</v>
      </c>
      <c r="I193">
        <v>0.16500000000000001</v>
      </c>
      <c r="J193">
        <v>9</v>
      </c>
      <c r="K193">
        <v>2</v>
      </c>
      <c r="L193" t="s">
        <v>49</v>
      </c>
      <c r="M193" t="s">
        <v>50</v>
      </c>
      <c r="N193" t="s">
        <v>51</v>
      </c>
      <c r="O193">
        <v>3</v>
      </c>
      <c r="P193" t="s">
        <v>10</v>
      </c>
      <c r="Q193">
        <v>3.6</v>
      </c>
    </row>
    <row r="194" spans="1:17">
      <c r="A194">
        <v>2556</v>
      </c>
      <c r="B194" t="s">
        <v>33</v>
      </c>
      <c r="C194">
        <v>0.37</v>
      </c>
      <c r="D194">
        <v>0.28999999999999998</v>
      </c>
      <c r="E194">
        <v>0.08</v>
      </c>
      <c r="F194">
        <v>0.2545</v>
      </c>
      <c r="G194">
        <v>0.108</v>
      </c>
      <c r="H194">
        <v>5.6500000000000002E-2</v>
      </c>
      <c r="I194">
        <v>7.0000000000000007E-2</v>
      </c>
      <c r="J194">
        <v>6</v>
      </c>
      <c r="K194">
        <v>15</v>
      </c>
      <c r="L194" t="s">
        <v>60</v>
      </c>
      <c r="M194" t="s">
        <v>61</v>
      </c>
      <c r="N194" t="s">
        <v>45</v>
      </c>
      <c r="O194">
        <v>5</v>
      </c>
      <c r="P194" t="s">
        <v>12</v>
      </c>
      <c r="Q194">
        <v>12.8</v>
      </c>
    </row>
    <row r="195" spans="1:17">
      <c r="A195">
        <v>3872</v>
      </c>
      <c r="B195" t="s">
        <v>33</v>
      </c>
      <c r="C195">
        <v>0.45</v>
      </c>
      <c r="D195">
        <v>0.36</v>
      </c>
      <c r="E195">
        <v>0.11</v>
      </c>
      <c r="F195">
        <v>0.44700000000000001</v>
      </c>
      <c r="G195">
        <v>0.20300000000000001</v>
      </c>
      <c r="H195">
        <v>8.2000000000000003E-2</v>
      </c>
      <c r="I195">
        <v>0.13</v>
      </c>
      <c r="J195">
        <v>12</v>
      </c>
      <c r="K195">
        <v>13</v>
      </c>
      <c r="L195" t="s">
        <v>43</v>
      </c>
      <c r="M195" t="s">
        <v>44</v>
      </c>
      <c r="N195" t="s">
        <v>45</v>
      </c>
      <c r="O195">
        <v>10</v>
      </c>
      <c r="P195" t="s">
        <v>11</v>
      </c>
      <c r="Q195">
        <v>24.1</v>
      </c>
    </row>
    <row r="196" spans="1:17">
      <c r="A196">
        <v>2521</v>
      </c>
      <c r="B196" t="s">
        <v>33</v>
      </c>
      <c r="C196">
        <v>0.52500000000000002</v>
      </c>
      <c r="D196">
        <v>0.42499999999999999</v>
      </c>
      <c r="E196">
        <v>0.19</v>
      </c>
      <c r="F196">
        <v>0.872</v>
      </c>
      <c r="G196">
        <v>0.46250000000000002</v>
      </c>
      <c r="H196">
        <v>0.17249999999999999</v>
      </c>
      <c r="I196">
        <v>0.19900000000000001</v>
      </c>
      <c r="J196">
        <v>9</v>
      </c>
      <c r="K196">
        <v>8</v>
      </c>
      <c r="L196" t="s">
        <v>55</v>
      </c>
      <c r="M196" t="s">
        <v>56</v>
      </c>
      <c r="N196" t="s">
        <v>57</v>
      </c>
      <c r="O196">
        <v>9</v>
      </c>
      <c r="P196" t="s">
        <v>9</v>
      </c>
      <c r="Q196">
        <v>1.9</v>
      </c>
    </row>
    <row r="197" spans="1:17">
      <c r="A197">
        <v>3507</v>
      </c>
      <c r="B197" t="s">
        <v>33</v>
      </c>
      <c r="C197">
        <v>0.625</v>
      </c>
      <c r="D197">
        <v>0.47</v>
      </c>
      <c r="E197">
        <v>0.17499999999999999</v>
      </c>
      <c r="F197">
        <v>1.179</v>
      </c>
      <c r="G197">
        <v>0.60499999999999998</v>
      </c>
      <c r="H197">
        <v>0.25800000000000001</v>
      </c>
      <c r="I197">
        <v>0.27100000000000002</v>
      </c>
      <c r="J197">
        <v>9</v>
      </c>
      <c r="K197">
        <v>12</v>
      </c>
      <c r="L197" t="s">
        <v>58</v>
      </c>
      <c r="M197" t="s">
        <v>59</v>
      </c>
      <c r="N197" t="s">
        <v>45</v>
      </c>
      <c r="O197">
        <v>3</v>
      </c>
      <c r="P197" t="s">
        <v>10</v>
      </c>
      <c r="Q197">
        <v>3.6</v>
      </c>
    </row>
    <row r="198" spans="1:17">
      <c r="A198">
        <v>3361</v>
      </c>
      <c r="B198" t="s">
        <v>33</v>
      </c>
      <c r="C198">
        <v>0.57999999999999996</v>
      </c>
      <c r="D198">
        <v>0.44</v>
      </c>
      <c r="E198">
        <v>0.17499999999999999</v>
      </c>
      <c r="F198">
        <v>1.073</v>
      </c>
      <c r="G198">
        <v>0.40050000000000002</v>
      </c>
      <c r="H198">
        <v>0.23449999999999999</v>
      </c>
      <c r="I198">
        <v>0.33500000000000002</v>
      </c>
      <c r="J198">
        <v>19</v>
      </c>
      <c r="K198">
        <v>1</v>
      </c>
      <c r="L198" t="s">
        <v>70</v>
      </c>
      <c r="M198" t="s">
        <v>71</v>
      </c>
      <c r="N198" t="s">
        <v>45</v>
      </c>
      <c r="O198">
        <v>8</v>
      </c>
      <c r="P198" t="s">
        <v>13</v>
      </c>
      <c r="Q198">
        <v>12.3</v>
      </c>
    </row>
    <row r="199" spans="1:17">
      <c r="A199">
        <v>821</v>
      </c>
      <c r="B199" t="s">
        <v>33</v>
      </c>
      <c r="C199">
        <v>0.36499999999999999</v>
      </c>
      <c r="D199">
        <v>0.27500000000000002</v>
      </c>
      <c r="E199">
        <v>0.13500000000000001</v>
      </c>
      <c r="F199">
        <v>0.24</v>
      </c>
      <c r="G199">
        <v>0.108</v>
      </c>
      <c r="H199">
        <v>4.4499999999999998E-2</v>
      </c>
      <c r="I199">
        <v>7.3499999999999996E-2</v>
      </c>
      <c r="J199">
        <v>7</v>
      </c>
      <c r="K199">
        <v>10</v>
      </c>
      <c r="L199" t="s">
        <v>37</v>
      </c>
      <c r="M199" t="s">
        <v>38</v>
      </c>
      <c r="N199" t="s">
        <v>39</v>
      </c>
      <c r="O199">
        <v>2</v>
      </c>
      <c r="P199" t="s">
        <v>5</v>
      </c>
      <c r="Q199">
        <v>18</v>
      </c>
    </row>
    <row r="200" spans="1:17">
      <c r="A200">
        <v>2007</v>
      </c>
      <c r="B200" t="s">
        <v>33</v>
      </c>
      <c r="C200">
        <v>0.40500000000000003</v>
      </c>
      <c r="D200">
        <v>0.25</v>
      </c>
      <c r="E200">
        <v>0.09</v>
      </c>
      <c r="F200">
        <v>0.28749999999999998</v>
      </c>
      <c r="G200">
        <v>0.128</v>
      </c>
      <c r="H200">
        <v>6.3E-2</v>
      </c>
      <c r="I200">
        <v>8.0500000000000002E-2</v>
      </c>
      <c r="J200">
        <v>7</v>
      </c>
      <c r="K200">
        <v>11</v>
      </c>
      <c r="L200" t="s">
        <v>65</v>
      </c>
      <c r="M200" t="s">
        <v>66</v>
      </c>
      <c r="N200" t="s">
        <v>45</v>
      </c>
      <c r="O200">
        <v>5</v>
      </c>
      <c r="P200" t="s">
        <v>12</v>
      </c>
      <c r="Q200">
        <v>12.8</v>
      </c>
    </row>
    <row r="201" spans="1:17">
      <c r="A201">
        <v>619</v>
      </c>
      <c r="B201" t="s">
        <v>33</v>
      </c>
      <c r="C201">
        <v>0.31</v>
      </c>
      <c r="D201">
        <v>0.22500000000000001</v>
      </c>
      <c r="E201">
        <v>7.4999999999999997E-2</v>
      </c>
      <c r="F201">
        <v>0.1295</v>
      </c>
      <c r="G201">
        <v>4.5499999999999999E-2</v>
      </c>
      <c r="H201">
        <v>3.3500000000000002E-2</v>
      </c>
      <c r="I201">
        <v>4.3999999999999997E-2</v>
      </c>
      <c r="J201">
        <v>9</v>
      </c>
      <c r="K201">
        <v>7</v>
      </c>
      <c r="L201" t="s">
        <v>62</v>
      </c>
      <c r="M201" t="s">
        <v>63</v>
      </c>
      <c r="N201" t="s">
        <v>64</v>
      </c>
      <c r="O201">
        <v>2</v>
      </c>
      <c r="P201" t="s">
        <v>5</v>
      </c>
      <c r="Q201">
        <v>18</v>
      </c>
    </row>
    <row r="202" spans="1:17">
      <c r="A202">
        <v>2341</v>
      </c>
      <c r="B202" t="s">
        <v>33</v>
      </c>
      <c r="C202">
        <v>0.59</v>
      </c>
      <c r="D202">
        <v>0.47</v>
      </c>
      <c r="E202">
        <v>0.17</v>
      </c>
      <c r="F202">
        <v>0.9</v>
      </c>
      <c r="G202">
        <v>0.35499999999999998</v>
      </c>
      <c r="H202">
        <v>0.1905</v>
      </c>
      <c r="I202">
        <v>0.25</v>
      </c>
      <c r="J202">
        <v>11</v>
      </c>
      <c r="K202">
        <v>7</v>
      </c>
      <c r="L202" t="s">
        <v>62</v>
      </c>
      <c r="M202" t="s">
        <v>63</v>
      </c>
      <c r="N202" t="s">
        <v>64</v>
      </c>
      <c r="O202">
        <v>1</v>
      </c>
      <c r="P202" t="s">
        <v>4</v>
      </c>
      <c r="Q202">
        <v>22.1</v>
      </c>
    </row>
    <row r="203" spans="1:17">
      <c r="A203">
        <v>819</v>
      </c>
      <c r="B203" t="s">
        <v>33</v>
      </c>
      <c r="C203">
        <v>0.35</v>
      </c>
      <c r="D203">
        <v>0.25</v>
      </c>
      <c r="E203">
        <v>7.0000000000000007E-2</v>
      </c>
      <c r="F203">
        <v>0.18</v>
      </c>
      <c r="G203">
        <v>6.5500000000000003E-2</v>
      </c>
      <c r="H203">
        <v>4.8000000000000001E-2</v>
      </c>
      <c r="I203">
        <v>5.3999999999999999E-2</v>
      </c>
      <c r="J203">
        <v>6</v>
      </c>
      <c r="K203">
        <v>12</v>
      </c>
      <c r="L203" t="s">
        <v>58</v>
      </c>
      <c r="M203" t="s">
        <v>59</v>
      </c>
      <c r="N203" t="s">
        <v>45</v>
      </c>
      <c r="O203">
        <v>8</v>
      </c>
      <c r="P203" t="s">
        <v>13</v>
      </c>
      <c r="Q203">
        <v>12.3</v>
      </c>
    </row>
    <row r="204" spans="1:17">
      <c r="A204">
        <v>404</v>
      </c>
      <c r="B204" t="s">
        <v>33</v>
      </c>
      <c r="C204">
        <v>0.51500000000000001</v>
      </c>
      <c r="D204">
        <v>0.41499999999999998</v>
      </c>
      <c r="E204">
        <v>0.14000000000000001</v>
      </c>
      <c r="F204">
        <v>0.69350000000000001</v>
      </c>
      <c r="G204">
        <v>0.3115</v>
      </c>
      <c r="H204">
        <v>0.152</v>
      </c>
      <c r="I204">
        <v>0.2</v>
      </c>
      <c r="J204">
        <v>10</v>
      </c>
      <c r="K204">
        <v>13</v>
      </c>
      <c r="L204" t="s">
        <v>43</v>
      </c>
      <c r="M204" t="s">
        <v>44</v>
      </c>
      <c r="N204" t="s">
        <v>45</v>
      </c>
      <c r="O204">
        <v>1</v>
      </c>
      <c r="P204" t="s">
        <v>4</v>
      </c>
      <c r="Q204">
        <v>22.1</v>
      </c>
    </row>
    <row r="205" spans="1:17">
      <c r="A205">
        <v>3259</v>
      </c>
      <c r="B205" t="s">
        <v>33</v>
      </c>
      <c r="C205">
        <v>0.45500000000000002</v>
      </c>
      <c r="D205">
        <v>0.375</v>
      </c>
      <c r="E205">
        <v>0.125</v>
      </c>
      <c r="F205">
        <v>0.48399999999999999</v>
      </c>
      <c r="G205">
        <v>0.2155</v>
      </c>
      <c r="H205">
        <v>0.10199999999999999</v>
      </c>
      <c r="I205">
        <v>0.16500000000000001</v>
      </c>
      <c r="J205">
        <v>7</v>
      </c>
      <c r="K205">
        <v>14</v>
      </c>
      <c r="L205" t="s">
        <v>72</v>
      </c>
      <c r="M205" t="s">
        <v>73</v>
      </c>
      <c r="N205" t="s">
        <v>74</v>
      </c>
      <c r="O205">
        <v>9</v>
      </c>
      <c r="P205" t="s">
        <v>9</v>
      </c>
      <c r="Q205">
        <v>1.9</v>
      </c>
    </row>
    <row r="206" spans="1:17">
      <c r="A206">
        <v>126</v>
      </c>
      <c r="B206" t="s">
        <v>33</v>
      </c>
      <c r="C206">
        <v>0.27</v>
      </c>
      <c r="D206">
        <v>0.19500000000000001</v>
      </c>
      <c r="E206">
        <v>0.06</v>
      </c>
      <c r="F206">
        <v>7.2999999999999995E-2</v>
      </c>
      <c r="G206">
        <v>2.8500000000000001E-2</v>
      </c>
      <c r="H206">
        <v>2.35E-2</v>
      </c>
      <c r="I206">
        <v>0.03</v>
      </c>
      <c r="J206">
        <v>5</v>
      </c>
      <c r="K206">
        <v>12</v>
      </c>
      <c r="L206" t="s">
        <v>58</v>
      </c>
      <c r="M206" t="s">
        <v>59</v>
      </c>
      <c r="N206" t="s">
        <v>45</v>
      </c>
      <c r="O206">
        <v>10</v>
      </c>
      <c r="P206" t="s">
        <v>11</v>
      </c>
      <c r="Q206">
        <v>24.1</v>
      </c>
    </row>
    <row r="207" spans="1:17">
      <c r="A207">
        <v>961</v>
      </c>
      <c r="B207" t="s">
        <v>33</v>
      </c>
      <c r="C207">
        <v>0.5</v>
      </c>
      <c r="D207">
        <v>0.4</v>
      </c>
      <c r="E207">
        <v>0.125</v>
      </c>
      <c r="F207">
        <v>0.67249999999999999</v>
      </c>
      <c r="G207">
        <v>0.33600000000000002</v>
      </c>
      <c r="H207">
        <v>0.12</v>
      </c>
      <c r="I207">
        <v>0.1825</v>
      </c>
      <c r="J207">
        <v>7</v>
      </c>
      <c r="K207">
        <v>9</v>
      </c>
      <c r="L207" t="s">
        <v>34</v>
      </c>
      <c r="M207" t="s">
        <v>35</v>
      </c>
      <c r="N207" t="s">
        <v>36</v>
      </c>
      <c r="O207">
        <v>4</v>
      </c>
      <c r="P207" t="s">
        <v>8</v>
      </c>
      <c r="Q207">
        <v>6.1</v>
      </c>
    </row>
    <row r="208" spans="1:17">
      <c r="A208">
        <v>3861</v>
      </c>
      <c r="B208" t="s">
        <v>33</v>
      </c>
      <c r="C208">
        <v>0.55000000000000004</v>
      </c>
      <c r="D208">
        <v>0.46500000000000002</v>
      </c>
      <c r="E208">
        <v>0.15</v>
      </c>
      <c r="F208">
        <v>1.0820000000000001</v>
      </c>
      <c r="G208">
        <v>0.35749999999999998</v>
      </c>
      <c r="H208">
        <v>0.19400000000000001</v>
      </c>
      <c r="I208">
        <v>0.19</v>
      </c>
      <c r="J208">
        <v>14</v>
      </c>
      <c r="K208">
        <v>12</v>
      </c>
      <c r="L208" t="s">
        <v>58</v>
      </c>
      <c r="M208" t="s">
        <v>59</v>
      </c>
      <c r="N208" t="s">
        <v>45</v>
      </c>
      <c r="O208">
        <v>6</v>
      </c>
      <c r="P208" t="s">
        <v>7</v>
      </c>
      <c r="Q208">
        <v>14.1</v>
      </c>
    </row>
    <row r="209" spans="1:17">
      <c r="A209">
        <v>1267</v>
      </c>
      <c r="B209" t="s">
        <v>33</v>
      </c>
      <c r="C209">
        <v>0.46</v>
      </c>
      <c r="D209">
        <v>0.35</v>
      </c>
      <c r="E209">
        <v>0.105</v>
      </c>
      <c r="F209">
        <v>0.3705</v>
      </c>
      <c r="G209">
        <v>0.1575</v>
      </c>
      <c r="H209">
        <v>7.6999999999999999E-2</v>
      </c>
      <c r="I209">
        <v>0.114</v>
      </c>
      <c r="J209">
        <v>9</v>
      </c>
      <c r="K209">
        <v>1</v>
      </c>
      <c r="L209" t="s">
        <v>70</v>
      </c>
      <c r="M209" t="s">
        <v>71</v>
      </c>
      <c r="N209" t="s">
        <v>45</v>
      </c>
      <c r="O209">
        <v>3</v>
      </c>
      <c r="P209" t="s">
        <v>10</v>
      </c>
      <c r="Q209">
        <v>3.6</v>
      </c>
    </row>
    <row r="210" spans="1:17">
      <c r="A210">
        <v>2504</v>
      </c>
      <c r="B210" t="s">
        <v>33</v>
      </c>
      <c r="C210">
        <v>0.3</v>
      </c>
      <c r="D210">
        <v>0.23</v>
      </c>
      <c r="E210">
        <v>7.4999999999999997E-2</v>
      </c>
      <c r="F210">
        <v>0.127</v>
      </c>
      <c r="G210">
        <v>5.1999999999999998E-2</v>
      </c>
      <c r="H210">
        <v>0.03</v>
      </c>
      <c r="I210">
        <v>3.4500000000000003E-2</v>
      </c>
      <c r="J210">
        <v>6</v>
      </c>
      <c r="K210">
        <v>8</v>
      </c>
      <c r="L210" t="s">
        <v>55</v>
      </c>
      <c r="M210" t="s">
        <v>56</v>
      </c>
      <c r="N210" t="s">
        <v>57</v>
      </c>
      <c r="O210">
        <v>9</v>
      </c>
      <c r="P210" t="s">
        <v>9</v>
      </c>
      <c r="Q210">
        <v>1.9</v>
      </c>
    </row>
    <row r="211" spans="1:17">
      <c r="A211">
        <v>1126</v>
      </c>
      <c r="B211" t="s">
        <v>33</v>
      </c>
      <c r="C211">
        <v>0.55000000000000004</v>
      </c>
      <c r="D211">
        <v>0.42499999999999999</v>
      </c>
      <c r="E211">
        <v>0.15</v>
      </c>
      <c r="F211">
        <v>0.83150000000000002</v>
      </c>
      <c r="G211">
        <v>0.41099999999999998</v>
      </c>
      <c r="H211">
        <v>0.17649999999999999</v>
      </c>
      <c r="I211">
        <v>0.2165</v>
      </c>
      <c r="J211">
        <v>10</v>
      </c>
      <c r="K211">
        <v>10</v>
      </c>
      <c r="L211" t="s">
        <v>37</v>
      </c>
      <c r="M211" t="s">
        <v>38</v>
      </c>
      <c r="N211" t="s">
        <v>39</v>
      </c>
      <c r="O211">
        <v>7</v>
      </c>
      <c r="P211" t="s">
        <v>6</v>
      </c>
      <c r="Q211">
        <v>2.5</v>
      </c>
    </row>
    <row r="212" spans="1:17">
      <c r="A212">
        <v>4075</v>
      </c>
      <c r="B212" t="s">
        <v>33</v>
      </c>
      <c r="C212">
        <v>0.52</v>
      </c>
      <c r="D212">
        <v>0.4</v>
      </c>
      <c r="E212">
        <v>0.14000000000000001</v>
      </c>
      <c r="F212">
        <v>0.622</v>
      </c>
      <c r="G212">
        <v>0.27800000000000002</v>
      </c>
      <c r="H212">
        <v>0.14549999999999999</v>
      </c>
      <c r="I212">
        <v>0.16900000000000001</v>
      </c>
      <c r="J212">
        <v>8</v>
      </c>
      <c r="K212">
        <v>2</v>
      </c>
      <c r="L212" t="s">
        <v>49</v>
      </c>
      <c r="M212" t="s">
        <v>50</v>
      </c>
      <c r="N212" t="s">
        <v>51</v>
      </c>
      <c r="O212">
        <v>8</v>
      </c>
      <c r="P212" t="s">
        <v>13</v>
      </c>
      <c r="Q212">
        <v>12.3</v>
      </c>
    </row>
    <row r="213" spans="1:17">
      <c r="A213">
        <v>1339</v>
      </c>
      <c r="B213" t="s">
        <v>33</v>
      </c>
      <c r="C213">
        <v>0.57999999999999996</v>
      </c>
      <c r="D213">
        <v>0.45500000000000002</v>
      </c>
      <c r="E213">
        <v>0.13500000000000001</v>
      </c>
      <c r="F213">
        <v>0.79549999999999998</v>
      </c>
      <c r="G213">
        <v>0.40500000000000003</v>
      </c>
      <c r="H213">
        <v>0.16700000000000001</v>
      </c>
      <c r="I213">
        <v>0.20399999999999999</v>
      </c>
      <c r="J213">
        <v>10</v>
      </c>
      <c r="K213">
        <v>12</v>
      </c>
      <c r="L213" t="s">
        <v>58</v>
      </c>
      <c r="M213" t="s">
        <v>59</v>
      </c>
      <c r="N213" t="s">
        <v>45</v>
      </c>
      <c r="O213">
        <v>4</v>
      </c>
      <c r="P213" t="s">
        <v>8</v>
      </c>
      <c r="Q213">
        <v>6.1</v>
      </c>
    </row>
    <row r="214" spans="1:17">
      <c r="A214">
        <v>3200</v>
      </c>
      <c r="B214" t="s">
        <v>33</v>
      </c>
      <c r="C214">
        <v>0.49</v>
      </c>
      <c r="D214">
        <v>0.38</v>
      </c>
      <c r="E214">
        <v>0.155</v>
      </c>
      <c r="F214">
        <v>0.57799999999999996</v>
      </c>
      <c r="G214">
        <v>0.23949999999999999</v>
      </c>
      <c r="H214">
        <v>0.1255</v>
      </c>
      <c r="I214">
        <v>0.18</v>
      </c>
      <c r="J214">
        <v>9</v>
      </c>
      <c r="K214">
        <v>12</v>
      </c>
      <c r="L214" t="s">
        <v>58</v>
      </c>
      <c r="M214" t="s">
        <v>59</v>
      </c>
      <c r="N214" t="s">
        <v>45</v>
      </c>
      <c r="O214">
        <v>1</v>
      </c>
      <c r="P214" t="s">
        <v>4</v>
      </c>
      <c r="Q214">
        <v>22.1</v>
      </c>
    </row>
    <row r="215" spans="1:17">
      <c r="A215">
        <v>2392</v>
      </c>
      <c r="B215" t="s">
        <v>33</v>
      </c>
      <c r="C215">
        <v>0.37</v>
      </c>
      <c r="D215">
        <v>0.28999999999999998</v>
      </c>
      <c r="E215">
        <v>0.09</v>
      </c>
      <c r="F215">
        <v>0.24099999999999999</v>
      </c>
      <c r="G215">
        <v>0.11</v>
      </c>
      <c r="H215">
        <v>4.4999999999999998E-2</v>
      </c>
      <c r="I215">
        <v>6.9000000000000006E-2</v>
      </c>
      <c r="J215">
        <v>10</v>
      </c>
      <c r="K215">
        <v>2</v>
      </c>
      <c r="L215" t="s">
        <v>49</v>
      </c>
      <c r="M215" t="s">
        <v>50</v>
      </c>
      <c r="N215" t="s">
        <v>51</v>
      </c>
      <c r="O215">
        <v>5</v>
      </c>
      <c r="P215" t="s">
        <v>12</v>
      </c>
      <c r="Q215">
        <v>12.8</v>
      </c>
    </row>
    <row r="216" spans="1:17">
      <c r="A216">
        <v>1810</v>
      </c>
      <c r="B216" t="s">
        <v>33</v>
      </c>
      <c r="C216">
        <v>0.64</v>
      </c>
      <c r="D216">
        <v>0.47499999999999998</v>
      </c>
      <c r="E216">
        <v>0.14000000000000001</v>
      </c>
      <c r="F216">
        <v>1.0725</v>
      </c>
      <c r="G216">
        <v>0.48949999999999999</v>
      </c>
      <c r="H216">
        <v>0.22950000000000001</v>
      </c>
      <c r="I216">
        <v>0.31</v>
      </c>
      <c r="J216">
        <v>8</v>
      </c>
      <c r="K216">
        <v>3</v>
      </c>
      <c r="L216" t="s">
        <v>52</v>
      </c>
      <c r="M216" t="s">
        <v>53</v>
      </c>
      <c r="N216" t="s">
        <v>54</v>
      </c>
      <c r="O216">
        <v>7</v>
      </c>
      <c r="P216" t="s">
        <v>6</v>
      </c>
      <c r="Q216">
        <v>2.5</v>
      </c>
    </row>
    <row r="217" spans="1:17">
      <c r="A217">
        <v>3036</v>
      </c>
      <c r="B217" t="s">
        <v>33</v>
      </c>
      <c r="C217">
        <v>0.55000000000000004</v>
      </c>
      <c r="D217">
        <v>0.40500000000000003</v>
      </c>
      <c r="E217">
        <v>0.15</v>
      </c>
      <c r="F217">
        <v>0.67549999999999999</v>
      </c>
      <c r="G217">
        <v>0.30149999999999999</v>
      </c>
      <c r="H217">
        <v>0.14649999999999999</v>
      </c>
      <c r="I217">
        <v>0.21</v>
      </c>
      <c r="J217">
        <v>10</v>
      </c>
      <c r="K217">
        <v>12</v>
      </c>
      <c r="L217" t="s">
        <v>58</v>
      </c>
      <c r="M217" t="s">
        <v>59</v>
      </c>
      <c r="N217" t="s">
        <v>45</v>
      </c>
      <c r="O217">
        <v>9</v>
      </c>
      <c r="P217" t="s">
        <v>9</v>
      </c>
      <c r="Q217">
        <v>1.9</v>
      </c>
    </row>
    <row r="218" spans="1:17">
      <c r="A218">
        <v>314</v>
      </c>
      <c r="B218" t="s">
        <v>33</v>
      </c>
      <c r="C218">
        <v>0.62</v>
      </c>
      <c r="D218">
        <v>0.47</v>
      </c>
      <c r="E218">
        <v>0.2</v>
      </c>
      <c r="F218">
        <v>1.2255</v>
      </c>
      <c r="G218">
        <v>0.38100000000000001</v>
      </c>
      <c r="H218">
        <v>0.27</v>
      </c>
      <c r="I218">
        <v>0.435</v>
      </c>
      <c r="J218">
        <v>23</v>
      </c>
      <c r="K218">
        <v>9</v>
      </c>
      <c r="L218" t="s">
        <v>34</v>
      </c>
      <c r="M218" t="s">
        <v>35</v>
      </c>
      <c r="N218" t="s">
        <v>36</v>
      </c>
      <c r="O218">
        <v>6</v>
      </c>
      <c r="P218" t="s">
        <v>7</v>
      </c>
      <c r="Q218">
        <v>14.1</v>
      </c>
    </row>
    <row r="219" spans="1:17">
      <c r="A219">
        <v>1532</v>
      </c>
      <c r="B219" t="s">
        <v>33</v>
      </c>
      <c r="C219">
        <v>0.21</v>
      </c>
      <c r="D219">
        <v>0.17</v>
      </c>
      <c r="E219">
        <v>4.4999999999999998E-2</v>
      </c>
      <c r="F219">
        <v>4.7500000000000001E-2</v>
      </c>
      <c r="G219">
        <v>1.9E-2</v>
      </c>
      <c r="H219">
        <v>1.0999999999999999E-2</v>
      </c>
      <c r="I219">
        <v>1.2999999999999999E-2</v>
      </c>
      <c r="J219">
        <v>5</v>
      </c>
      <c r="K219">
        <v>11</v>
      </c>
      <c r="L219" t="s">
        <v>65</v>
      </c>
      <c r="M219" t="s">
        <v>66</v>
      </c>
      <c r="N219" t="s">
        <v>45</v>
      </c>
      <c r="O219">
        <v>7</v>
      </c>
      <c r="P219" t="s">
        <v>6</v>
      </c>
      <c r="Q219">
        <v>2.5</v>
      </c>
    </row>
    <row r="220" spans="1:17">
      <c r="A220">
        <v>2344</v>
      </c>
      <c r="B220" t="s">
        <v>33</v>
      </c>
      <c r="C220">
        <v>0.17</v>
      </c>
      <c r="D220">
        <v>0.125</v>
      </c>
      <c r="E220">
        <v>5.5E-2</v>
      </c>
      <c r="F220">
        <v>2.35E-2</v>
      </c>
      <c r="G220">
        <v>8.9999999999999993E-3</v>
      </c>
      <c r="H220">
        <v>5.4999999999999997E-3</v>
      </c>
      <c r="I220">
        <v>8.0000000000000002E-3</v>
      </c>
      <c r="J220">
        <v>6</v>
      </c>
      <c r="K220">
        <v>13</v>
      </c>
      <c r="L220" t="s">
        <v>43</v>
      </c>
      <c r="M220" t="s">
        <v>44</v>
      </c>
      <c r="N220" t="s">
        <v>45</v>
      </c>
      <c r="O220">
        <v>8</v>
      </c>
      <c r="P220" t="s">
        <v>13</v>
      </c>
      <c r="Q220">
        <v>12.3</v>
      </c>
    </row>
    <row r="221" spans="1:17">
      <c r="A221">
        <v>1165</v>
      </c>
      <c r="B221" t="s">
        <v>33</v>
      </c>
      <c r="C221">
        <v>0.61499999999999999</v>
      </c>
      <c r="D221">
        <v>0.46</v>
      </c>
      <c r="E221">
        <v>0.17</v>
      </c>
      <c r="F221">
        <v>1.0565</v>
      </c>
      <c r="G221">
        <v>0.48149999999999998</v>
      </c>
      <c r="H221">
        <v>0.27200000000000002</v>
      </c>
      <c r="I221">
        <v>0.27</v>
      </c>
      <c r="J221">
        <v>10</v>
      </c>
      <c r="K221">
        <v>14</v>
      </c>
      <c r="L221" t="s">
        <v>72</v>
      </c>
      <c r="M221" t="s">
        <v>73</v>
      </c>
      <c r="N221" t="s">
        <v>74</v>
      </c>
      <c r="O221">
        <v>9</v>
      </c>
      <c r="P221" t="s">
        <v>9</v>
      </c>
      <c r="Q221">
        <v>1.9</v>
      </c>
    </row>
    <row r="222" spans="1:17">
      <c r="A222">
        <v>1009</v>
      </c>
      <c r="B222" t="s">
        <v>33</v>
      </c>
      <c r="C222">
        <v>0.61</v>
      </c>
      <c r="D222">
        <v>0.47499999999999998</v>
      </c>
      <c r="E222">
        <v>0.155</v>
      </c>
      <c r="F222">
        <v>1.1679999999999999</v>
      </c>
      <c r="G222">
        <v>0.55400000000000005</v>
      </c>
      <c r="H222">
        <v>0.23899999999999999</v>
      </c>
      <c r="I222">
        <v>0.32950000000000002</v>
      </c>
      <c r="J222">
        <v>10</v>
      </c>
      <c r="K222">
        <v>10</v>
      </c>
      <c r="L222" t="s">
        <v>37</v>
      </c>
      <c r="M222" t="s">
        <v>38</v>
      </c>
      <c r="N222" t="s">
        <v>39</v>
      </c>
      <c r="O222">
        <v>3</v>
      </c>
      <c r="P222" t="s">
        <v>10</v>
      </c>
      <c r="Q222">
        <v>3.6</v>
      </c>
    </row>
    <row r="223" spans="1:17">
      <c r="A223">
        <v>735</v>
      </c>
      <c r="B223" t="s">
        <v>33</v>
      </c>
      <c r="C223">
        <v>0.52500000000000002</v>
      </c>
      <c r="D223">
        <v>0.42499999999999999</v>
      </c>
      <c r="E223">
        <v>0.12</v>
      </c>
      <c r="F223">
        <v>0.86650000000000005</v>
      </c>
      <c r="G223">
        <v>0.28249999999999997</v>
      </c>
      <c r="H223">
        <v>0.17599999999999999</v>
      </c>
      <c r="I223">
        <v>0.28999999999999998</v>
      </c>
      <c r="J223">
        <v>18</v>
      </c>
      <c r="K223">
        <v>8</v>
      </c>
      <c r="L223" t="s">
        <v>55</v>
      </c>
      <c r="M223" t="s">
        <v>56</v>
      </c>
      <c r="N223" t="s">
        <v>57</v>
      </c>
      <c r="O223">
        <v>7</v>
      </c>
      <c r="P223" t="s">
        <v>6</v>
      </c>
      <c r="Q223">
        <v>2.5</v>
      </c>
    </row>
    <row r="224" spans="1:17">
      <c r="A224">
        <v>3889</v>
      </c>
      <c r="B224" t="s">
        <v>33</v>
      </c>
      <c r="C224">
        <v>0.57499999999999996</v>
      </c>
      <c r="D224">
        <v>0.45</v>
      </c>
      <c r="E224">
        <v>0.1</v>
      </c>
      <c r="F224">
        <v>0.93149999999999999</v>
      </c>
      <c r="G224">
        <v>0.43099999999999999</v>
      </c>
      <c r="H224">
        <v>0.222</v>
      </c>
      <c r="I224">
        <v>0.23499999999999999</v>
      </c>
      <c r="J224">
        <v>12</v>
      </c>
      <c r="K224">
        <v>6</v>
      </c>
      <c r="L224" t="s">
        <v>46</v>
      </c>
      <c r="M224" t="s">
        <v>47</v>
      </c>
      <c r="N224" t="s">
        <v>48</v>
      </c>
      <c r="O224">
        <v>2</v>
      </c>
      <c r="P224" t="s">
        <v>5</v>
      </c>
      <c r="Q224">
        <v>18</v>
      </c>
    </row>
    <row r="225" spans="1:17">
      <c r="A225">
        <v>3722</v>
      </c>
      <c r="B225" t="s">
        <v>33</v>
      </c>
      <c r="C225">
        <v>0.43</v>
      </c>
      <c r="D225">
        <v>0.31</v>
      </c>
      <c r="E225">
        <v>0.13</v>
      </c>
      <c r="F225">
        <v>0.64849999999999997</v>
      </c>
      <c r="G225">
        <v>0.27350000000000002</v>
      </c>
      <c r="H225">
        <v>0.16300000000000001</v>
      </c>
      <c r="I225">
        <v>0.184</v>
      </c>
      <c r="J225">
        <v>9</v>
      </c>
      <c r="K225">
        <v>15</v>
      </c>
      <c r="L225" t="s">
        <v>60</v>
      </c>
      <c r="M225" t="s">
        <v>61</v>
      </c>
      <c r="N225" t="s">
        <v>45</v>
      </c>
      <c r="O225">
        <v>10</v>
      </c>
      <c r="P225" t="s">
        <v>11</v>
      </c>
      <c r="Q225">
        <v>24.1</v>
      </c>
    </row>
    <row r="226" spans="1:17">
      <c r="A226">
        <v>2583</v>
      </c>
      <c r="B226" t="s">
        <v>33</v>
      </c>
      <c r="C226">
        <v>0.53</v>
      </c>
      <c r="D226">
        <v>0.41</v>
      </c>
      <c r="E226">
        <v>0.14000000000000001</v>
      </c>
      <c r="F226">
        <v>0.68100000000000005</v>
      </c>
      <c r="G226">
        <v>0.3095</v>
      </c>
      <c r="H226">
        <v>0.14149999999999999</v>
      </c>
      <c r="I226">
        <v>0.1835</v>
      </c>
      <c r="J226">
        <v>6</v>
      </c>
      <c r="K226">
        <v>13</v>
      </c>
      <c r="L226" t="s">
        <v>43</v>
      </c>
      <c r="M226" t="s">
        <v>44</v>
      </c>
      <c r="N226" t="s">
        <v>45</v>
      </c>
      <c r="O226">
        <v>6</v>
      </c>
      <c r="P226" t="s">
        <v>7</v>
      </c>
      <c r="Q226">
        <v>14.1</v>
      </c>
    </row>
    <row r="227" spans="1:17">
      <c r="A227">
        <v>1215</v>
      </c>
      <c r="B227" t="s">
        <v>33</v>
      </c>
      <c r="C227">
        <v>0.27500000000000002</v>
      </c>
      <c r="D227">
        <v>0.19500000000000001</v>
      </c>
      <c r="E227">
        <v>0.09</v>
      </c>
      <c r="F227">
        <v>0.1125</v>
      </c>
      <c r="G227">
        <v>5.45E-2</v>
      </c>
      <c r="H227">
        <v>2.9499999999999998E-2</v>
      </c>
      <c r="I227">
        <v>3.5499999999999997E-2</v>
      </c>
      <c r="J227">
        <v>6</v>
      </c>
      <c r="K227">
        <v>4</v>
      </c>
      <c r="L227" t="s">
        <v>40</v>
      </c>
      <c r="M227" t="s">
        <v>41</v>
      </c>
      <c r="N227" t="s">
        <v>42</v>
      </c>
      <c r="O227">
        <v>2</v>
      </c>
      <c r="P227" t="s">
        <v>5</v>
      </c>
      <c r="Q227">
        <v>18</v>
      </c>
    </row>
    <row r="228" spans="1:17">
      <c r="A228">
        <v>814</v>
      </c>
      <c r="B228" t="s">
        <v>33</v>
      </c>
      <c r="C228">
        <v>0.255</v>
      </c>
      <c r="D228">
        <v>0.185</v>
      </c>
      <c r="E228">
        <v>0.06</v>
      </c>
      <c r="F228">
        <v>8.7999999999999995E-2</v>
      </c>
      <c r="G228">
        <v>3.6499999999999998E-2</v>
      </c>
      <c r="H228">
        <v>2.1000000000000001E-2</v>
      </c>
      <c r="I228">
        <v>2.3E-2</v>
      </c>
      <c r="J228">
        <v>5</v>
      </c>
      <c r="K228">
        <v>14</v>
      </c>
      <c r="L228" t="s">
        <v>72</v>
      </c>
      <c r="M228" t="s">
        <v>73</v>
      </c>
      <c r="N228" t="s">
        <v>74</v>
      </c>
      <c r="O228">
        <v>7</v>
      </c>
      <c r="P228" t="s">
        <v>6</v>
      </c>
      <c r="Q228">
        <v>2.5</v>
      </c>
    </row>
    <row r="229" spans="1:17">
      <c r="A229">
        <v>908</v>
      </c>
      <c r="B229" t="s">
        <v>33</v>
      </c>
      <c r="C229">
        <v>0.33</v>
      </c>
      <c r="D229">
        <v>0.26500000000000001</v>
      </c>
      <c r="E229">
        <v>8.5000000000000006E-2</v>
      </c>
      <c r="F229">
        <v>0.19600000000000001</v>
      </c>
      <c r="G229">
        <v>7.7499999999999999E-2</v>
      </c>
      <c r="H229">
        <v>3.0499999999999999E-2</v>
      </c>
      <c r="I229">
        <v>4.4499999999999998E-2</v>
      </c>
      <c r="J229">
        <v>6</v>
      </c>
      <c r="K229">
        <v>1</v>
      </c>
      <c r="L229" t="s">
        <v>70</v>
      </c>
      <c r="M229" t="s">
        <v>71</v>
      </c>
      <c r="N229" t="s">
        <v>45</v>
      </c>
      <c r="O229">
        <v>1</v>
      </c>
      <c r="P229" t="s">
        <v>4</v>
      </c>
      <c r="Q229">
        <v>22.1</v>
      </c>
    </row>
    <row r="230" spans="1:17">
      <c r="A230">
        <v>1606</v>
      </c>
      <c r="B230" t="s">
        <v>33</v>
      </c>
      <c r="C230">
        <v>0.54</v>
      </c>
      <c r="D230">
        <v>0.42</v>
      </c>
      <c r="E230">
        <v>0.14000000000000001</v>
      </c>
      <c r="F230">
        <v>0.62749999999999995</v>
      </c>
      <c r="G230">
        <v>0.2505</v>
      </c>
      <c r="H230">
        <v>0.11749999999999999</v>
      </c>
      <c r="I230">
        <v>0.23499999999999999</v>
      </c>
      <c r="J230">
        <v>9</v>
      </c>
      <c r="K230">
        <v>5</v>
      </c>
      <c r="L230" t="s">
        <v>67</v>
      </c>
      <c r="M230" t="s">
        <v>68</v>
      </c>
      <c r="N230" t="s">
        <v>69</v>
      </c>
      <c r="O230">
        <v>7</v>
      </c>
      <c r="P230" t="s">
        <v>6</v>
      </c>
      <c r="Q230">
        <v>2.5</v>
      </c>
    </row>
    <row r="231" spans="1:17">
      <c r="A231">
        <v>2298</v>
      </c>
      <c r="B231" t="s">
        <v>33</v>
      </c>
      <c r="C231">
        <v>0.47499999999999998</v>
      </c>
      <c r="D231">
        <v>0.36</v>
      </c>
      <c r="E231">
        <v>0.12</v>
      </c>
      <c r="F231">
        <v>0.57799999999999996</v>
      </c>
      <c r="G231">
        <v>0.28249999999999997</v>
      </c>
      <c r="H231">
        <v>0.12</v>
      </c>
      <c r="I231">
        <v>0.17</v>
      </c>
      <c r="J231">
        <v>8</v>
      </c>
      <c r="K231">
        <v>1</v>
      </c>
      <c r="L231" t="s">
        <v>70</v>
      </c>
      <c r="M231" t="s">
        <v>71</v>
      </c>
      <c r="N231" t="s">
        <v>45</v>
      </c>
      <c r="O231">
        <v>8</v>
      </c>
      <c r="P231" t="s">
        <v>13</v>
      </c>
      <c r="Q231">
        <v>12.3</v>
      </c>
    </row>
    <row r="232" spans="1:17">
      <c r="A232">
        <v>710</v>
      </c>
      <c r="B232" t="s">
        <v>33</v>
      </c>
      <c r="C232">
        <v>0.29499999999999998</v>
      </c>
      <c r="D232">
        <v>0.22500000000000001</v>
      </c>
      <c r="E232">
        <v>0.09</v>
      </c>
      <c r="F232">
        <v>0.1105</v>
      </c>
      <c r="G232">
        <v>4.0500000000000001E-2</v>
      </c>
      <c r="H232">
        <v>2.4500000000000001E-2</v>
      </c>
      <c r="I232">
        <v>3.2000000000000001E-2</v>
      </c>
      <c r="J232">
        <v>7</v>
      </c>
      <c r="K232">
        <v>13</v>
      </c>
      <c r="L232" t="s">
        <v>43</v>
      </c>
      <c r="M232" t="s">
        <v>44</v>
      </c>
      <c r="N232" t="s">
        <v>45</v>
      </c>
      <c r="O232">
        <v>7</v>
      </c>
      <c r="P232" t="s">
        <v>6</v>
      </c>
      <c r="Q232">
        <v>2.5</v>
      </c>
    </row>
    <row r="233" spans="1:17">
      <c r="A233">
        <v>551</v>
      </c>
      <c r="B233" t="s">
        <v>33</v>
      </c>
      <c r="C233">
        <v>0.65</v>
      </c>
      <c r="D233">
        <v>0.51500000000000001</v>
      </c>
      <c r="E233">
        <v>0.16</v>
      </c>
      <c r="F233">
        <v>1.1625000000000001</v>
      </c>
      <c r="G233">
        <v>0.495</v>
      </c>
      <c r="H233">
        <v>0.20300000000000001</v>
      </c>
      <c r="I233">
        <v>0.33</v>
      </c>
      <c r="J233">
        <v>17</v>
      </c>
      <c r="K233">
        <v>1</v>
      </c>
      <c r="L233" t="s">
        <v>70</v>
      </c>
      <c r="M233" t="s">
        <v>71</v>
      </c>
      <c r="N233" t="s">
        <v>45</v>
      </c>
      <c r="O233">
        <v>6</v>
      </c>
      <c r="P233" t="s">
        <v>7</v>
      </c>
      <c r="Q233">
        <v>14.1</v>
      </c>
    </row>
    <row r="234" spans="1:17">
      <c r="A234">
        <v>4102</v>
      </c>
      <c r="B234" t="s">
        <v>33</v>
      </c>
      <c r="C234">
        <v>0.67500000000000004</v>
      </c>
      <c r="D234">
        <v>0.51</v>
      </c>
      <c r="E234">
        <v>0.15</v>
      </c>
      <c r="F234">
        <v>1.1964999999999999</v>
      </c>
      <c r="G234">
        <v>0.47499999999999998</v>
      </c>
      <c r="H234">
        <v>0.30399999999999999</v>
      </c>
      <c r="I234">
        <v>0.38600000000000001</v>
      </c>
      <c r="J234">
        <v>11</v>
      </c>
      <c r="K234">
        <v>6</v>
      </c>
      <c r="L234" t="s">
        <v>46</v>
      </c>
      <c r="M234" t="s">
        <v>47</v>
      </c>
      <c r="N234" t="s">
        <v>48</v>
      </c>
      <c r="O234">
        <v>10</v>
      </c>
      <c r="P234" t="s">
        <v>11</v>
      </c>
      <c r="Q234">
        <v>24.1</v>
      </c>
    </row>
    <row r="235" spans="1:17">
      <c r="A235">
        <v>3843</v>
      </c>
      <c r="B235" t="s">
        <v>33</v>
      </c>
      <c r="C235">
        <v>0.61499999999999999</v>
      </c>
      <c r="D235">
        <v>0.47499999999999998</v>
      </c>
      <c r="E235">
        <v>0.14499999999999999</v>
      </c>
      <c r="F235">
        <v>0.95250000000000001</v>
      </c>
      <c r="G235">
        <v>0.39150000000000001</v>
      </c>
      <c r="H235">
        <v>0.19500000000000001</v>
      </c>
      <c r="I235">
        <v>0.32</v>
      </c>
      <c r="J235">
        <v>9</v>
      </c>
      <c r="K235">
        <v>14</v>
      </c>
      <c r="L235" t="s">
        <v>72</v>
      </c>
      <c r="M235" t="s">
        <v>73</v>
      </c>
      <c r="N235" t="s">
        <v>74</v>
      </c>
      <c r="O235">
        <v>6</v>
      </c>
      <c r="P235" t="s">
        <v>7</v>
      </c>
      <c r="Q235">
        <v>14.1</v>
      </c>
    </row>
    <row r="236" spans="1:17">
      <c r="A236">
        <v>22</v>
      </c>
      <c r="B236" t="s">
        <v>33</v>
      </c>
      <c r="C236">
        <v>0.38</v>
      </c>
      <c r="D236">
        <v>0.27500000000000002</v>
      </c>
      <c r="E236">
        <v>0.1</v>
      </c>
      <c r="F236">
        <v>0.22550000000000001</v>
      </c>
      <c r="G236">
        <v>0.08</v>
      </c>
      <c r="H236">
        <v>4.9000000000000002E-2</v>
      </c>
      <c r="I236">
        <v>8.5000000000000006E-2</v>
      </c>
      <c r="J236">
        <v>10</v>
      </c>
      <c r="K236">
        <v>2</v>
      </c>
      <c r="L236" t="s">
        <v>49</v>
      </c>
      <c r="M236" t="s">
        <v>50</v>
      </c>
      <c r="N236" t="s">
        <v>51</v>
      </c>
      <c r="O236">
        <v>8</v>
      </c>
      <c r="P236" t="s">
        <v>13</v>
      </c>
      <c r="Q236">
        <v>12.3</v>
      </c>
    </row>
    <row r="237" spans="1:17">
      <c r="A237">
        <v>157</v>
      </c>
      <c r="B237" t="s">
        <v>33</v>
      </c>
      <c r="C237">
        <v>0.57499999999999996</v>
      </c>
      <c r="D237">
        <v>0.46</v>
      </c>
      <c r="E237">
        <v>0.19</v>
      </c>
      <c r="F237">
        <v>0.99399999999999999</v>
      </c>
      <c r="G237">
        <v>0.39200000000000002</v>
      </c>
      <c r="H237">
        <v>0.24249999999999999</v>
      </c>
      <c r="I237">
        <v>0.34</v>
      </c>
      <c r="J237">
        <v>13</v>
      </c>
      <c r="K237">
        <v>14</v>
      </c>
      <c r="L237" t="s">
        <v>72</v>
      </c>
      <c r="M237" t="s">
        <v>73</v>
      </c>
      <c r="N237" t="s">
        <v>74</v>
      </c>
      <c r="O237">
        <v>3</v>
      </c>
      <c r="P237" t="s">
        <v>10</v>
      </c>
      <c r="Q237">
        <v>3.6</v>
      </c>
    </row>
    <row r="238" spans="1:17">
      <c r="A238">
        <v>2501</v>
      </c>
      <c r="B238" t="s">
        <v>33</v>
      </c>
      <c r="C238">
        <v>0.48</v>
      </c>
      <c r="D238">
        <v>0.39</v>
      </c>
      <c r="E238">
        <v>0.125</v>
      </c>
      <c r="F238">
        <v>0.6905</v>
      </c>
      <c r="G238">
        <v>0.219</v>
      </c>
      <c r="H238">
        <v>0.155</v>
      </c>
      <c r="I238">
        <v>0.2</v>
      </c>
      <c r="J238">
        <v>12</v>
      </c>
      <c r="K238">
        <v>12</v>
      </c>
      <c r="L238" t="s">
        <v>58</v>
      </c>
      <c r="M238" t="s">
        <v>59</v>
      </c>
      <c r="N238" t="s">
        <v>45</v>
      </c>
      <c r="O238">
        <v>1</v>
      </c>
      <c r="P238" t="s">
        <v>4</v>
      </c>
      <c r="Q238">
        <v>22.1</v>
      </c>
    </row>
    <row r="239" spans="1:17">
      <c r="A239">
        <v>2226</v>
      </c>
      <c r="B239" t="s">
        <v>33</v>
      </c>
      <c r="C239">
        <v>0.59</v>
      </c>
      <c r="D239">
        <v>0.47499999999999998</v>
      </c>
      <c r="E239">
        <v>0.155</v>
      </c>
      <c r="F239">
        <v>0.85699999999999998</v>
      </c>
      <c r="G239">
        <v>0.35599999999999998</v>
      </c>
      <c r="H239">
        <v>0.17399999999999999</v>
      </c>
      <c r="I239">
        <v>0.28000000000000003</v>
      </c>
      <c r="J239">
        <v>13</v>
      </c>
      <c r="K239">
        <v>13</v>
      </c>
      <c r="L239" t="s">
        <v>43</v>
      </c>
      <c r="M239" t="s">
        <v>44</v>
      </c>
      <c r="N239" t="s">
        <v>45</v>
      </c>
      <c r="O239">
        <v>5</v>
      </c>
      <c r="P239" t="s">
        <v>12</v>
      </c>
      <c r="Q239">
        <v>12.8</v>
      </c>
    </row>
    <row r="240" spans="1:17">
      <c r="A240">
        <v>2763</v>
      </c>
      <c r="B240" t="s">
        <v>33</v>
      </c>
      <c r="C240">
        <v>0.55000000000000004</v>
      </c>
      <c r="D240">
        <v>0.42</v>
      </c>
      <c r="E240">
        <v>0.155</v>
      </c>
      <c r="F240">
        <v>0.91200000000000003</v>
      </c>
      <c r="G240">
        <v>0.495</v>
      </c>
      <c r="H240">
        <v>0.18049999999999999</v>
      </c>
      <c r="I240">
        <v>0.20499999999999999</v>
      </c>
      <c r="J240">
        <v>9</v>
      </c>
      <c r="K240">
        <v>2</v>
      </c>
      <c r="L240" t="s">
        <v>49</v>
      </c>
      <c r="M240" t="s">
        <v>50</v>
      </c>
      <c r="N240" t="s">
        <v>51</v>
      </c>
      <c r="O240">
        <v>10</v>
      </c>
      <c r="P240" t="s">
        <v>11</v>
      </c>
      <c r="Q240">
        <v>24.1</v>
      </c>
    </row>
    <row r="241" spans="1:17">
      <c r="A241">
        <v>3723</v>
      </c>
      <c r="B241" t="s">
        <v>33</v>
      </c>
      <c r="C241">
        <v>0.46500000000000002</v>
      </c>
      <c r="D241">
        <v>0.36</v>
      </c>
      <c r="E241">
        <v>0.105</v>
      </c>
      <c r="F241">
        <v>0.45200000000000001</v>
      </c>
      <c r="G241">
        <v>0.22</v>
      </c>
      <c r="H241">
        <v>0.159</v>
      </c>
      <c r="I241">
        <v>0.10349999999999999</v>
      </c>
      <c r="J241">
        <v>9</v>
      </c>
      <c r="K241">
        <v>4</v>
      </c>
      <c r="L241" t="s">
        <v>40</v>
      </c>
      <c r="M241" t="s">
        <v>41</v>
      </c>
      <c r="N241" t="s">
        <v>42</v>
      </c>
      <c r="O241">
        <v>2</v>
      </c>
      <c r="P241" t="s">
        <v>5</v>
      </c>
      <c r="Q241">
        <v>18</v>
      </c>
    </row>
    <row r="242" spans="1:17">
      <c r="A242">
        <v>3494</v>
      </c>
      <c r="B242" t="s">
        <v>33</v>
      </c>
      <c r="C242">
        <v>0.55500000000000005</v>
      </c>
      <c r="D242">
        <v>0.44</v>
      </c>
      <c r="E242">
        <v>0.15</v>
      </c>
      <c r="F242">
        <v>0.83799999999999997</v>
      </c>
      <c r="G242">
        <v>0.41549999999999998</v>
      </c>
      <c r="H242">
        <v>0.14599999999999999</v>
      </c>
      <c r="I242">
        <v>0.23</v>
      </c>
      <c r="J242">
        <v>8</v>
      </c>
      <c r="K242">
        <v>1</v>
      </c>
      <c r="L242" t="s">
        <v>70</v>
      </c>
      <c r="M242" t="s">
        <v>71</v>
      </c>
      <c r="N242" t="s">
        <v>45</v>
      </c>
      <c r="O242">
        <v>2</v>
      </c>
      <c r="P242" t="s">
        <v>5</v>
      </c>
      <c r="Q242">
        <v>18</v>
      </c>
    </row>
    <row r="243" spans="1:17">
      <c r="A243">
        <v>1337</v>
      </c>
      <c r="B243" t="s">
        <v>33</v>
      </c>
      <c r="C243">
        <v>0.57499999999999996</v>
      </c>
      <c r="D243">
        <v>0.46</v>
      </c>
      <c r="E243">
        <v>0.155</v>
      </c>
      <c r="F243">
        <v>0.89200000000000002</v>
      </c>
      <c r="G243">
        <v>0.4415</v>
      </c>
      <c r="H243">
        <v>0.17599999999999999</v>
      </c>
      <c r="I243">
        <v>0.22</v>
      </c>
      <c r="J243">
        <v>10</v>
      </c>
      <c r="K243">
        <v>4</v>
      </c>
      <c r="L243" t="s">
        <v>40</v>
      </c>
      <c r="M243" t="s">
        <v>41</v>
      </c>
      <c r="N243" t="s">
        <v>42</v>
      </c>
      <c r="O243">
        <v>4</v>
      </c>
      <c r="P243" t="s">
        <v>8</v>
      </c>
      <c r="Q243">
        <v>6.1</v>
      </c>
    </row>
    <row r="244" spans="1:17">
      <c r="A244">
        <v>1949</v>
      </c>
      <c r="B244" t="s">
        <v>33</v>
      </c>
      <c r="C244">
        <v>0.63500000000000001</v>
      </c>
      <c r="D244">
        <v>0.51500000000000001</v>
      </c>
      <c r="E244">
        <v>0.16500000000000001</v>
      </c>
      <c r="F244">
        <v>1.2290000000000001</v>
      </c>
      <c r="G244">
        <v>0.50549999999999995</v>
      </c>
      <c r="H244">
        <v>0.29749999999999999</v>
      </c>
      <c r="I244">
        <v>0.35349999999999998</v>
      </c>
      <c r="J244">
        <v>10</v>
      </c>
      <c r="K244">
        <v>13</v>
      </c>
      <c r="L244" t="s">
        <v>43</v>
      </c>
      <c r="M244" t="s">
        <v>44</v>
      </c>
      <c r="N244" t="s">
        <v>45</v>
      </c>
      <c r="O244">
        <v>4</v>
      </c>
      <c r="P244" t="s">
        <v>8</v>
      </c>
      <c r="Q244">
        <v>6.1</v>
      </c>
    </row>
    <row r="245" spans="1:17">
      <c r="A245">
        <v>378</v>
      </c>
      <c r="B245" t="s">
        <v>33</v>
      </c>
      <c r="C245">
        <v>0.58499999999999996</v>
      </c>
      <c r="D245">
        <v>0.45</v>
      </c>
      <c r="E245">
        <v>0.16</v>
      </c>
      <c r="F245">
        <v>1.077</v>
      </c>
      <c r="G245">
        <v>0.4995</v>
      </c>
      <c r="H245">
        <v>0.28749999999999998</v>
      </c>
      <c r="I245">
        <v>0.25</v>
      </c>
      <c r="J245">
        <v>10</v>
      </c>
      <c r="K245">
        <v>8</v>
      </c>
      <c r="L245" t="s">
        <v>55</v>
      </c>
      <c r="M245" t="s">
        <v>56</v>
      </c>
      <c r="N245" t="s">
        <v>57</v>
      </c>
      <c r="O245">
        <v>8</v>
      </c>
      <c r="P245" t="s">
        <v>13</v>
      </c>
      <c r="Q245">
        <v>12.3</v>
      </c>
    </row>
    <row r="246" spans="1:17">
      <c r="A246">
        <v>2559</v>
      </c>
      <c r="B246" t="s">
        <v>33</v>
      </c>
      <c r="C246">
        <v>0.40500000000000003</v>
      </c>
      <c r="D246">
        <v>0.31</v>
      </c>
      <c r="E246">
        <v>6.5000000000000002E-2</v>
      </c>
      <c r="F246">
        <v>0.32050000000000001</v>
      </c>
      <c r="G246">
        <v>0.1575</v>
      </c>
      <c r="H246">
        <v>6.6000000000000003E-2</v>
      </c>
      <c r="I246">
        <v>8.7999999999999995E-2</v>
      </c>
      <c r="J246">
        <v>6</v>
      </c>
      <c r="K246">
        <v>7</v>
      </c>
      <c r="L246" t="s">
        <v>62</v>
      </c>
      <c r="M246" t="s">
        <v>63</v>
      </c>
      <c r="N246" t="s">
        <v>64</v>
      </c>
      <c r="O246">
        <v>1</v>
      </c>
      <c r="P246" t="s">
        <v>4</v>
      </c>
      <c r="Q246">
        <v>22.1</v>
      </c>
    </row>
    <row r="247" spans="1:17">
      <c r="A247">
        <v>331</v>
      </c>
      <c r="B247" t="s">
        <v>33</v>
      </c>
      <c r="C247">
        <v>0.5</v>
      </c>
      <c r="D247">
        <v>0.38</v>
      </c>
      <c r="E247">
        <v>0.155</v>
      </c>
      <c r="F247">
        <v>0.59550000000000003</v>
      </c>
      <c r="G247">
        <v>0.2135</v>
      </c>
      <c r="H247">
        <v>0.161</v>
      </c>
      <c r="I247">
        <v>0.2</v>
      </c>
      <c r="J247">
        <v>12</v>
      </c>
      <c r="K247">
        <v>15</v>
      </c>
      <c r="L247" t="s">
        <v>60</v>
      </c>
      <c r="M247" t="s">
        <v>61</v>
      </c>
      <c r="N247" t="s">
        <v>45</v>
      </c>
      <c r="O247">
        <v>4</v>
      </c>
      <c r="P247" t="s">
        <v>8</v>
      </c>
      <c r="Q247">
        <v>6.1</v>
      </c>
    </row>
    <row r="248" spans="1:17">
      <c r="A248">
        <v>1229</v>
      </c>
      <c r="B248" t="s">
        <v>33</v>
      </c>
      <c r="C248">
        <v>0.36</v>
      </c>
      <c r="D248">
        <v>0.27</v>
      </c>
      <c r="E248">
        <v>8.5000000000000006E-2</v>
      </c>
      <c r="F248">
        <v>0.19600000000000001</v>
      </c>
      <c r="G248">
        <v>8.7499999999999994E-2</v>
      </c>
      <c r="H248">
        <v>3.5000000000000003E-2</v>
      </c>
      <c r="I248">
        <v>6.4000000000000001E-2</v>
      </c>
      <c r="J248">
        <v>4</v>
      </c>
      <c r="K248">
        <v>1</v>
      </c>
      <c r="L248" t="s">
        <v>70</v>
      </c>
      <c r="M248" t="s">
        <v>71</v>
      </c>
      <c r="N248" t="s">
        <v>45</v>
      </c>
      <c r="O248">
        <v>3</v>
      </c>
      <c r="P248" t="s">
        <v>10</v>
      </c>
      <c r="Q248">
        <v>3.6</v>
      </c>
    </row>
    <row r="249" spans="1:17">
      <c r="A249">
        <v>6</v>
      </c>
      <c r="B249" t="s">
        <v>33</v>
      </c>
      <c r="C249">
        <v>0.42499999999999999</v>
      </c>
      <c r="D249">
        <v>0.3</v>
      </c>
      <c r="E249">
        <v>9.5000000000000001E-2</v>
      </c>
      <c r="F249">
        <v>0.35149999999999998</v>
      </c>
      <c r="G249">
        <v>0.14099999999999999</v>
      </c>
      <c r="H249">
        <v>7.7499999999999999E-2</v>
      </c>
      <c r="I249">
        <v>0.12</v>
      </c>
      <c r="J249">
        <v>8</v>
      </c>
      <c r="K249">
        <v>9</v>
      </c>
      <c r="L249" t="s">
        <v>34</v>
      </c>
      <c r="M249" t="s">
        <v>35</v>
      </c>
      <c r="N249" t="s">
        <v>36</v>
      </c>
      <c r="O249">
        <v>3</v>
      </c>
      <c r="P249" t="s">
        <v>10</v>
      </c>
      <c r="Q249">
        <v>3.6</v>
      </c>
    </row>
    <row r="250" spans="1:17">
      <c r="A250">
        <v>2514</v>
      </c>
      <c r="B250" t="s">
        <v>33</v>
      </c>
      <c r="C250">
        <v>0.46500000000000002</v>
      </c>
      <c r="D250">
        <v>0.35</v>
      </c>
      <c r="E250">
        <v>0.13500000000000001</v>
      </c>
      <c r="F250">
        <v>0.62649999999999995</v>
      </c>
      <c r="G250">
        <v>0.25900000000000001</v>
      </c>
      <c r="H250">
        <v>0.14449999999999999</v>
      </c>
      <c r="I250">
        <v>0.17499999999999999</v>
      </c>
      <c r="J250">
        <v>8</v>
      </c>
      <c r="K250">
        <v>3</v>
      </c>
      <c r="L250" t="s">
        <v>52</v>
      </c>
      <c r="M250" t="s">
        <v>53</v>
      </c>
      <c r="N250" t="s">
        <v>54</v>
      </c>
      <c r="O250">
        <v>6</v>
      </c>
      <c r="P250" t="s">
        <v>7</v>
      </c>
      <c r="Q250">
        <v>14.1</v>
      </c>
    </row>
    <row r="251" spans="1:17">
      <c r="A251">
        <v>1333</v>
      </c>
      <c r="B251" t="s">
        <v>33</v>
      </c>
      <c r="C251">
        <v>0.56999999999999995</v>
      </c>
      <c r="D251">
        <v>0.44</v>
      </c>
      <c r="E251">
        <v>0.13</v>
      </c>
      <c r="F251">
        <v>0.76649999999999996</v>
      </c>
      <c r="G251">
        <v>0.34699999999999998</v>
      </c>
      <c r="H251">
        <v>0.17849999999999999</v>
      </c>
      <c r="I251">
        <v>0.20200000000000001</v>
      </c>
      <c r="J251">
        <v>10</v>
      </c>
      <c r="K251">
        <v>14</v>
      </c>
      <c r="L251" t="s">
        <v>72</v>
      </c>
      <c r="M251" t="s">
        <v>73</v>
      </c>
      <c r="N251" t="s">
        <v>74</v>
      </c>
      <c r="O251">
        <v>3</v>
      </c>
      <c r="P251" t="s">
        <v>10</v>
      </c>
      <c r="Q251">
        <v>3.6</v>
      </c>
    </row>
    <row r="252" spans="1:17">
      <c r="A252">
        <v>3894</v>
      </c>
      <c r="B252" t="s">
        <v>33</v>
      </c>
      <c r="C252">
        <v>0.435</v>
      </c>
      <c r="D252">
        <v>0.35499999999999998</v>
      </c>
      <c r="E252">
        <v>0.125</v>
      </c>
      <c r="F252">
        <v>0.40749999999999997</v>
      </c>
      <c r="G252">
        <v>0.1535</v>
      </c>
      <c r="H252">
        <v>7.3999999999999996E-2</v>
      </c>
      <c r="I252">
        <v>0.16500000000000001</v>
      </c>
      <c r="J252">
        <v>9</v>
      </c>
      <c r="K252">
        <v>9</v>
      </c>
      <c r="L252" t="s">
        <v>34</v>
      </c>
      <c r="M252" t="s">
        <v>35</v>
      </c>
      <c r="N252" t="s">
        <v>36</v>
      </c>
      <c r="O252">
        <v>5</v>
      </c>
      <c r="P252" t="s">
        <v>12</v>
      </c>
      <c r="Q252">
        <v>12.8</v>
      </c>
    </row>
    <row r="253" spans="1:17">
      <c r="A253">
        <v>2875</v>
      </c>
      <c r="B253" t="s">
        <v>33</v>
      </c>
      <c r="C253">
        <v>0.42499999999999999</v>
      </c>
      <c r="D253">
        <v>0.34</v>
      </c>
      <c r="E253">
        <v>0.1</v>
      </c>
      <c r="F253">
        <v>0.371</v>
      </c>
      <c r="G253">
        <v>0.15</v>
      </c>
      <c r="H253">
        <v>8.6499999999999994E-2</v>
      </c>
      <c r="I253">
        <v>0.115</v>
      </c>
      <c r="J253">
        <v>8</v>
      </c>
      <c r="K253">
        <v>7</v>
      </c>
      <c r="L253" t="s">
        <v>62</v>
      </c>
      <c r="M253" t="s">
        <v>63</v>
      </c>
      <c r="N253" t="s">
        <v>64</v>
      </c>
      <c r="O253">
        <v>4</v>
      </c>
      <c r="P253" t="s">
        <v>8</v>
      </c>
      <c r="Q253">
        <v>6.1</v>
      </c>
    </row>
    <row r="254" spans="1:17">
      <c r="A254">
        <v>1382</v>
      </c>
      <c r="B254" t="s">
        <v>33</v>
      </c>
      <c r="C254">
        <v>0.625</v>
      </c>
      <c r="D254">
        <v>0.505</v>
      </c>
      <c r="E254">
        <v>0.17499999999999999</v>
      </c>
      <c r="F254">
        <v>1.1499999999999999</v>
      </c>
      <c r="G254">
        <v>0.54749999999999999</v>
      </c>
      <c r="H254">
        <v>0.25600000000000001</v>
      </c>
      <c r="I254">
        <v>0.30449999999999999</v>
      </c>
      <c r="J254">
        <v>11</v>
      </c>
      <c r="K254">
        <v>7</v>
      </c>
      <c r="L254" t="s">
        <v>62</v>
      </c>
      <c r="M254" t="s">
        <v>63</v>
      </c>
      <c r="N254" t="s">
        <v>64</v>
      </c>
      <c r="O254">
        <v>7</v>
      </c>
      <c r="P254" t="s">
        <v>6</v>
      </c>
      <c r="Q254">
        <v>2.5</v>
      </c>
    </row>
    <row r="255" spans="1:17">
      <c r="A255">
        <v>3118</v>
      </c>
      <c r="B255" t="s">
        <v>33</v>
      </c>
      <c r="C255">
        <v>0.47</v>
      </c>
      <c r="D255">
        <v>0.36</v>
      </c>
      <c r="E255">
        <v>0.1</v>
      </c>
      <c r="F255">
        <v>0.47049999999999997</v>
      </c>
      <c r="G255">
        <v>0.16350000000000001</v>
      </c>
      <c r="H255">
        <v>8.8999999999999996E-2</v>
      </c>
      <c r="I255">
        <v>0.13850000000000001</v>
      </c>
      <c r="J255">
        <v>8</v>
      </c>
      <c r="K255">
        <v>13</v>
      </c>
      <c r="L255" t="s">
        <v>43</v>
      </c>
      <c r="M255" t="s">
        <v>44</v>
      </c>
      <c r="N255" t="s">
        <v>45</v>
      </c>
      <c r="O255">
        <v>5</v>
      </c>
      <c r="P255" t="s">
        <v>12</v>
      </c>
      <c r="Q255">
        <v>12.8</v>
      </c>
    </row>
    <row r="256" spans="1:17">
      <c r="A256">
        <v>3308</v>
      </c>
      <c r="B256" t="s">
        <v>33</v>
      </c>
      <c r="C256">
        <v>0.45</v>
      </c>
      <c r="D256">
        <v>0.32500000000000001</v>
      </c>
      <c r="E256">
        <v>0.13500000000000001</v>
      </c>
      <c r="F256">
        <v>0.438</v>
      </c>
      <c r="G256">
        <v>0.18049999999999999</v>
      </c>
      <c r="H256">
        <v>0.11650000000000001</v>
      </c>
      <c r="I256">
        <v>0.11</v>
      </c>
      <c r="J256">
        <v>9</v>
      </c>
      <c r="K256">
        <v>2</v>
      </c>
      <c r="L256" t="s">
        <v>49</v>
      </c>
      <c r="M256" t="s">
        <v>50</v>
      </c>
      <c r="N256" t="s">
        <v>51</v>
      </c>
      <c r="O256">
        <v>4</v>
      </c>
      <c r="P256" t="s">
        <v>8</v>
      </c>
      <c r="Q256">
        <v>6.1</v>
      </c>
    </row>
    <row r="257" spans="1:17">
      <c r="A257">
        <v>3952</v>
      </c>
      <c r="B257" t="s">
        <v>33</v>
      </c>
      <c r="C257">
        <v>0.46500000000000002</v>
      </c>
      <c r="D257">
        <v>0.39</v>
      </c>
      <c r="E257">
        <v>0.11</v>
      </c>
      <c r="F257">
        <v>0.63549999999999995</v>
      </c>
      <c r="G257">
        <v>0.18149999999999999</v>
      </c>
      <c r="H257">
        <v>0.157</v>
      </c>
      <c r="I257">
        <v>0.22500000000000001</v>
      </c>
      <c r="J257">
        <v>13</v>
      </c>
      <c r="K257">
        <v>10</v>
      </c>
      <c r="L257" t="s">
        <v>37</v>
      </c>
      <c r="M257" t="s">
        <v>38</v>
      </c>
      <c r="N257" t="s">
        <v>39</v>
      </c>
      <c r="O257">
        <v>7</v>
      </c>
      <c r="P257" t="s">
        <v>6</v>
      </c>
      <c r="Q257">
        <v>2.5</v>
      </c>
    </row>
    <row r="258" spans="1:17">
      <c r="A258">
        <v>1904</v>
      </c>
      <c r="B258" t="s">
        <v>33</v>
      </c>
      <c r="C258">
        <v>0.57499999999999996</v>
      </c>
      <c r="D258">
        <v>0.44500000000000001</v>
      </c>
      <c r="E258">
        <v>0.14499999999999999</v>
      </c>
      <c r="F258">
        <v>0.876</v>
      </c>
      <c r="G258">
        <v>0.3795</v>
      </c>
      <c r="H258">
        <v>0.1615</v>
      </c>
      <c r="I258">
        <v>0.27</v>
      </c>
      <c r="J258">
        <v>10</v>
      </c>
      <c r="K258">
        <v>12</v>
      </c>
      <c r="L258" t="s">
        <v>58</v>
      </c>
      <c r="M258" t="s">
        <v>59</v>
      </c>
      <c r="N258" t="s">
        <v>45</v>
      </c>
      <c r="O258">
        <v>2</v>
      </c>
      <c r="P258" t="s">
        <v>5</v>
      </c>
      <c r="Q258">
        <v>18</v>
      </c>
    </row>
    <row r="259" spans="1:17">
      <c r="A259">
        <v>3980</v>
      </c>
      <c r="B259" t="s">
        <v>33</v>
      </c>
      <c r="C259">
        <v>0.495</v>
      </c>
      <c r="D259">
        <v>0.375</v>
      </c>
      <c r="E259">
        <v>0.115</v>
      </c>
      <c r="F259">
        <v>0.62450000000000006</v>
      </c>
      <c r="G259">
        <v>0.28199999999999997</v>
      </c>
      <c r="H259">
        <v>0.14299999999999999</v>
      </c>
      <c r="I259">
        <v>0.155</v>
      </c>
      <c r="J259">
        <v>6</v>
      </c>
      <c r="K259">
        <v>13</v>
      </c>
      <c r="L259" t="s">
        <v>43</v>
      </c>
      <c r="M259" t="s">
        <v>44</v>
      </c>
      <c r="N259" t="s">
        <v>45</v>
      </c>
      <c r="O259">
        <v>2</v>
      </c>
      <c r="P259" t="s">
        <v>5</v>
      </c>
      <c r="Q259">
        <v>18</v>
      </c>
    </row>
    <row r="260" spans="1:17">
      <c r="A260">
        <v>2104</v>
      </c>
      <c r="B260" t="s">
        <v>33</v>
      </c>
      <c r="C260">
        <v>0.375</v>
      </c>
      <c r="D260">
        <v>0.28999999999999998</v>
      </c>
      <c r="E260">
        <v>0.1</v>
      </c>
      <c r="F260">
        <v>0.27600000000000002</v>
      </c>
      <c r="G260">
        <v>0.11749999999999999</v>
      </c>
      <c r="H260">
        <v>5.6500000000000002E-2</v>
      </c>
      <c r="I260">
        <v>8.5000000000000006E-2</v>
      </c>
      <c r="J260">
        <v>9</v>
      </c>
      <c r="K260">
        <v>3</v>
      </c>
      <c r="L260" t="s">
        <v>52</v>
      </c>
      <c r="M260" t="s">
        <v>53</v>
      </c>
      <c r="N260" t="s">
        <v>54</v>
      </c>
      <c r="O260">
        <v>2</v>
      </c>
      <c r="P260" t="s">
        <v>5</v>
      </c>
      <c r="Q260">
        <v>18</v>
      </c>
    </row>
    <row r="261" spans="1:17">
      <c r="A261">
        <v>1467</v>
      </c>
      <c r="B261" t="s">
        <v>33</v>
      </c>
      <c r="C261">
        <v>0.51500000000000001</v>
      </c>
      <c r="D261">
        <v>0.42499999999999999</v>
      </c>
      <c r="E261">
        <v>0.14499999999999999</v>
      </c>
      <c r="F261">
        <v>0.9365</v>
      </c>
      <c r="G261">
        <v>0.497</v>
      </c>
      <c r="H261">
        <v>0.18099999999999999</v>
      </c>
      <c r="I261">
        <v>0.2185</v>
      </c>
      <c r="J261">
        <v>8</v>
      </c>
      <c r="K261">
        <v>15</v>
      </c>
      <c r="L261" t="s">
        <v>60</v>
      </c>
      <c r="M261" t="s">
        <v>61</v>
      </c>
      <c r="N261" t="s">
        <v>45</v>
      </c>
      <c r="O261">
        <v>9</v>
      </c>
      <c r="P261" t="s">
        <v>9</v>
      </c>
      <c r="Q261">
        <v>1.9</v>
      </c>
    </row>
    <row r="262" spans="1:17">
      <c r="A262">
        <v>978</v>
      </c>
      <c r="B262" t="s">
        <v>33</v>
      </c>
      <c r="C262">
        <v>0.53500000000000003</v>
      </c>
      <c r="D262">
        <v>0.4</v>
      </c>
      <c r="E262">
        <v>0.13500000000000001</v>
      </c>
      <c r="F262">
        <v>0.82150000000000001</v>
      </c>
      <c r="G262">
        <v>0.39350000000000002</v>
      </c>
      <c r="H262">
        <v>0.19600000000000001</v>
      </c>
      <c r="I262">
        <v>0.20499999999999999</v>
      </c>
      <c r="J262">
        <v>8</v>
      </c>
      <c r="K262">
        <v>2</v>
      </c>
      <c r="L262" t="s">
        <v>49</v>
      </c>
      <c r="M262" t="s">
        <v>50</v>
      </c>
      <c r="N262" t="s">
        <v>51</v>
      </c>
      <c r="O262">
        <v>7</v>
      </c>
      <c r="P262" t="s">
        <v>6</v>
      </c>
      <c r="Q262">
        <v>2.5</v>
      </c>
    </row>
    <row r="263" spans="1:17">
      <c r="A263">
        <v>3146</v>
      </c>
      <c r="B263" t="s">
        <v>33</v>
      </c>
      <c r="C263">
        <v>0.55000000000000004</v>
      </c>
      <c r="D263">
        <v>0.42</v>
      </c>
      <c r="E263">
        <v>0.17</v>
      </c>
      <c r="F263">
        <v>0.84650000000000003</v>
      </c>
      <c r="G263">
        <v>0.33600000000000002</v>
      </c>
      <c r="H263">
        <v>0.24049999999999999</v>
      </c>
      <c r="I263">
        <v>0.245</v>
      </c>
      <c r="J263">
        <v>13</v>
      </c>
      <c r="K263">
        <v>8</v>
      </c>
      <c r="L263" t="s">
        <v>55</v>
      </c>
      <c r="M263" t="s">
        <v>56</v>
      </c>
      <c r="N263" t="s">
        <v>57</v>
      </c>
      <c r="O263">
        <v>2</v>
      </c>
      <c r="P263" t="s">
        <v>5</v>
      </c>
      <c r="Q263">
        <v>18</v>
      </c>
    </row>
    <row r="264" spans="1:17">
      <c r="A264">
        <v>2244</v>
      </c>
      <c r="B264" t="s">
        <v>33</v>
      </c>
      <c r="C264">
        <v>0.46500000000000002</v>
      </c>
      <c r="D264">
        <v>0.36</v>
      </c>
      <c r="E264">
        <v>0.13</v>
      </c>
      <c r="F264">
        <v>0.52649999999999997</v>
      </c>
      <c r="G264">
        <v>0.21049999999999999</v>
      </c>
      <c r="H264">
        <v>0.11849999999999999</v>
      </c>
      <c r="I264">
        <v>0.16500000000000001</v>
      </c>
      <c r="J264">
        <v>10</v>
      </c>
      <c r="K264">
        <v>3</v>
      </c>
      <c r="L264" t="s">
        <v>52</v>
      </c>
      <c r="M264" t="s">
        <v>53</v>
      </c>
      <c r="N264" t="s">
        <v>54</v>
      </c>
      <c r="O264">
        <v>10</v>
      </c>
      <c r="P264" t="s">
        <v>11</v>
      </c>
      <c r="Q264">
        <v>24.1</v>
      </c>
    </row>
    <row r="265" spans="1:17">
      <c r="A265">
        <v>2793</v>
      </c>
      <c r="B265" t="s">
        <v>33</v>
      </c>
      <c r="C265">
        <v>0.625</v>
      </c>
      <c r="D265">
        <v>0.49</v>
      </c>
      <c r="E265">
        <v>0.16500000000000001</v>
      </c>
      <c r="F265">
        <v>1.2050000000000001</v>
      </c>
      <c r="G265">
        <v>0.51749999999999996</v>
      </c>
      <c r="H265">
        <v>0.3105</v>
      </c>
      <c r="I265">
        <v>0.34649999999999997</v>
      </c>
      <c r="J265">
        <v>10</v>
      </c>
      <c r="K265">
        <v>4</v>
      </c>
      <c r="L265" t="s">
        <v>40</v>
      </c>
      <c r="M265" t="s">
        <v>41</v>
      </c>
      <c r="N265" t="s">
        <v>42</v>
      </c>
      <c r="O265">
        <v>7</v>
      </c>
      <c r="P265" t="s">
        <v>6</v>
      </c>
      <c r="Q265">
        <v>2.5</v>
      </c>
    </row>
    <row r="266" spans="1:17">
      <c r="A266">
        <v>829</v>
      </c>
      <c r="B266" t="s">
        <v>33</v>
      </c>
      <c r="C266">
        <v>0.41</v>
      </c>
      <c r="D266">
        <v>0.32500000000000001</v>
      </c>
      <c r="E266">
        <v>0.1</v>
      </c>
      <c r="F266">
        <v>0.39400000000000002</v>
      </c>
      <c r="G266">
        <v>0.20799999999999999</v>
      </c>
      <c r="H266">
        <v>6.5500000000000003E-2</v>
      </c>
      <c r="I266">
        <v>0.106</v>
      </c>
      <c r="J266">
        <v>6</v>
      </c>
      <c r="K266">
        <v>1</v>
      </c>
      <c r="L266" t="s">
        <v>70</v>
      </c>
      <c r="M266" t="s">
        <v>71</v>
      </c>
      <c r="N266" t="s">
        <v>45</v>
      </c>
      <c r="O266">
        <v>5</v>
      </c>
      <c r="P266" t="s">
        <v>12</v>
      </c>
      <c r="Q266">
        <v>12.8</v>
      </c>
    </row>
    <row r="267" spans="1:17">
      <c r="A267">
        <v>2310</v>
      </c>
      <c r="B267" t="s">
        <v>33</v>
      </c>
      <c r="C267">
        <v>0.47</v>
      </c>
      <c r="D267">
        <v>0.375</v>
      </c>
      <c r="E267">
        <v>0.13</v>
      </c>
      <c r="F267">
        <v>0.57950000000000002</v>
      </c>
      <c r="G267">
        <v>0.2145</v>
      </c>
      <c r="H267">
        <v>0.16400000000000001</v>
      </c>
      <c r="I267">
        <v>0.19500000000000001</v>
      </c>
      <c r="J267">
        <v>13</v>
      </c>
      <c r="K267">
        <v>12</v>
      </c>
      <c r="L267" t="s">
        <v>58</v>
      </c>
      <c r="M267" t="s">
        <v>59</v>
      </c>
      <c r="N267" t="s">
        <v>45</v>
      </c>
      <c r="O267">
        <v>8</v>
      </c>
      <c r="P267" t="s">
        <v>13</v>
      </c>
      <c r="Q267">
        <v>12.3</v>
      </c>
    </row>
    <row r="268" spans="1:17">
      <c r="A268">
        <v>1453</v>
      </c>
      <c r="B268" t="s">
        <v>33</v>
      </c>
      <c r="C268">
        <v>0.47</v>
      </c>
      <c r="D268">
        <v>0.34499999999999997</v>
      </c>
      <c r="E268">
        <v>0.14000000000000001</v>
      </c>
      <c r="F268">
        <v>0.46150000000000002</v>
      </c>
      <c r="G268">
        <v>0.22900000000000001</v>
      </c>
      <c r="H268">
        <v>0.1105</v>
      </c>
      <c r="I268">
        <v>0.11600000000000001</v>
      </c>
      <c r="J268">
        <v>9</v>
      </c>
      <c r="K268">
        <v>11</v>
      </c>
      <c r="L268" t="s">
        <v>65</v>
      </c>
      <c r="M268" t="s">
        <v>66</v>
      </c>
      <c r="N268" t="s">
        <v>45</v>
      </c>
      <c r="O268">
        <v>4</v>
      </c>
      <c r="P268" t="s">
        <v>8</v>
      </c>
      <c r="Q268">
        <v>6.1</v>
      </c>
    </row>
    <row r="269" spans="1:17">
      <c r="A269">
        <v>3549</v>
      </c>
      <c r="B269" t="s">
        <v>33</v>
      </c>
      <c r="C269">
        <v>0.495</v>
      </c>
      <c r="D269">
        <v>0.37</v>
      </c>
      <c r="E269">
        <v>0.12</v>
      </c>
      <c r="F269">
        <v>0.59399999999999997</v>
      </c>
      <c r="G269">
        <v>0.28000000000000003</v>
      </c>
      <c r="H269">
        <v>0.11</v>
      </c>
      <c r="I269">
        <v>0.13750000000000001</v>
      </c>
      <c r="J269">
        <v>7</v>
      </c>
      <c r="K269">
        <v>12</v>
      </c>
      <c r="L269" t="s">
        <v>58</v>
      </c>
      <c r="M269" t="s">
        <v>59</v>
      </c>
      <c r="N269" t="s">
        <v>45</v>
      </c>
      <c r="O269">
        <v>5</v>
      </c>
      <c r="P269" t="s">
        <v>12</v>
      </c>
      <c r="Q269">
        <v>12.8</v>
      </c>
    </row>
    <row r="270" spans="1:17">
      <c r="A270">
        <v>794</v>
      </c>
      <c r="B270" t="s">
        <v>33</v>
      </c>
      <c r="C270">
        <v>0.57499999999999996</v>
      </c>
      <c r="D270">
        <v>0.45</v>
      </c>
      <c r="E270">
        <v>0.16500000000000001</v>
      </c>
      <c r="F270">
        <v>0.92149999999999999</v>
      </c>
      <c r="G270">
        <v>0.32750000000000001</v>
      </c>
      <c r="H270">
        <v>0.22500000000000001</v>
      </c>
      <c r="I270">
        <v>0.25600000000000001</v>
      </c>
      <c r="J270">
        <v>12</v>
      </c>
      <c r="K270">
        <v>14</v>
      </c>
      <c r="L270" t="s">
        <v>72</v>
      </c>
      <c r="M270" t="s">
        <v>73</v>
      </c>
      <c r="N270" t="s">
        <v>74</v>
      </c>
      <c r="O270">
        <v>1</v>
      </c>
      <c r="P270" t="s">
        <v>4</v>
      </c>
      <c r="Q270">
        <v>22.1</v>
      </c>
    </row>
    <row r="271" spans="1:17">
      <c r="A271">
        <v>1251</v>
      </c>
      <c r="B271" t="s">
        <v>33</v>
      </c>
      <c r="C271">
        <v>0.4</v>
      </c>
      <c r="D271">
        <v>0.28999999999999998</v>
      </c>
      <c r="E271">
        <v>0.1</v>
      </c>
      <c r="F271">
        <v>0.26750000000000002</v>
      </c>
      <c r="G271">
        <v>0.1205</v>
      </c>
      <c r="H271">
        <v>6.0499999999999998E-2</v>
      </c>
      <c r="I271">
        <v>7.6499999999999999E-2</v>
      </c>
      <c r="J271">
        <v>5</v>
      </c>
      <c r="K271">
        <v>14</v>
      </c>
      <c r="L271" t="s">
        <v>72</v>
      </c>
      <c r="M271" t="s">
        <v>73</v>
      </c>
      <c r="N271" t="s">
        <v>74</v>
      </c>
      <c r="O271">
        <v>7</v>
      </c>
      <c r="P271" t="s">
        <v>6</v>
      </c>
      <c r="Q271">
        <v>2.5</v>
      </c>
    </row>
    <row r="272" spans="1:17">
      <c r="A272">
        <v>2496</v>
      </c>
      <c r="B272" t="s">
        <v>33</v>
      </c>
      <c r="C272">
        <v>0.45</v>
      </c>
      <c r="D272">
        <v>0.36</v>
      </c>
      <c r="E272">
        <v>0.16</v>
      </c>
      <c r="F272">
        <v>0.56699999999999995</v>
      </c>
      <c r="G272">
        <v>0.17399999999999999</v>
      </c>
      <c r="H272">
        <v>0.1245</v>
      </c>
      <c r="I272">
        <v>0.22500000000000001</v>
      </c>
      <c r="J272">
        <v>12</v>
      </c>
      <c r="K272">
        <v>14</v>
      </c>
      <c r="L272" t="s">
        <v>72</v>
      </c>
      <c r="M272" t="s">
        <v>73</v>
      </c>
      <c r="N272" t="s">
        <v>74</v>
      </c>
      <c r="O272">
        <v>3</v>
      </c>
      <c r="P272" t="s">
        <v>10</v>
      </c>
      <c r="Q272">
        <v>3.6</v>
      </c>
    </row>
    <row r="273" spans="1:17">
      <c r="A273">
        <v>2446</v>
      </c>
      <c r="B273" t="s">
        <v>33</v>
      </c>
      <c r="C273">
        <v>0.5</v>
      </c>
      <c r="D273">
        <v>0.38</v>
      </c>
      <c r="E273">
        <v>0.13500000000000001</v>
      </c>
      <c r="F273">
        <v>0.58350000000000002</v>
      </c>
      <c r="G273">
        <v>0.22950000000000001</v>
      </c>
      <c r="H273">
        <v>0.1265</v>
      </c>
      <c r="I273">
        <v>0.18</v>
      </c>
      <c r="J273">
        <v>12</v>
      </c>
      <c r="K273">
        <v>11</v>
      </c>
      <c r="L273" t="s">
        <v>65</v>
      </c>
      <c r="M273" t="s">
        <v>66</v>
      </c>
      <c r="N273" t="s">
        <v>45</v>
      </c>
      <c r="O273">
        <v>6</v>
      </c>
      <c r="P273" t="s">
        <v>7</v>
      </c>
      <c r="Q273">
        <v>14.1</v>
      </c>
    </row>
    <row r="274" spans="1:17">
      <c r="A274">
        <v>2124</v>
      </c>
      <c r="B274" t="s">
        <v>33</v>
      </c>
      <c r="C274">
        <v>0.28999999999999998</v>
      </c>
      <c r="D274">
        <v>0.21</v>
      </c>
      <c r="E274">
        <v>7.4999999999999997E-2</v>
      </c>
      <c r="F274">
        <v>0.27500000000000002</v>
      </c>
      <c r="G274">
        <v>0.113</v>
      </c>
      <c r="H274">
        <v>6.7500000000000004E-2</v>
      </c>
      <c r="I274">
        <v>3.5000000000000003E-2</v>
      </c>
      <c r="J274">
        <v>6</v>
      </c>
      <c r="K274">
        <v>3</v>
      </c>
      <c r="L274" t="s">
        <v>52</v>
      </c>
      <c r="M274" t="s">
        <v>53</v>
      </c>
      <c r="N274" t="s">
        <v>54</v>
      </c>
      <c r="O274">
        <v>3</v>
      </c>
      <c r="P274" t="s">
        <v>10</v>
      </c>
      <c r="Q274">
        <v>3.6</v>
      </c>
    </row>
    <row r="275" spans="1:17">
      <c r="A275">
        <v>323</v>
      </c>
      <c r="B275" t="s">
        <v>33</v>
      </c>
      <c r="C275">
        <v>0.38500000000000001</v>
      </c>
      <c r="D275">
        <v>0.31</v>
      </c>
      <c r="E275">
        <v>0.1</v>
      </c>
      <c r="F275">
        <v>0.28449999999999998</v>
      </c>
      <c r="G275">
        <v>0.1065</v>
      </c>
      <c r="H275">
        <v>7.4999999999999997E-2</v>
      </c>
      <c r="I275">
        <v>0.1</v>
      </c>
      <c r="J275">
        <v>11</v>
      </c>
      <c r="K275">
        <v>5</v>
      </c>
      <c r="L275" t="s">
        <v>67</v>
      </c>
      <c r="M275" t="s">
        <v>68</v>
      </c>
      <c r="N275" t="s">
        <v>69</v>
      </c>
      <c r="O275">
        <v>6</v>
      </c>
      <c r="P275" t="s">
        <v>7</v>
      </c>
      <c r="Q275">
        <v>14.1</v>
      </c>
    </row>
    <row r="276" spans="1:17">
      <c r="A276">
        <v>2575</v>
      </c>
      <c r="B276" t="s">
        <v>33</v>
      </c>
      <c r="C276">
        <v>0.48</v>
      </c>
      <c r="D276">
        <v>0.37</v>
      </c>
      <c r="E276">
        <v>0.1</v>
      </c>
      <c r="F276">
        <v>0.51349999999999996</v>
      </c>
      <c r="G276">
        <v>0.24299999999999999</v>
      </c>
      <c r="H276">
        <v>0.10150000000000001</v>
      </c>
      <c r="I276">
        <v>0.13500000000000001</v>
      </c>
      <c r="J276">
        <v>8</v>
      </c>
      <c r="K276">
        <v>14</v>
      </c>
      <c r="L276" t="s">
        <v>72</v>
      </c>
      <c r="M276" t="s">
        <v>73</v>
      </c>
      <c r="N276" t="s">
        <v>74</v>
      </c>
      <c r="O276">
        <v>9</v>
      </c>
      <c r="P276" t="s">
        <v>9</v>
      </c>
      <c r="Q276">
        <v>1.9</v>
      </c>
    </row>
    <row r="277" spans="1:17">
      <c r="A277">
        <v>1885</v>
      </c>
      <c r="B277" t="s">
        <v>33</v>
      </c>
      <c r="C277">
        <v>0.55500000000000005</v>
      </c>
      <c r="D277">
        <v>0.4</v>
      </c>
      <c r="E277">
        <v>0.13</v>
      </c>
      <c r="F277">
        <v>0.70750000000000002</v>
      </c>
      <c r="G277">
        <v>0.33200000000000002</v>
      </c>
      <c r="H277">
        <v>0.1585</v>
      </c>
      <c r="I277">
        <v>0.18</v>
      </c>
      <c r="J277">
        <v>7</v>
      </c>
      <c r="K277">
        <v>14</v>
      </c>
      <c r="L277" t="s">
        <v>72</v>
      </c>
      <c r="M277" t="s">
        <v>73</v>
      </c>
      <c r="N277" t="s">
        <v>74</v>
      </c>
      <c r="O277">
        <v>1</v>
      </c>
      <c r="P277" t="s">
        <v>4</v>
      </c>
      <c r="Q277">
        <v>22.1</v>
      </c>
    </row>
    <row r="278" spans="1:17">
      <c r="A278">
        <v>3502</v>
      </c>
      <c r="B278" t="s">
        <v>33</v>
      </c>
      <c r="C278">
        <v>0.6</v>
      </c>
      <c r="D278">
        <v>0.47499999999999998</v>
      </c>
      <c r="E278">
        <v>0.16</v>
      </c>
      <c r="F278">
        <v>1.1639999999999999</v>
      </c>
      <c r="G278">
        <v>0.50449999999999995</v>
      </c>
      <c r="H278">
        <v>0.26350000000000001</v>
      </c>
      <c r="I278">
        <v>0.33500000000000002</v>
      </c>
      <c r="J278">
        <v>12</v>
      </c>
      <c r="K278">
        <v>13</v>
      </c>
      <c r="L278" t="s">
        <v>43</v>
      </c>
      <c r="M278" t="s">
        <v>44</v>
      </c>
      <c r="N278" t="s">
        <v>45</v>
      </c>
      <c r="O278">
        <v>7</v>
      </c>
      <c r="P278" t="s">
        <v>6</v>
      </c>
      <c r="Q278">
        <v>2.5</v>
      </c>
    </row>
    <row r="279" spans="1:17">
      <c r="A279">
        <v>1613</v>
      </c>
      <c r="B279" t="s">
        <v>33</v>
      </c>
      <c r="C279">
        <v>0.55000000000000004</v>
      </c>
      <c r="D279">
        <v>0.42499999999999999</v>
      </c>
      <c r="E279">
        <v>0.15</v>
      </c>
      <c r="F279">
        <v>0.63900000000000001</v>
      </c>
      <c r="G279">
        <v>0.26900000000000002</v>
      </c>
      <c r="H279">
        <v>0.13450000000000001</v>
      </c>
      <c r="I279">
        <v>0.217</v>
      </c>
      <c r="J279">
        <v>9</v>
      </c>
      <c r="K279">
        <v>4</v>
      </c>
      <c r="L279" t="s">
        <v>40</v>
      </c>
      <c r="M279" t="s">
        <v>41</v>
      </c>
      <c r="N279" t="s">
        <v>42</v>
      </c>
      <c r="O279">
        <v>7</v>
      </c>
      <c r="P279" t="s">
        <v>6</v>
      </c>
      <c r="Q279">
        <v>2.5</v>
      </c>
    </row>
    <row r="280" spans="1:17">
      <c r="A280">
        <v>2096</v>
      </c>
      <c r="B280" t="s">
        <v>33</v>
      </c>
      <c r="C280">
        <v>0.41499999999999998</v>
      </c>
      <c r="D280">
        <v>0.3</v>
      </c>
      <c r="E280">
        <v>0.1</v>
      </c>
      <c r="F280">
        <v>0.33550000000000002</v>
      </c>
      <c r="G280">
        <v>0.1545</v>
      </c>
      <c r="H280">
        <v>6.8500000000000005E-2</v>
      </c>
      <c r="I280">
        <v>9.5000000000000001E-2</v>
      </c>
      <c r="J280">
        <v>7</v>
      </c>
      <c r="K280">
        <v>14</v>
      </c>
      <c r="L280" t="s">
        <v>72</v>
      </c>
      <c r="M280" t="s">
        <v>73</v>
      </c>
      <c r="N280" t="s">
        <v>74</v>
      </c>
      <c r="O280">
        <v>7</v>
      </c>
      <c r="P280" t="s">
        <v>6</v>
      </c>
      <c r="Q280">
        <v>2.5</v>
      </c>
    </row>
    <row r="281" spans="1:17">
      <c r="A281">
        <v>519</v>
      </c>
      <c r="B281" t="s">
        <v>33</v>
      </c>
      <c r="C281">
        <v>0.32500000000000001</v>
      </c>
      <c r="D281">
        <v>0.23</v>
      </c>
      <c r="E281">
        <v>0.09</v>
      </c>
      <c r="F281">
        <v>0.14699999999999999</v>
      </c>
      <c r="G281">
        <v>0.06</v>
      </c>
      <c r="H281">
        <v>3.4000000000000002E-2</v>
      </c>
      <c r="I281">
        <v>4.4999999999999998E-2</v>
      </c>
      <c r="J281">
        <v>4</v>
      </c>
      <c r="K281">
        <v>4</v>
      </c>
      <c r="L281" t="s">
        <v>40</v>
      </c>
      <c r="M281" t="s">
        <v>41</v>
      </c>
      <c r="N281" t="s">
        <v>42</v>
      </c>
      <c r="O281">
        <v>6</v>
      </c>
      <c r="P281" t="s">
        <v>7</v>
      </c>
      <c r="Q281">
        <v>14.1</v>
      </c>
    </row>
    <row r="282" spans="1:17">
      <c r="A282">
        <v>1106</v>
      </c>
      <c r="B282" t="s">
        <v>33</v>
      </c>
      <c r="C282">
        <v>0.51</v>
      </c>
      <c r="D282">
        <v>0.4</v>
      </c>
      <c r="E282">
        <v>0.125</v>
      </c>
      <c r="F282">
        <v>0.54500000000000004</v>
      </c>
      <c r="G282">
        <v>0.26100000000000001</v>
      </c>
      <c r="H282">
        <v>0.115</v>
      </c>
      <c r="I282">
        <v>0.13850000000000001</v>
      </c>
      <c r="J282">
        <v>6</v>
      </c>
      <c r="K282">
        <v>14</v>
      </c>
      <c r="L282" t="s">
        <v>72</v>
      </c>
      <c r="M282" t="s">
        <v>73</v>
      </c>
      <c r="N282" t="s">
        <v>74</v>
      </c>
      <c r="O282">
        <v>9</v>
      </c>
      <c r="P282" t="s">
        <v>9</v>
      </c>
      <c r="Q282">
        <v>1.9</v>
      </c>
    </row>
    <row r="283" spans="1:17">
      <c r="A283">
        <v>48</v>
      </c>
      <c r="B283" t="s">
        <v>33</v>
      </c>
      <c r="C283">
        <v>0.46</v>
      </c>
      <c r="D283">
        <v>0.375</v>
      </c>
      <c r="E283">
        <v>0.12</v>
      </c>
      <c r="F283">
        <v>0.46050000000000002</v>
      </c>
      <c r="G283">
        <v>0.17749999999999999</v>
      </c>
      <c r="H283">
        <v>0.11</v>
      </c>
      <c r="I283">
        <v>0.15</v>
      </c>
      <c r="J283">
        <v>7</v>
      </c>
      <c r="K283">
        <v>2</v>
      </c>
      <c r="L283" t="s">
        <v>49</v>
      </c>
      <c r="M283" t="s">
        <v>50</v>
      </c>
      <c r="N283" t="s">
        <v>51</v>
      </c>
      <c r="O283">
        <v>4</v>
      </c>
      <c r="P283" t="s">
        <v>8</v>
      </c>
      <c r="Q283">
        <v>6.1</v>
      </c>
    </row>
    <row r="284" spans="1:17">
      <c r="A284">
        <v>4156</v>
      </c>
      <c r="B284" t="s">
        <v>33</v>
      </c>
      <c r="C284">
        <v>0.44</v>
      </c>
      <c r="D284">
        <v>0.35</v>
      </c>
      <c r="E284">
        <v>0.11</v>
      </c>
      <c r="F284">
        <v>0.3805</v>
      </c>
      <c r="G284">
        <v>0.1575</v>
      </c>
      <c r="H284">
        <v>8.9499999999999996E-2</v>
      </c>
      <c r="I284">
        <v>0.115</v>
      </c>
      <c r="J284">
        <v>6</v>
      </c>
      <c r="K284">
        <v>9</v>
      </c>
      <c r="L284" t="s">
        <v>34</v>
      </c>
      <c r="M284" t="s">
        <v>35</v>
      </c>
      <c r="N284" t="s">
        <v>36</v>
      </c>
      <c r="O284">
        <v>2</v>
      </c>
      <c r="P284" t="s">
        <v>5</v>
      </c>
      <c r="Q284">
        <v>18</v>
      </c>
    </row>
    <row r="285" spans="1:17">
      <c r="A285">
        <v>2548</v>
      </c>
      <c r="B285" t="s">
        <v>33</v>
      </c>
      <c r="C285">
        <v>0.23</v>
      </c>
      <c r="D285">
        <v>0.18</v>
      </c>
      <c r="E285">
        <v>0.05</v>
      </c>
      <c r="F285">
        <v>6.4000000000000001E-2</v>
      </c>
      <c r="G285">
        <v>2.1499999999999998E-2</v>
      </c>
      <c r="H285">
        <v>1.35E-2</v>
      </c>
      <c r="I285">
        <v>0.02</v>
      </c>
      <c r="J285">
        <v>5</v>
      </c>
      <c r="K285">
        <v>7</v>
      </c>
      <c r="L285" t="s">
        <v>62</v>
      </c>
      <c r="M285" t="s">
        <v>63</v>
      </c>
      <c r="N285" t="s">
        <v>64</v>
      </c>
      <c r="O285">
        <v>6</v>
      </c>
      <c r="P285" t="s">
        <v>7</v>
      </c>
      <c r="Q285">
        <v>14.1</v>
      </c>
    </row>
    <row r="286" spans="1:17">
      <c r="A286">
        <v>834</v>
      </c>
      <c r="B286" t="s">
        <v>33</v>
      </c>
      <c r="C286">
        <v>0.44500000000000001</v>
      </c>
      <c r="D286">
        <v>0.33500000000000002</v>
      </c>
      <c r="E286">
        <v>0.1</v>
      </c>
      <c r="F286">
        <v>0.48949999999999999</v>
      </c>
      <c r="G286">
        <v>0.27450000000000002</v>
      </c>
      <c r="H286">
        <v>8.5999999999999993E-2</v>
      </c>
      <c r="I286">
        <v>0.1105</v>
      </c>
      <c r="J286">
        <v>7</v>
      </c>
      <c r="K286">
        <v>6</v>
      </c>
      <c r="L286" t="s">
        <v>46</v>
      </c>
      <c r="M286" t="s">
        <v>47</v>
      </c>
      <c r="N286" t="s">
        <v>48</v>
      </c>
      <c r="O286">
        <v>1</v>
      </c>
      <c r="P286" t="s">
        <v>4</v>
      </c>
      <c r="Q286">
        <v>22.1</v>
      </c>
    </row>
    <row r="287" spans="1:17">
      <c r="A287">
        <v>896</v>
      </c>
      <c r="B287" t="s">
        <v>33</v>
      </c>
      <c r="C287">
        <v>0.255</v>
      </c>
      <c r="D287">
        <v>0.19</v>
      </c>
      <c r="E287">
        <v>0.05</v>
      </c>
      <c r="F287">
        <v>8.3000000000000004E-2</v>
      </c>
      <c r="G287">
        <v>2.9499999999999998E-2</v>
      </c>
      <c r="H287">
        <v>2.1499999999999998E-2</v>
      </c>
      <c r="I287">
        <v>2.7E-2</v>
      </c>
      <c r="J287">
        <v>6</v>
      </c>
      <c r="K287">
        <v>15</v>
      </c>
      <c r="L287" t="s">
        <v>60</v>
      </c>
      <c r="M287" t="s">
        <v>61</v>
      </c>
      <c r="N287" t="s">
        <v>45</v>
      </c>
      <c r="O287">
        <v>4</v>
      </c>
      <c r="P287" t="s">
        <v>8</v>
      </c>
      <c r="Q287">
        <v>6.1</v>
      </c>
    </row>
    <row r="288" spans="1:17">
      <c r="A288">
        <v>4110</v>
      </c>
      <c r="B288" t="s">
        <v>33</v>
      </c>
      <c r="C288">
        <v>0.48</v>
      </c>
      <c r="D288">
        <v>0.36499999999999999</v>
      </c>
      <c r="E288">
        <v>0.13</v>
      </c>
      <c r="F288">
        <v>0.53049999999999997</v>
      </c>
      <c r="G288">
        <v>0.24049999999999999</v>
      </c>
      <c r="H288">
        <v>0.127</v>
      </c>
      <c r="I288">
        <v>0.13900000000000001</v>
      </c>
      <c r="J288">
        <v>8</v>
      </c>
      <c r="K288">
        <v>2</v>
      </c>
      <c r="L288" t="s">
        <v>49</v>
      </c>
      <c r="M288" t="s">
        <v>50</v>
      </c>
      <c r="N288" t="s">
        <v>51</v>
      </c>
      <c r="O288">
        <v>4</v>
      </c>
      <c r="P288" t="s">
        <v>8</v>
      </c>
      <c r="Q288">
        <v>6.1</v>
      </c>
    </row>
    <row r="289" spans="1:17">
      <c r="A289">
        <v>147</v>
      </c>
      <c r="B289" t="s">
        <v>17</v>
      </c>
      <c r="C289">
        <v>0.46</v>
      </c>
      <c r="D289">
        <v>0.35</v>
      </c>
      <c r="E289">
        <v>0.12</v>
      </c>
      <c r="F289">
        <v>0.51500000000000001</v>
      </c>
      <c r="G289">
        <v>0.224</v>
      </c>
      <c r="H289">
        <v>0.108</v>
      </c>
      <c r="I289">
        <v>0.1565</v>
      </c>
      <c r="J289">
        <v>10</v>
      </c>
      <c r="K289">
        <v>1</v>
      </c>
      <c r="L289" t="s">
        <v>70</v>
      </c>
      <c r="M289" t="s">
        <v>71</v>
      </c>
      <c r="N289" t="s">
        <v>45</v>
      </c>
      <c r="O289">
        <v>6</v>
      </c>
      <c r="P289" t="s">
        <v>7</v>
      </c>
      <c r="Q289">
        <v>14.1</v>
      </c>
    </row>
    <row r="290" spans="1:17">
      <c r="A290">
        <v>2023</v>
      </c>
      <c r="B290" t="s">
        <v>75</v>
      </c>
      <c r="C290">
        <v>0.53</v>
      </c>
      <c r="D290">
        <v>0.43</v>
      </c>
      <c r="E290">
        <v>0.15</v>
      </c>
      <c r="F290">
        <v>0.74099999999999999</v>
      </c>
      <c r="G290">
        <v>0.32500000000000001</v>
      </c>
      <c r="H290">
        <v>0.1855</v>
      </c>
      <c r="I290">
        <v>0.19600000000000001</v>
      </c>
      <c r="J290">
        <v>9</v>
      </c>
      <c r="K290">
        <v>4</v>
      </c>
      <c r="L290" t="s">
        <v>40</v>
      </c>
      <c r="M290" t="s">
        <v>41</v>
      </c>
      <c r="N290" t="s">
        <v>42</v>
      </c>
      <c r="O290">
        <v>3</v>
      </c>
      <c r="P290" t="s">
        <v>10</v>
      </c>
      <c r="Q290">
        <v>3.6</v>
      </c>
    </row>
    <row r="291" spans="1:17">
      <c r="A291">
        <v>2873</v>
      </c>
      <c r="B291" t="s">
        <v>75</v>
      </c>
      <c r="C291">
        <v>0.4</v>
      </c>
      <c r="D291">
        <v>0.315</v>
      </c>
      <c r="E291">
        <v>0.09</v>
      </c>
      <c r="F291">
        <v>0.32450000000000001</v>
      </c>
      <c r="G291">
        <v>0.151</v>
      </c>
      <c r="H291">
        <v>7.2999999999999995E-2</v>
      </c>
      <c r="I291">
        <v>8.7999999999999995E-2</v>
      </c>
      <c r="J291">
        <v>8</v>
      </c>
      <c r="K291">
        <v>3</v>
      </c>
      <c r="L291" t="s">
        <v>52</v>
      </c>
      <c r="M291" t="s">
        <v>53</v>
      </c>
      <c r="N291" t="s">
        <v>54</v>
      </c>
      <c r="O291">
        <v>5</v>
      </c>
      <c r="P291" t="s">
        <v>12</v>
      </c>
      <c r="Q291">
        <v>12.8</v>
      </c>
    </row>
    <row r="292" spans="1:17">
      <c r="A292">
        <v>3819</v>
      </c>
      <c r="B292" t="s">
        <v>75</v>
      </c>
      <c r="C292">
        <v>0.56499999999999995</v>
      </c>
      <c r="D292">
        <v>0.44500000000000001</v>
      </c>
      <c r="E292">
        <v>0.14000000000000001</v>
      </c>
      <c r="F292">
        <v>0.83599999999999997</v>
      </c>
      <c r="G292">
        <v>0.40600000000000003</v>
      </c>
      <c r="H292">
        <v>0.1605</v>
      </c>
      <c r="I292">
        <v>0.22450000000000001</v>
      </c>
      <c r="J292">
        <v>9</v>
      </c>
      <c r="K292">
        <v>12</v>
      </c>
      <c r="L292" t="s">
        <v>58</v>
      </c>
      <c r="M292" t="s">
        <v>59</v>
      </c>
      <c r="N292" t="s">
        <v>45</v>
      </c>
      <c r="O292">
        <v>4</v>
      </c>
      <c r="P292" t="s">
        <v>8</v>
      </c>
      <c r="Q292">
        <v>6.1</v>
      </c>
    </row>
    <row r="293" spans="1:17">
      <c r="A293">
        <v>152</v>
      </c>
      <c r="B293" t="s">
        <v>75</v>
      </c>
      <c r="C293">
        <v>0.60499999999999998</v>
      </c>
      <c r="D293">
        <v>0.5</v>
      </c>
      <c r="E293">
        <v>0.185</v>
      </c>
      <c r="F293">
        <v>1.1185</v>
      </c>
      <c r="G293">
        <v>0.46899999999999997</v>
      </c>
      <c r="H293">
        <v>0.25850000000000001</v>
      </c>
      <c r="I293">
        <v>0.33500000000000002</v>
      </c>
      <c r="J293">
        <v>9</v>
      </c>
      <c r="K293">
        <v>12</v>
      </c>
      <c r="L293" t="s">
        <v>58</v>
      </c>
      <c r="M293" t="s">
        <v>59</v>
      </c>
      <c r="N293" t="s">
        <v>45</v>
      </c>
      <c r="O293">
        <v>1</v>
      </c>
      <c r="P293" t="s">
        <v>4</v>
      </c>
      <c r="Q293">
        <v>22.1</v>
      </c>
    </row>
    <row r="294" spans="1:17">
      <c r="A294">
        <v>1537</v>
      </c>
      <c r="B294" t="s">
        <v>75</v>
      </c>
      <c r="C294">
        <v>0.33500000000000002</v>
      </c>
      <c r="D294">
        <v>0.255</v>
      </c>
      <c r="E294">
        <v>0.08</v>
      </c>
      <c r="F294">
        <v>0.16800000000000001</v>
      </c>
      <c r="G294">
        <v>7.9000000000000001E-2</v>
      </c>
      <c r="H294">
        <v>3.5499999999999997E-2</v>
      </c>
      <c r="I294">
        <v>0.05</v>
      </c>
      <c r="J294">
        <v>5</v>
      </c>
      <c r="K294">
        <v>14</v>
      </c>
      <c r="L294" t="s">
        <v>72</v>
      </c>
      <c r="M294" t="s">
        <v>73</v>
      </c>
      <c r="N294" t="s">
        <v>74</v>
      </c>
      <c r="O294">
        <v>1</v>
      </c>
      <c r="P294" t="s">
        <v>4</v>
      </c>
      <c r="Q294">
        <v>22.1</v>
      </c>
    </row>
    <row r="295" spans="1:17">
      <c r="A295">
        <v>4031</v>
      </c>
      <c r="B295" t="s">
        <v>75</v>
      </c>
      <c r="C295">
        <v>0.435</v>
      </c>
      <c r="D295">
        <v>0.32500000000000001</v>
      </c>
      <c r="E295">
        <v>0.1</v>
      </c>
      <c r="F295">
        <v>0.36599999999999999</v>
      </c>
      <c r="G295">
        <v>0.17399999999999999</v>
      </c>
      <c r="H295">
        <v>7.2499999999999995E-2</v>
      </c>
      <c r="I295">
        <v>0.109</v>
      </c>
      <c r="J295">
        <v>7</v>
      </c>
      <c r="K295">
        <v>12</v>
      </c>
      <c r="L295" t="s">
        <v>58</v>
      </c>
      <c r="M295" t="s">
        <v>59</v>
      </c>
      <c r="N295" t="s">
        <v>45</v>
      </c>
      <c r="O295">
        <v>1</v>
      </c>
      <c r="P295" t="s">
        <v>4</v>
      </c>
      <c r="Q295">
        <v>22.1</v>
      </c>
    </row>
    <row r="296" spans="1:17">
      <c r="A296">
        <v>4115</v>
      </c>
      <c r="B296" t="s">
        <v>75</v>
      </c>
      <c r="C296">
        <v>0.56999999999999995</v>
      </c>
      <c r="D296">
        <v>0.45</v>
      </c>
      <c r="E296">
        <v>0.15</v>
      </c>
      <c r="F296">
        <v>0.96450000000000002</v>
      </c>
      <c r="G296">
        <v>0.53100000000000003</v>
      </c>
      <c r="H296">
        <v>0.189</v>
      </c>
      <c r="I296">
        <v>0.20899999999999999</v>
      </c>
      <c r="J296">
        <v>9</v>
      </c>
      <c r="K296">
        <v>5</v>
      </c>
      <c r="L296" t="s">
        <v>67</v>
      </c>
      <c r="M296" t="s">
        <v>68</v>
      </c>
      <c r="N296" t="s">
        <v>69</v>
      </c>
      <c r="O296">
        <v>8</v>
      </c>
      <c r="P296" t="s">
        <v>13</v>
      </c>
      <c r="Q296">
        <v>12.3</v>
      </c>
    </row>
    <row r="297" spans="1:17">
      <c r="A297">
        <v>3222</v>
      </c>
      <c r="B297" t="s">
        <v>75</v>
      </c>
      <c r="C297">
        <v>0.38500000000000001</v>
      </c>
      <c r="D297">
        <v>0.30499999999999999</v>
      </c>
      <c r="E297">
        <v>0.09</v>
      </c>
      <c r="F297">
        <v>0.27750000000000002</v>
      </c>
      <c r="G297">
        <v>0.109</v>
      </c>
      <c r="H297">
        <v>5.1499999999999997E-2</v>
      </c>
      <c r="I297">
        <v>0.1</v>
      </c>
      <c r="J297">
        <v>9</v>
      </c>
      <c r="K297">
        <v>5</v>
      </c>
      <c r="L297" t="s">
        <v>67</v>
      </c>
      <c r="M297" t="s">
        <v>68</v>
      </c>
      <c r="N297" t="s">
        <v>69</v>
      </c>
      <c r="O297">
        <v>7</v>
      </c>
      <c r="P297" t="s">
        <v>6</v>
      </c>
      <c r="Q297">
        <v>2.5</v>
      </c>
    </row>
    <row r="298" spans="1:17">
      <c r="A298">
        <v>1281</v>
      </c>
      <c r="B298" t="s">
        <v>75</v>
      </c>
      <c r="C298">
        <v>0.495</v>
      </c>
      <c r="D298">
        <v>0.39500000000000002</v>
      </c>
      <c r="E298">
        <v>0.12</v>
      </c>
      <c r="F298">
        <v>0.55300000000000005</v>
      </c>
      <c r="G298">
        <v>0.224</v>
      </c>
      <c r="H298">
        <v>0.13750000000000001</v>
      </c>
      <c r="I298">
        <v>0.16700000000000001</v>
      </c>
      <c r="J298">
        <v>8</v>
      </c>
      <c r="K298">
        <v>15</v>
      </c>
      <c r="L298" t="s">
        <v>60</v>
      </c>
      <c r="M298" t="s">
        <v>61</v>
      </c>
      <c r="N298" t="s">
        <v>45</v>
      </c>
      <c r="O298">
        <v>6</v>
      </c>
      <c r="P298" t="s">
        <v>7</v>
      </c>
      <c r="Q298">
        <v>14.1</v>
      </c>
    </row>
    <row r="299" spans="1:17">
      <c r="A299">
        <v>1617</v>
      </c>
      <c r="B299" t="s">
        <v>75</v>
      </c>
      <c r="C299">
        <v>0.55500000000000005</v>
      </c>
      <c r="D299">
        <v>0.39500000000000002</v>
      </c>
      <c r="E299">
        <v>0.13</v>
      </c>
      <c r="F299">
        <v>0.5585</v>
      </c>
      <c r="G299">
        <v>0.222</v>
      </c>
      <c r="H299">
        <v>0.1245</v>
      </c>
      <c r="I299">
        <v>0.17</v>
      </c>
      <c r="J299">
        <v>9</v>
      </c>
      <c r="K299">
        <v>10</v>
      </c>
      <c r="L299" t="s">
        <v>37</v>
      </c>
      <c r="M299" t="s">
        <v>38</v>
      </c>
      <c r="N299" t="s">
        <v>39</v>
      </c>
      <c r="O299">
        <v>9</v>
      </c>
      <c r="P299" t="s">
        <v>9</v>
      </c>
      <c r="Q299">
        <v>1.9</v>
      </c>
    </row>
    <row r="300" spans="1:17">
      <c r="A300">
        <v>3654</v>
      </c>
      <c r="B300" t="s">
        <v>75</v>
      </c>
      <c r="C300">
        <v>0.53</v>
      </c>
      <c r="D300">
        <v>0.42499999999999999</v>
      </c>
      <c r="E300">
        <v>0.13</v>
      </c>
      <c r="F300">
        <v>0.78100000000000003</v>
      </c>
      <c r="G300">
        <v>0.39050000000000001</v>
      </c>
      <c r="H300">
        <v>0.20050000000000001</v>
      </c>
      <c r="I300">
        <v>0.215</v>
      </c>
      <c r="J300">
        <v>9</v>
      </c>
      <c r="K300">
        <v>3</v>
      </c>
      <c r="L300" t="s">
        <v>52</v>
      </c>
      <c r="M300" t="s">
        <v>53</v>
      </c>
      <c r="N300" t="s">
        <v>54</v>
      </c>
      <c r="O300">
        <v>2</v>
      </c>
      <c r="P300" t="s">
        <v>5</v>
      </c>
      <c r="Q300">
        <v>18</v>
      </c>
    </row>
    <row r="301" spans="1:17">
      <c r="A301">
        <v>2024</v>
      </c>
      <c r="B301" t="s">
        <v>75</v>
      </c>
      <c r="C301">
        <v>0.53</v>
      </c>
      <c r="D301">
        <v>0.40500000000000003</v>
      </c>
      <c r="E301">
        <v>0.13</v>
      </c>
      <c r="F301">
        <v>0.63549999999999995</v>
      </c>
      <c r="G301">
        <v>0.26350000000000001</v>
      </c>
      <c r="H301">
        <v>0.1565</v>
      </c>
      <c r="I301">
        <v>0.185</v>
      </c>
      <c r="J301">
        <v>9</v>
      </c>
      <c r="K301">
        <v>14</v>
      </c>
      <c r="L301" t="s">
        <v>72</v>
      </c>
      <c r="M301" t="s">
        <v>73</v>
      </c>
      <c r="N301" t="s">
        <v>74</v>
      </c>
      <c r="O301">
        <v>2</v>
      </c>
      <c r="P301" t="s">
        <v>5</v>
      </c>
      <c r="Q301">
        <v>18</v>
      </c>
    </row>
    <row r="302" spans="1:17">
      <c r="A302">
        <v>3099</v>
      </c>
      <c r="B302" t="s">
        <v>75</v>
      </c>
      <c r="C302">
        <v>0.55000000000000004</v>
      </c>
      <c r="D302">
        <v>0.43</v>
      </c>
      <c r="E302">
        <v>0.15</v>
      </c>
      <c r="F302">
        <v>0.65500000000000003</v>
      </c>
      <c r="G302">
        <v>0.26350000000000001</v>
      </c>
      <c r="H302">
        <v>0.122</v>
      </c>
      <c r="I302">
        <v>0.221</v>
      </c>
      <c r="J302">
        <v>8</v>
      </c>
      <c r="K302">
        <v>14</v>
      </c>
      <c r="L302" t="s">
        <v>72</v>
      </c>
      <c r="M302" t="s">
        <v>73</v>
      </c>
      <c r="N302" t="s">
        <v>74</v>
      </c>
      <c r="O302">
        <v>4</v>
      </c>
      <c r="P302" t="s">
        <v>8</v>
      </c>
      <c r="Q302">
        <v>6.1</v>
      </c>
    </row>
    <row r="303" spans="1:17">
      <c r="A303">
        <v>2490</v>
      </c>
      <c r="B303" t="s">
        <v>75</v>
      </c>
      <c r="C303">
        <v>0.49</v>
      </c>
      <c r="D303">
        <v>0.39</v>
      </c>
      <c r="E303">
        <v>0.13500000000000001</v>
      </c>
      <c r="F303">
        <v>0.59199999999999997</v>
      </c>
      <c r="G303">
        <v>0.24199999999999999</v>
      </c>
      <c r="H303">
        <v>9.6000000000000002E-2</v>
      </c>
      <c r="I303">
        <v>0.1835</v>
      </c>
      <c r="J303">
        <v>15</v>
      </c>
      <c r="K303">
        <v>2</v>
      </c>
      <c r="L303" t="s">
        <v>49</v>
      </c>
      <c r="M303" t="s">
        <v>50</v>
      </c>
      <c r="N303" t="s">
        <v>51</v>
      </c>
      <c r="O303">
        <v>1</v>
      </c>
      <c r="P303" t="s">
        <v>4</v>
      </c>
      <c r="Q303">
        <v>22.1</v>
      </c>
    </row>
    <row r="304" spans="1:17">
      <c r="A304">
        <v>2549</v>
      </c>
      <c r="B304" t="s">
        <v>75</v>
      </c>
      <c r="C304">
        <v>0.27500000000000002</v>
      </c>
      <c r="D304">
        <v>0.19500000000000001</v>
      </c>
      <c r="E304">
        <v>7.0000000000000007E-2</v>
      </c>
      <c r="F304">
        <v>8.7499999999999994E-2</v>
      </c>
      <c r="G304">
        <v>3.4500000000000003E-2</v>
      </c>
      <c r="H304">
        <v>2.1999999999999999E-2</v>
      </c>
      <c r="I304">
        <v>2.5499999999999998E-2</v>
      </c>
      <c r="J304">
        <v>4</v>
      </c>
      <c r="K304">
        <v>6</v>
      </c>
      <c r="L304" t="s">
        <v>46</v>
      </c>
      <c r="M304" t="s">
        <v>47</v>
      </c>
      <c r="N304" t="s">
        <v>48</v>
      </c>
      <c r="O304">
        <v>5</v>
      </c>
      <c r="P304" t="s">
        <v>12</v>
      </c>
      <c r="Q304">
        <v>12.8</v>
      </c>
    </row>
    <row r="305" spans="1:17">
      <c r="A305">
        <v>753</v>
      </c>
      <c r="B305" t="s">
        <v>75</v>
      </c>
      <c r="C305">
        <v>0.60499999999999998</v>
      </c>
      <c r="D305">
        <v>0.46</v>
      </c>
      <c r="E305">
        <v>0.17</v>
      </c>
      <c r="F305">
        <v>1.1220000000000001</v>
      </c>
      <c r="G305">
        <v>0.34699999999999998</v>
      </c>
      <c r="H305">
        <v>0.30449999999999999</v>
      </c>
      <c r="I305">
        <v>0.315</v>
      </c>
      <c r="J305">
        <v>13</v>
      </c>
      <c r="K305">
        <v>15</v>
      </c>
      <c r="L305" t="s">
        <v>60</v>
      </c>
      <c r="M305" t="s">
        <v>61</v>
      </c>
      <c r="N305" t="s">
        <v>45</v>
      </c>
      <c r="O305">
        <v>4</v>
      </c>
      <c r="P305" t="s">
        <v>8</v>
      </c>
      <c r="Q305">
        <v>6.1</v>
      </c>
    </row>
    <row r="306" spans="1:17">
      <c r="A306">
        <v>1550</v>
      </c>
      <c r="B306" t="s">
        <v>75</v>
      </c>
      <c r="C306">
        <v>0.38500000000000001</v>
      </c>
      <c r="D306">
        <v>0.28000000000000003</v>
      </c>
      <c r="E306">
        <v>9.5000000000000001E-2</v>
      </c>
      <c r="F306">
        <v>0.25700000000000001</v>
      </c>
      <c r="G306">
        <v>0.11899999999999999</v>
      </c>
      <c r="H306">
        <v>5.8999999999999997E-2</v>
      </c>
      <c r="I306">
        <v>7.0000000000000007E-2</v>
      </c>
      <c r="J306">
        <v>7</v>
      </c>
      <c r="K306">
        <v>4</v>
      </c>
      <c r="L306" t="s">
        <v>40</v>
      </c>
      <c r="M306" t="s">
        <v>41</v>
      </c>
      <c r="N306" t="s">
        <v>42</v>
      </c>
      <c r="O306">
        <v>10</v>
      </c>
      <c r="P306" t="s">
        <v>11</v>
      </c>
      <c r="Q306">
        <v>24.1</v>
      </c>
    </row>
    <row r="307" spans="1:17">
      <c r="A307">
        <v>4153</v>
      </c>
      <c r="B307" t="s">
        <v>75</v>
      </c>
      <c r="C307">
        <v>0.37</v>
      </c>
      <c r="D307">
        <v>0.28000000000000003</v>
      </c>
      <c r="E307">
        <v>0.09</v>
      </c>
      <c r="F307">
        <v>0.218</v>
      </c>
      <c r="G307">
        <v>9.9500000000000005E-2</v>
      </c>
      <c r="H307">
        <v>5.45E-2</v>
      </c>
      <c r="I307">
        <v>6.1499999999999999E-2</v>
      </c>
      <c r="J307">
        <v>7</v>
      </c>
      <c r="K307">
        <v>8</v>
      </c>
      <c r="L307" t="s">
        <v>55</v>
      </c>
      <c r="M307" t="s">
        <v>56</v>
      </c>
      <c r="N307" t="s">
        <v>57</v>
      </c>
      <c r="O307">
        <v>8</v>
      </c>
      <c r="P307" t="s">
        <v>13</v>
      </c>
      <c r="Q307">
        <v>12.3</v>
      </c>
    </row>
    <row r="308" spans="1:17">
      <c r="A308">
        <v>1777</v>
      </c>
      <c r="B308" t="s">
        <v>75</v>
      </c>
      <c r="C308">
        <v>0.48499999999999999</v>
      </c>
      <c r="D308">
        <v>0.37</v>
      </c>
      <c r="E308">
        <v>0.155</v>
      </c>
      <c r="F308">
        <v>0.96799999999999997</v>
      </c>
      <c r="G308">
        <v>0.41899999999999998</v>
      </c>
      <c r="H308">
        <v>0.2455</v>
      </c>
      <c r="I308">
        <v>0.23649999999999999</v>
      </c>
      <c r="J308">
        <v>9</v>
      </c>
      <c r="K308">
        <v>2</v>
      </c>
      <c r="L308" t="s">
        <v>49</v>
      </c>
      <c r="M308" t="s">
        <v>50</v>
      </c>
      <c r="N308" t="s">
        <v>51</v>
      </c>
      <c r="O308">
        <v>6</v>
      </c>
      <c r="P308" t="s">
        <v>7</v>
      </c>
      <c r="Q308">
        <v>14.1</v>
      </c>
    </row>
    <row r="309" spans="1:17">
      <c r="A309">
        <v>2778</v>
      </c>
      <c r="B309" t="s">
        <v>75</v>
      </c>
      <c r="C309">
        <v>0.58499999999999996</v>
      </c>
      <c r="D309">
        <v>0.42</v>
      </c>
      <c r="E309">
        <v>0.14499999999999999</v>
      </c>
      <c r="F309">
        <v>0.67349999999999999</v>
      </c>
      <c r="G309">
        <v>0.28949999999999998</v>
      </c>
      <c r="H309">
        <v>0.13450000000000001</v>
      </c>
      <c r="I309">
        <v>0.22</v>
      </c>
      <c r="J309">
        <v>9</v>
      </c>
      <c r="K309">
        <v>15</v>
      </c>
      <c r="L309" t="s">
        <v>60</v>
      </c>
      <c r="M309" t="s">
        <v>61</v>
      </c>
      <c r="N309" t="s">
        <v>45</v>
      </c>
      <c r="O309">
        <v>5</v>
      </c>
      <c r="P309" t="s">
        <v>12</v>
      </c>
      <c r="Q309">
        <v>12.8</v>
      </c>
    </row>
    <row r="310" spans="1:17">
      <c r="A310">
        <v>976</v>
      </c>
      <c r="B310" t="s">
        <v>75</v>
      </c>
      <c r="C310">
        <v>0.53</v>
      </c>
      <c r="D310">
        <v>0.42499999999999999</v>
      </c>
      <c r="E310">
        <v>0.15</v>
      </c>
      <c r="F310">
        <v>0.84950000000000003</v>
      </c>
      <c r="G310">
        <v>0.32800000000000001</v>
      </c>
      <c r="H310">
        <v>0.23200000000000001</v>
      </c>
      <c r="I310">
        <v>0.20200000000000001</v>
      </c>
      <c r="J310">
        <v>8</v>
      </c>
      <c r="K310">
        <v>14</v>
      </c>
      <c r="L310" t="s">
        <v>72</v>
      </c>
      <c r="M310" t="s">
        <v>73</v>
      </c>
      <c r="N310" t="s">
        <v>74</v>
      </c>
      <c r="O310">
        <v>9</v>
      </c>
      <c r="P310" t="s">
        <v>9</v>
      </c>
      <c r="Q310">
        <v>1.9</v>
      </c>
    </row>
    <row r="311" spans="1:17">
      <c r="A311">
        <v>638</v>
      </c>
      <c r="B311" t="s">
        <v>75</v>
      </c>
      <c r="C311">
        <v>0.35499999999999998</v>
      </c>
      <c r="D311">
        <v>0.26</v>
      </c>
      <c r="E311">
        <v>8.5000000000000006E-2</v>
      </c>
      <c r="F311">
        <v>0.1905</v>
      </c>
      <c r="G311">
        <v>8.1000000000000003E-2</v>
      </c>
      <c r="H311">
        <v>4.8500000000000001E-2</v>
      </c>
      <c r="I311">
        <v>5.5E-2</v>
      </c>
      <c r="J311">
        <v>6</v>
      </c>
      <c r="K311">
        <v>4</v>
      </c>
      <c r="L311" t="s">
        <v>40</v>
      </c>
      <c r="M311" t="s">
        <v>41</v>
      </c>
      <c r="N311" t="s">
        <v>42</v>
      </c>
      <c r="O311">
        <v>6</v>
      </c>
      <c r="P311" t="s">
        <v>7</v>
      </c>
      <c r="Q311">
        <v>14.1</v>
      </c>
    </row>
    <row r="312" spans="1:17">
      <c r="A312">
        <v>3233</v>
      </c>
      <c r="B312" t="s">
        <v>75</v>
      </c>
      <c r="C312">
        <v>0.48499999999999999</v>
      </c>
      <c r="D312">
        <v>0.41</v>
      </c>
      <c r="E312">
        <v>0.15</v>
      </c>
      <c r="F312">
        <v>0.69599999999999995</v>
      </c>
      <c r="G312">
        <v>0.24049999999999999</v>
      </c>
      <c r="H312">
        <v>0.16250000000000001</v>
      </c>
      <c r="I312">
        <v>0.26500000000000001</v>
      </c>
      <c r="J312">
        <v>13</v>
      </c>
      <c r="K312">
        <v>10</v>
      </c>
      <c r="L312" t="s">
        <v>37</v>
      </c>
      <c r="M312" t="s">
        <v>38</v>
      </c>
      <c r="N312" t="s">
        <v>39</v>
      </c>
      <c r="O312">
        <v>10</v>
      </c>
      <c r="P312" t="s">
        <v>11</v>
      </c>
      <c r="Q312">
        <v>24.1</v>
      </c>
    </row>
    <row r="313" spans="1:17">
      <c r="A313">
        <v>3635</v>
      </c>
      <c r="B313" t="s">
        <v>75</v>
      </c>
      <c r="C313">
        <v>0.36</v>
      </c>
      <c r="D313">
        <v>0.26500000000000001</v>
      </c>
      <c r="E313">
        <v>8.5000000000000006E-2</v>
      </c>
      <c r="F313">
        <v>0.1895</v>
      </c>
      <c r="G313">
        <v>7.2499999999999995E-2</v>
      </c>
      <c r="H313">
        <v>5.1499999999999997E-2</v>
      </c>
      <c r="I313">
        <v>5.5E-2</v>
      </c>
      <c r="J313">
        <v>6</v>
      </c>
      <c r="K313">
        <v>14</v>
      </c>
      <c r="L313" t="s">
        <v>72</v>
      </c>
      <c r="M313" t="s">
        <v>73</v>
      </c>
      <c r="N313" t="s">
        <v>74</v>
      </c>
      <c r="O313">
        <v>3</v>
      </c>
      <c r="P313" t="s">
        <v>10</v>
      </c>
      <c r="Q313">
        <v>3.6</v>
      </c>
    </row>
    <row r="314" spans="1:17">
      <c r="A314">
        <v>2981</v>
      </c>
      <c r="B314" t="s">
        <v>75</v>
      </c>
      <c r="C314">
        <v>0.5</v>
      </c>
      <c r="D314">
        <v>0.37</v>
      </c>
      <c r="E314">
        <v>0.115</v>
      </c>
      <c r="F314">
        <v>0.57450000000000001</v>
      </c>
      <c r="G314">
        <v>0.30599999999999999</v>
      </c>
      <c r="H314">
        <v>0.112</v>
      </c>
      <c r="I314">
        <v>0.14099999999999999</v>
      </c>
      <c r="J314">
        <v>7</v>
      </c>
      <c r="K314">
        <v>3</v>
      </c>
      <c r="L314" t="s">
        <v>52</v>
      </c>
      <c r="M314" t="s">
        <v>53</v>
      </c>
      <c r="N314" t="s">
        <v>54</v>
      </c>
      <c r="O314">
        <v>9</v>
      </c>
      <c r="P314" t="s">
        <v>9</v>
      </c>
      <c r="Q314">
        <v>1.9</v>
      </c>
    </row>
    <row r="315" spans="1:17">
      <c r="A315">
        <v>1358</v>
      </c>
      <c r="B315" t="s">
        <v>75</v>
      </c>
      <c r="C315">
        <v>0.6</v>
      </c>
      <c r="D315">
        <v>0.46</v>
      </c>
      <c r="E315">
        <v>0.155</v>
      </c>
      <c r="F315">
        <v>0.95950000000000002</v>
      </c>
      <c r="G315">
        <v>0.44550000000000001</v>
      </c>
      <c r="H315">
        <v>0.189</v>
      </c>
      <c r="I315">
        <v>0.29499999999999998</v>
      </c>
      <c r="J315">
        <v>11</v>
      </c>
      <c r="K315">
        <v>6</v>
      </c>
      <c r="L315" t="s">
        <v>46</v>
      </c>
      <c r="M315" t="s">
        <v>47</v>
      </c>
      <c r="N315" t="s">
        <v>48</v>
      </c>
      <c r="O315">
        <v>2</v>
      </c>
      <c r="P315" t="s">
        <v>5</v>
      </c>
      <c r="Q315">
        <v>18</v>
      </c>
    </row>
    <row r="316" spans="1:17">
      <c r="A316">
        <v>574</v>
      </c>
      <c r="B316" t="s">
        <v>75</v>
      </c>
      <c r="C316">
        <v>0.56999999999999995</v>
      </c>
      <c r="D316">
        <v>0.44</v>
      </c>
      <c r="E316">
        <v>0.14000000000000001</v>
      </c>
      <c r="F316">
        <v>0.95350000000000001</v>
      </c>
      <c r="G316">
        <v>0.3785</v>
      </c>
      <c r="H316">
        <v>0.20100000000000001</v>
      </c>
      <c r="I316">
        <v>0.30499999999999999</v>
      </c>
      <c r="J316">
        <v>17</v>
      </c>
      <c r="K316">
        <v>5</v>
      </c>
      <c r="L316" t="s">
        <v>67</v>
      </c>
      <c r="M316" t="s">
        <v>68</v>
      </c>
      <c r="N316" t="s">
        <v>69</v>
      </c>
      <c r="O316">
        <v>6</v>
      </c>
      <c r="P316" t="s">
        <v>7</v>
      </c>
      <c r="Q316">
        <v>14.1</v>
      </c>
    </row>
    <row r="317" spans="1:17">
      <c r="A317">
        <v>3911</v>
      </c>
      <c r="B317" t="s">
        <v>75</v>
      </c>
      <c r="C317">
        <v>0.45500000000000002</v>
      </c>
      <c r="D317">
        <v>0.35499999999999998</v>
      </c>
      <c r="E317">
        <v>0.13500000000000001</v>
      </c>
      <c r="F317">
        <v>0.47449999999999998</v>
      </c>
      <c r="G317">
        <v>0.1865</v>
      </c>
      <c r="H317">
        <v>9.35E-2</v>
      </c>
      <c r="I317">
        <v>0.16800000000000001</v>
      </c>
      <c r="J317">
        <v>13</v>
      </c>
      <c r="K317">
        <v>13</v>
      </c>
      <c r="L317" t="s">
        <v>43</v>
      </c>
      <c r="M317" t="s">
        <v>44</v>
      </c>
      <c r="N317" t="s">
        <v>45</v>
      </c>
      <c r="O317">
        <v>5</v>
      </c>
      <c r="P317" t="s">
        <v>12</v>
      </c>
      <c r="Q317">
        <v>12.8</v>
      </c>
    </row>
    <row r="318" spans="1:17">
      <c r="A318">
        <v>2177</v>
      </c>
      <c r="B318" t="s">
        <v>75</v>
      </c>
      <c r="C318">
        <v>0.56999999999999995</v>
      </c>
      <c r="D318">
        <v>0.45</v>
      </c>
      <c r="E318">
        <v>0.17</v>
      </c>
      <c r="F318">
        <v>1.0980000000000001</v>
      </c>
      <c r="G318">
        <v>0.41399999999999998</v>
      </c>
      <c r="H318">
        <v>0.187</v>
      </c>
      <c r="I318">
        <v>0.40500000000000003</v>
      </c>
      <c r="J318">
        <v>20</v>
      </c>
      <c r="K318">
        <v>6</v>
      </c>
      <c r="L318" t="s">
        <v>46</v>
      </c>
      <c r="M318" t="s">
        <v>47</v>
      </c>
      <c r="N318" t="s">
        <v>48</v>
      </c>
      <c r="O318">
        <v>9</v>
      </c>
      <c r="P318" t="s">
        <v>9</v>
      </c>
      <c r="Q318">
        <v>1.9</v>
      </c>
    </row>
    <row r="319" spans="1:17">
      <c r="A319">
        <v>240</v>
      </c>
      <c r="B319" t="s">
        <v>75</v>
      </c>
      <c r="C319">
        <v>0.16</v>
      </c>
      <c r="D319">
        <v>0.12</v>
      </c>
      <c r="E319">
        <v>3.5000000000000003E-2</v>
      </c>
      <c r="F319">
        <v>2.1000000000000001E-2</v>
      </c>
      <c r="G319">
        <v>7.4999999999999997E-3</v>
      </c>
      <c r="H319">
        <v>4.4999999999999997E-3</v>
      </c>
      <c r="I319">
        <v>5.0000000000000001E-3</v>
      </c>
      <c r="J319">
        <v>5</v>
      </c>
      <c r="K319">
        <v>8</v>
      </c>
      <c r="L319" t="s">
        <v>55</v>
      </c>
      <c r="M319" t="s">
        <v>56</v>
      </c>
      <c r="N319" t="s">
        <v>57</v>
      </c>
      <c r="O319">
        <v>7</v>
      </c>
      <c r="P319" t="s">
        <v>6</v>
      </c>
      <c r="Q319">
        <v>2.5</v>
      </c>
    </row>
    <row r="320" spans="1:17">
      <c r="A320">
        <v>2419</v>
      </c>
      <c r="B320" t="s">
        <v>75</v>
      </c>
      <c r="C320">
        <v>0.46500000000000002</v>
      </c>
      <c r="D320">
        <v>0.35</v>
      </c>
      <c r="E320">
        <v>0.13</v>
      </c>
      <c r="F320">
        <v>0.49399999999999999</v>
      </c>
      <c r="G320">
        <v>0.19450000000000001</v>
      </c>
      <c r="H320">
        <v>0.10299999999999999</v>
      </c>
      <c r="I320">
        <v>0.155</v>
      </c>
      <c r="J320">
        <v>18</v>
      </c>
      <c r="K320">
        <v>7</v>
      </c>
      <c r="L320" t="s">
        <v>62</v>
      </c>
      <c r="M320" t="s">
        <v>63</v>
      </c>
      <c r="N320" t="s">
        <v>64</v>
      </c>
      <c r="O320">
        <v>3</v>
      </c>
      <c r="P320" t="s">
        <v>10</v>
      </c>
      <c r="Q320">
        <v>3.6</v>
      </c>
    </row>
    <row r="321" spans="1:17">
      <c r="A321">
        <v>1615</v>
      </c>
      <c r="B321" t="s">
        <v>75</v>
      </c>
      <c r="C321">
        <v>0.55000000000000004</v>
      </c>
      <c r="D321">
        <v>0.41499999999999998</v>
      </c>
      <c r="E321">
        <v>0.14499999999999999</v>
      </c>
      <c r="F321">
        <v>0.78149999999999997</v>
      </c>
      <c r="G321">
        <v>0.373</v>
      </c>
      <c r="H321">
        <v>0.16</v>
      </c>
      <c r="I321">
        <v>0.2215</v>
      </c>
      <c r="J321">
        <v>8</v>
      </c>
      <c r="K321">
        <v>4</v>
      </c>
      <c r="L321" t="s">
        <v>40</v>
      </c>
      <c r="M321" t="s">
        <v>41</v>
      </c>
      <c r="N321" t="s">
        <v>42</v>
      </c>
      <c r="O321">
        <v>2</v>
      </c>
      <c r="P321" t="s">
        <v>5</v>
      </c>
      <c r="Q321">
        <v>18</v>
      </c>
    </row>
    <row r="322" spans="1:17">
      <c r="A322">
        <v>2502</v>
      </c>
      <c r="B322" t="s">
        <v>75</v>
      </c>
      <c r="C322">
        <v>0.33</v>
      </c>
      <c r="D322">
        <v>0.26</v>
      </c>
      <c r="E322">
        <v>0.08</v>
      </c>
      <c r="F322">
        <v>0.2</v>
      </c>
      <c r="G322">
        <v>6.25E-2</v>
      </c>
      <c r="H322">
        <v>0.05</v>
      </c>
      <c r="I322">
        <v>7.0000000000000007E-2</v>
      </c>
      <c r="J322">
        <v>9</v>
      </c>
      <c r="K322">
        <v>9</v>
      </c>
      <c r="L322" t="s">
        <v>34</v>
      </c>
      <c r="M322" t="s">
        <v>35</v>
      </c>
      <c r="N322" t="s">
        <v>36</v>
      </c>
      <c r="O322">
        <v>2</v>
      </c>
      <c r="P322" t="s">
        <v>5</v>
      </c>
      <c r="Q322">
        <v>18</v>
      </c>
    </row>
    <row r="323" spans="1:17">
      <c r="A323">
        <v>3530</v>
      </c>
      <c r="B323" t="s">
        <v>75</v>
      </c>
      <c r="C323">
        <v>0.36</v>
      </c>
      <c r="D323">
        <v>0.26500000000000001</v>
      </c>
      <c r="E323">
        <v>7.4999999999999997E-2</v>
      </c>
      <c r="F323">
        <v>0.17849999999999999</v>
      </c>
      <c r="G323">
        <v>7.85E-2</v>
      </c>
      <c r="H323">
        <v>3.5000000000000003E-2</v>
      </c>
      <c r="I323">
        <v>5.3999999999999999E-2</v>
      </c>
      <c r="J323">
        <v>6</v>
      </c>
      <c r="K323">
        <v>11</v>
      </c>
      <c r="L323" t="s">
        <v>65</v>
      </c>
      <c r="M323" t="s">
        <v>66</v>
      </c>
      <c r="N323" t="s">
        <v>45</v>
      </c>
      <c r="O323">
        <v>1</v>
      </c>
      <c r="P323" t="s">
        <v>4</v>
      </c>
      <c r="Q323">
        <v>22.1</v>
      </c>
    </row>
    <row r="324" spans="1:17">
      <c r="A324">
        <v>394</v>
      </c>
      <c r="B324" t="s">
        <v>75</v>
      </c>
      <c r="C324">
        <v>0.36499999999999999</v>
      </c>
      <c r="D324">
        <v>0.29499999999999998</v>
      </c>
      <c r="E324">
        <v>9.5000000000000001E-2</v>
      </c>
      <c r="F324">
        <v>0.25</v>
      </c>
      <c r="G324">
        <v>0.1075</v>
      </c>
      <c r="H324">
        <v>5.45E-2</v>
      </c>
      <c r="I324">
        <v>0.08</v>
      </c>
      <c r="J324">
        <v>9</v>
      </c>
      <c r="K324">
        <v>2</v>
      </c>
      <c r="L324" t="s">
        <v>49</v>
      </c>
      <c r="M324" t="s">
        <v>50</v>
      </c>
      <c r="N324" t="s">
        <v>51</v>
      </c>
      <c r="O324">
        <v>8</v>
      </c>
      <c r="P324" t="s">
        <v>13</v>
      </c>
      <c r="Q324">
        <v>12.3</v>
      </c>
    </row>
    <row r="325" spans="1:17">
      <c r="A325">
        <v>2986</v>
      </c>
      <c r="B325" t="s">
        <v>75</v>
      </c>
      <c r="C325">
        <v>0.53500000000000003</v>
      </c>
      <c r="D325">
        <v>0.4</v>
      </c>
      <c r="E325">
        <v>0.13500000000000001</v>
      </c>
      <c r="F325">
        <v>0.77500000000000002</v>
      </c>
      <c r="G325">
        <v>0.36799999999999999</v>
      </c>
      <c r="H325">
        <v>0.20799999999999999</v>
      </c>
      <c r="I325">
        <v>0.20549999999999999</v>
      </c>
      <c r="J325">
        <v>8</v>
      </c>
      <c r="K325">
        <v>12</v>
      </c>
      <c r="L325" t="s">
        <v>58</v>
      </c>
      <c r="M325" t="s">
        <v>59</v>
      </c>
      <c r="N325" t="s">
        <v>45</v>
      </c>
      <c r="O325">
        <v>6</v>
      </c>
      <c r="P325" t="s">
        <v>7</v>
      </c>
      <c r="Q325">
        <v>14.1</v>
      </c>
    </row>
    <row r="326" spans="1:17">
      <c r="A326">
        <v>1655</v>
      </c>
      <c r="B326" t="s">
        <v>75</v>
      </c>
      <c r="C326">
        <v>0.59499999999999997</v>
      </c>
      <c r="D326">
        <v>0.46</v>
      </c>
      <c r="E326">
        <v>0.15</v>
      </c>
      <c r="F326">
        <v>0.83350000000000002</v>
      </c>
      <c r="G326">
        <v>0.377</v>
      </c>
      <c r="H326">
        <v>0.1925</v>
      </c>
      <c r="I326">
        <v>0.23499999999999999</v>
      </c>
      <c r="J326">
        <v>8</v>
      </c>
      <c r="K326">
        <v>2</v>
      </c>
      <c r="L326" t="s">
        <v>49</v>
      </c>
      <c r="M326" t="s">
        <v>50</v>
      </c>
      <c r="N326" t="s">
        <v>51</v>
      </c>
      <c r="O326">
        <v>6</v>
      </c>
      <c r="P326" t="s">
        <v>7</v>
      </c>
      <c r="Q326">
        <v>14.1</v>
      </c>
    </row>
    <row r="327" spans="1:17">
      <c r="A327">
        <v>193</v>
      </c>
      <c r="B327" t="s">
        <v>75</v>
      </c>
      <c r="C327">
        <v>0.57999999999999996</v>
      </c>
      <c r="D327">
        <v>0.45</v>
      </c>
      <c r="E327">
        <v>0.15</v>
      </c>
      <c r="F327">
        <v>0.92700000000000005</v>
      </c>
      <c r="G327">
        <v>0.27600000000000002</v>
      </c>
      <c r="H327">
        <v>0.18149999999999999</v>
      </c>
      <c r="I327">
        <v>0.36</v>
      </c>
      <c r="J327">
        <v>14</v>
      </c>
      <c r="K327">
        <v>8</v>
      </c>
      <c r="L327" t="s">
        <v>55</v>
      </c>
      <c r="M327" t="s">
        <v>56</v>
      </c>
      <c r="N327" t="s">
        <v>57</v>
      </c>
      <c r="O327">
        <v>5</v>
      </c>
      <c r="P327" t="s">
        <v>12</v>
      </c>
      <c r="Q327">
        <v>12.8</v>
      </c>
    </row>
    <row r="328" spans="1:17">
      <c r="A328">
        <v>2430</v>
      </c>
      <c r="B328" t="s">
        <v>75</v>
      </c>
      <c r="C328">
        <v>0.34</v>
      </c>
      <c r="D328">
        <v>0.255</v>
      </c>
      <c r="E328">
        <v>9.5000000000000001E-2</v>
      </c>
      <c r="F328">
        <v>0.21299999999999999</v>
      </c>
      <c r="G328">
        <v>8.1000000000000003E-2</v>
      </c>
      <c r="H328">
        <v>3.4000000000000002E-2</v>
      </c>
      <c r="I328">
        <v>7.0000000000000007E-2</v>
      </c>
      <c r="J328">
        <v>9</v>
      </c>
      <c r="K328">
        <v>7</v>
      </c>
      <c r="L328" t="s">
        <v>62</v>
      </c>
      <c r="M328" t="s">
        <v>63</v>
      </c>
      <c r="N328" t="s">
        <v>64</v>
      </c>
      <c r="O328">
        <v>7</v>
      </c>
      <c r="P328" t="s">
        <v>6</v>
      </c>
      <c r="Q328">
        <v>2.5</v>
      </c>
    </row>
    <row r="329" spans="1:17">
      <c r="A329">
        <v>7</v>
      </c>
      <c r="B329" t="s">
        <v>75</v>
      </c>
      <c r="C329">
        <v>0.53</v>
      </c>
      <c r="D329">
        <v>0.41499999999999998</v>
      </c>
      <c r="E329">
        <v>0.15</v>
      </c>
      <c r="F329">
        <v>0.77749999999999997</v>
      </c>
      <c r="G329">
        <v>0.23699999999999999</v>
      </c>
      <c r="H329">
        <v>0.14149999999999999</v>
      </c>
      <c r="I329">
        <v>0.33</v>
      </c>
      <c r="J329">
        <v>20</v>
      </c>
      <c r="K329">
        <v>10</v>
      </c>
      <c r="L329" t="s">
        <v>37</v>
      </c>
      <c r="M329" t="s">
        <v>38</v>
      </c>
      <c r="N329" t="s">
        <v>39</v>
      </c>
      <c r="O329">
        <v>2</v>
      </c>
      <c r="P329" t="s">
        <v>5</v>
      </c>
      <c r="Q329">
        <v>18</v>
      </c>
    </row>
    <row r="330" spans="1:17">
      <c r="A330">
        <v>1357</v>
      </c>
      <c r="B330" t="s">
        <v>75</v>
      </c>
      <c r="C330">
        <v>0.6</v>
      </c>
      <c r="D330">
        <v>0.45500000000000002</v>
      </c>
      <c r="E330">
        <v>0.14499999999999999</v>
      </c>
      <c r="F330">
        <v>0.88949999999999996</v>
      </c>
      <c r="G330">
        <v>0.41899999999999998</v>
      </c>
      <c r="H330">
        <v>0.17150000000000001</v>
      </c>
      <c r="I330">
        <v>0.26900000000000002</v>
      </c>
      <c r="J330">
        <v>10</v>
      </c>
      <c r="K330">
        <v>5</v>
      </c>
      <c r="L330" t="s">
        <v>67</v>
      </c>
      <c r="M330" t="s">
        <v>68</v>
      </c>
      <c r="N330" t="s">
        <v>69</v>
      </c>
      <c r="O330">
        <v>1</v>
      </c>
      <c r="P330" t="s">
        <v>4</v>
      </c>
      <c r="Q330">
        <v>22.1</v>
      </c>
    </row>
    <row r="331" spans="1:17">
      <c r="A331">
        <v>2322</v>
      </c>
      <c r="B331" t="s">
        <v>75</v>
      </c>
      <c r="C331">
        <v>0.49</v>
      </c>
      <c r="D331">
        <v>0.39500000000000002</v>
      </c>
      <c r="E331">
        <v>0.13500000000000001</v>
      </c>
      <c r="F331">
        <v>0.55449999999999999</v>
      </c>
      <c r="G331">
        <v>0.21299999999999999</v>
      </c>
      <c r="H331">
        <v>9.2499999999999999E-2</v>
      </c>
      <c r="I331">
        <v>0.215</v>
      </c>
      <c r="J331">
        <v>14</v>
      </c>
      <c r="K331">
        <v>7</v>
      </c>
      <c r="L331" t="s">
        <v>62</v>
      </c>
      <c r="M331" t="s">
        <v>63</v>
      </c>
      <c r="N331" t="s">
        <v>64</v>
      </c>
      <c r="O331">
        <v>3</v>
      </c>
      <c r="P331" t="s">
        <v>10</v>
      </c>
      <c r="Q331">
        <v>3.6</v>
      </c>
    </row>
    <row r="332" spans="1:17">
      <c r="A332">
        <v>3834</v>
      </c>
      <c r="B332" t="s">
        <v>75</v>
      </c>
      <c r="C332">
        <v>0.53500000000000003</v>
      </c>
      <c r="D332">
        <v>0.41</v>
      </c>
      <c r="E332">
        <v>0.15</v>
      </c>
      <c r="F332">
        <v>0.8105</v>
      </c>
      <c r="G332">
        <v>0.34499999999999997</v>
      </c>
      <c r="H332">
        <v>0.187</v>
      </c>
      <c r="I332">
        <v>0.24</v>
      </c>
      <c r="J332">
        <v>11</v>
      </c>
      <c r="K332">
        <v>2</v>
      </c>
      <c r="L332" t="s">
        <v>49</v>
      </c>
      <c r="M332" t="s">
        <v>50</v>
      </c>
      <c r="N332" t="s">
        <v>51</v>
      </c>
      <c r="O332">
        <v>5</v>
      </c>
      <c r="P332" t="s">
        <v>12</v>
      </c>
      <c r="Q332">
        <v>12.8</v>
      </c>
    </row>
    <row r="333" spans="1:17">
      <c r="A333">
        <v>1273</v>
      </c>
      <c r="B333" t="s">
        <v>75</v>
      </c>
      <c r="C333">
        <v>0.47499999999999998</v>
      </c>
      <c r="D333">
        <v>0.35499999999999998</v>
      </c>
      <c r="E333">
        <v>0.1</v>
      </c>
      <c r="F333">
        <v>0.50349999999999995</v>
      </c>
      <c r="G333">
        <v>0.2535</v>
      </c>
      <c r="H333">
        <v>9.0999999999999998E-2</v>
      </c>
      <c r="I333">
        <v>0.14000000000000001</v>
      </c>
      <c r="J333">
        <v>8</v>
      </c>
      <c r="K333">
        <v>3</v>
      </c>
      <c r="L333" t="s">
        <v>52</v>
      </c>
      <c r="M333" t="s">
        <v>53</v>
      </c>
      <c r="N333" t="s">
        <v>54</v>
      </c>
      <c r="O333">
        <v>3</v>
      </c>
      <c r="P333" t="s">
        <v>10</v>
      </c>
      <c r="Q333">
        <v>3.6</v>
      </c>
    </row>
    <row r="334" spans="1:17">
      <c r="A334">
        <v>1496</v>
      </c>
      <c r="B334" t="s">
        <v>75</v>
      </c>
      <c r="C334">
        <v>0.62</v>
      </c>
      <c r="D334">
        <v>0.435</v>
      </c>
      <c r="E334">
        <v>0.155</v>
      </c>
      <c r="F334">
        <v>1.012</v>
      </c>
      <c r="G334">
        <v>0.47699999999999998</v>
      </c>
      <c r="H334">
        <v>0.23599999999999999</v>
      </c>
      <c r="I334">
        <v>0.27500000000000002</v>
      </c>
      <c r="J334">
        <v>8</v>
      </c>
      <c r="K334">
        <v>8</v>
      </c>
      <c r="L334" t="s">
        <v>55</v>
      </c>
      <c r="M334" t="s">
        <v>56</v>
      </c>
      <c r="N334" t="s">
        <v>57</v>
      </c>
      <c r="O334">
        <v>8</v>
      </c>
      <c r="P334" t="s">
        <v>13</v>
      </c>
      <c r="Q334">
        <v>12.3</v>
      </c>
    </row>
    <row r="335" spans="1:17">
      <c r="A335">
        <v>2238</v>
      </c>
      <c r="B335" t="s">
        <v>75</v>
      </c>
      <c r="C335">
        <v>0.58499999999999996</v>
      </c>
      <c r="D335">
        <v>0.46500000000000002</v>
      </c>
      <c r="E335">
        <v>0.19</v>
      </c>
      <c r="F335">
        <v>1.171</v>
      </c>
      <c r="G335">
        <v>0.39050000000000001</v>
      </c>
      <c r="H335">
        <v>0.23549999999999999</v>
      </c>
      <c r="I335">
        <v>0.4</v>
      </c>
      <c r="J335">
        <v>17</v>
      </c>
      <c r="K335">
        <v>15</v>
      </c>
      <c r="L335" t="s">
        <v>60</v>
      </c>
      <c r="M335" t="s">
        <v>61</v>
      </c>
      <c r="N335" t="s">
        <v>45</v>
      </c>
      <c r="O335">
        <v>2</v>
      </c>
      <c r="P335" t="s">
        <v>5</v>
      </c>
      <c r="Q335">
        <v>18</v>
      </c>
    </row>
    <row r="336" spans="1:17">
      <c r="A336">
        <v>4114</v>
      </c>
      <c r="B336" t="s">
        <v>75</v>
      </c>
      <c r="C336">
        <v>0.56000000000000005</v>
      </c>
      <c r="D336">
        <v>0.42</v>
      </c>
      <c r="E336">
        <v>0.14000000000000001</v>
      </c>
      <c r="F336">
        <v>0.83699999999999997</v>
      </c>
      <c r="G336">
        <v>0.41399999999999998</v>
      </c>
      <c r="H336">
        <v>0.214</v>
      </c>
      <c r="I336">
        <v>0.2</v>
      </c>
      <c r="J336">
        <v>8</v>
      </c>
      <c r="K336">
        <v>14</v>
      </c>
      <c r="L336" t="s">
        <v>72</v>
      </c>
      <c r="M336" t="s">
        <v>73</v>
      </c>
      <c r="N336" t="s">
        <v>74</v>
      </c>
      <c r="O336">
        <v>5</v>
      </c>
      <c r="P336" t="s">
        <v>12</v>
      </c>
      <c r="Q336">
        <v>12.8</v>
      </c>
    </row>
    <row r="337" spans="1:17">
      <c r="A337">
        <v>3169</v>
      </c>
      <c r="B337" t="s">
        <v>75</v>
      </c>
      <c r="C337">
        <v>0.60499999999999998</v>
      </c>
      <c r="D337">
        <v>0.47</v>
      </c>
      <c r="E337">
        <v>0.115</v>
      </c>
      <c r="F337">
        <v>1.1140000000000001</v>
      </c>
      <c r="G337">
        <v>0.39250000000000002</v>
      </c>
      <c r="H337">
        <v>0.29099999999999998</v>
      </c>
      <c r="I337">
        <v>0.31</v>
      </c>
      <c r="J337">
        <v>15</v>
      </c>
      <c r="K337">
        <v>13</v>
      </c>
      <c r="L337" t="s">
        <v>43</v>
      </c>
      <c r="M337" t="s">
        <v>44</v>
      </c>
      <c r="N337" t="s">
        <v>45</v>
      </c>
      <c r="O337">
        <v>10</v>
      </c>
      <c r="P337" t="s">
        <v>11</v>
      </c>
      <c r="Q337">
        <v>24.1</v>
      </c>
    </row>
    <row r="338" spans="1:17">
      <c r="A338">
        <v>1336</v>
      </c>
      <c r="B338" t="s">
        <v>75</v>
      </c>
      <c r="C338">
        <v>0.57499999999999996</v>
      </c>
      <c r="D338">
        <v>0.48</v>
      </c>
      <c r="E338">
        <v>0.16500000000000001</v>
      </c>
      <c r="F338">
        <v>1.0780000000000001</v>
      </c>
      <c r="G338">
        <v>0.51100000000000001</v>
      </c>
      <c r="H338">
        <v>0.20949999999999999</v>
      </c>
      <c r="I338">
        <v>0.30599999999999999</v>
      </c>
      <c r="J338">
        <v>9</v>
      </c>
      <c r="K338">
        <v>7</v>
      </c>
      <c r="L338" t="s">
        <v>62</v>
      </c>
      <c r="M338" t="s">
        <v>63</v>
      </c>
      <c r="N338" t="s">
        <v>64</v>
      </c>
      <c r="O338">
        <v>3</v>
      </c>
      <c r="P338" t="s">
        <v>10</v>
      </c>
      <c r="Q338">
        <v>3.6</v>
      </c>
    </row>
    <row r="339" spans="1:17">
      <c r="A339">
        <v>3258</v>
      </c>
      <c r="B339" t="s">
        <v>75</v>
      </c>
      <c r="C339">
        <v>0.505</v>
      </c>
      <c r="D339">
        <v>0.38500000000000001</v>
      </c>
      <c r="E339">
        <v>0.11</v>
      </c>
      <c r="F339">
        <v>0.65500000000000003</v>
      </c>
      <c r="G339">
        <v>0.31850000000000001</v>
      </c>
      <c r="H339">
        <v>0.15</v>
      </c>
      <c r="I339">
        <v>0.185</v>
      </c>
      <c r="J339">
        <v>9</v>
      </c>
      <c r="K339">
        <v>4</v>
      </c>
      <c r="L339" t="s">
        <v>40</v>
      </c>
      <c r="M339" t="s">
        <v>41</v>
      </c>
      <c r="N339" t="s">
        <v>42</v>
      </c>
      <c r="O339">
        <v>8</v>
      </c>
      <c r="P339" t="s">
        <v>13</v>
      </c>
      <c r="Q339">
        <v>12.3</v>
      </c>
    </row>
    <row r="340" spans="1:17">
      <c r="A340">
        <v>3452</v>
      </c>
      <c r="B340" t="s">
        <v>75</v>
      </c>
      <c r="C340">
        <v>0.55000000000000004</v>
      </c>
      <c r="D340">
        <v>0.44</v>
      </c>
      <c r="E340">
        <v>0.155</v>
      </c>
      <c r="F340">
        <v>0.91549999999999998</v>
      </c>
      <c r="G340">
        <v>0.36449999999999999</v>
      </c>
      <c r="H340">
        <v>0.19500000000000001</v>
      </c>
      <c r="I340">
        <v>0.25</v>
      </c>
      <c r="J340">
        <v>8</v>
      </c>
      <c r="K340">
        <v>5</v>
      </c>
      <c r="L340" t="s">
        <v>67</v>
      </c>
      <c r="M340" t="s">
        <v>68</v>
      </c>
      <c r="N340" t="s">
        <v>69</v>
      </c>
      <c r="O340">
        <v>5</v>
      </c>
      <c r="P340" t="s">
        <v>12</v>
      </c>
      <c r="Q340">
        <v>12.8</v>
      </c>
    </row>
    <row r="341" spans="1:17">
      <c r="A341">
        <v>993</v>
      </c>
      <c r="B341" t="s">
        <v>75</v>
      </c>
      <c r="C341">
        <v>0.57999999999999996</v>
      </c>
      <c r="D341">
        <v>0.46</v>
      </c>
      <c r="E341">
        <v>0.18</v>
      </c>
      <c r="F341">
        <v>1.0515000000000001</v>
      </c>
      <c r="G341">
        <v>0.40949999999999998</v>
      </c>
      <c r="H341">
        <v>0.25950000000000001</v>
      </c>
      <c r="I341">
        <v>0.27600000000000002</v>
      </c>
      <c r="J341">
        <v>8</v>
      </c>
      <c r="K341">
        <v>6</v>
      </c>
      <c r="L341" t="s">
        <v>46</v>
      </c>
      <c r="M341" t="s">
        <v>47</v>
      </c>
      <c r="N341" t="s">
        <v>48</v>
      </c>
      <c r="O341">
        <v>2</v>
      </c>
      <c r="P341" t="s">
        <v>5</v>
      </c>
      <c r="Q341">
        <v>18</v>
      </c>
    </row>
    <row r="342" spans="1:17">
      <c r="A342">
        <v>3537</v>
      </c>
      <c r="B342" t="s">
        <v>75</v>
      </c>
      <c r="C342">
        <v>0.42499999999999999</v>
      </c>
      <c r="D342">
        <v>0.32500000000000001</v>
      </c>
      <c r="E342">
        <v>0.11</v>
      </c>
      <c r="F342">
        <v>0.40500000000000003</v>
      </c>
      <c r="G342">
        <v>0.16950000000000001</v>
      </c>
      <c r="H342">
        <v>9.1999999999999998E-2</v>
      </c>
      <c r="I342">
        <v>0.1065</v>
      </c>
      <c r="J342">
        <v>8</v>
      </c>
      <c r="K342">
        <v>7</v>
      </c>
      <c r="L342" t="s">
        <v>62</v>
      </c>
      <c r="M342" t="s">
        <v>63</v>
      </c>
      <c r="N342" t="s">
        <v>64</v>
      </c>
      <c r="O342">
        <v>3</v>
      </c>
      <c r="P342" t="s">
        <v>10</v>
      </c>
      <c r="Q342">
        <v>3.6</v>
      </c>
    </row>
    <row r="343" spans="1:17">
      <c r="A343">
        <v>4074</v>
      </c>
      <c r="B343" t="s">
        <v>75</v>
      </c>
      <c r="C343">
        <v>0.51500000000000001</v>
      </c>
      <c r="D343">
        <v>0.39500000000000002</v>
      </c>
      <c r="E343">
        <v>0.125</v>
      </c>
      <c r="F343">
        <v>0.58050000000000002</v>
      </c>
      <c r="G343">
        <v>0.23649999999999999</v>
      </c>
      <c r="H343">
        <v>0.1075</v>
      </c>
      <c r="I343">
        <v>0.19</v>
      </c>
      <c r="J343">
        <v>9</v>
      </c>
      <c r="K343">
        <v>11</v>
      </c>
      <c r="L343" t="s">
        <v>65</v>
      </c>
      <c r="M343" t="s">
        <v>66</v>
      </c>
      <c r="N343" t="s">
        <v>45</v>
      </c>
      <c r="O343">
        <v>1</v>
      </c>
      <c r="P343" t="s">
        <v>4</v>
      </c>
      <c r="Q343">
        <v>22.1</v>
      </c>
    </row>
    <row r="344" spans="1:17">
      <c r="A344">
        <v>2168</v>
      </c>
      <c r="B344" t="s">
        <v>75</v>
      </c>
      <c r="C344">
        <v>0.37</v>
      </c>
      <c r="D344">
        <v>0.27500000000000002</v>
      </c>
      <c r="E344">
        <v>8.5000000000000006E-2</v>
      </c>
      <c r="F344">
        <v>0.24049999999999999</v>
      </c>
      <c r="G344">
        <v>0.104</v>
      </c>
      <c r="H344">
        <v>5.3499999999999999E-2</v>
      </c>
      <c r="I344">
        <v>7.0000000000000007E-2</v>
      </c>
      <c r="J344">
        <v>5</v>
      </c>
      <c r="K344">
        <v>2</v>
      </c>
      <c r="L344" t="s">
        <v>49</v>
      </c>
      <c r="M344" t="s">
        <v>50</v>
      </c>
      <c r="N344" t="s">
        <v>51</v>
      </c>
      <c r="O344">
        <v>5</v>
      </c>
      <c r="P344" t="s">
        <v>12</v>
      </c>
      <c r="Q344">
        <v>12.8</v>
      </c>
    </row>
    <row r="345" spans="1:17">
      <c r="A345">
        <v>627</v>
      </c>
      <c r="B345" t="s">
        <v>75</v>
      </c>
      <c r="C345">
        <v>0.42499999999999999</v>
      </c>
      <c r="D345">
        <v>0.33500000000000002</v>
      </c>
      <c r="E345">
        <v>9.5000000000000001E-2</v>
      </c>
      <c r="F345">
        <v>0.32200000000000001</v>
      </c>
      <c r="G345">
        <v>0.1205</v>
      </c>
      <c r="H345">
        <v>6.0999999999999999E-2</v>
      </c>
      <c r="I345">
        <v>0.125</v>
      </c>
      <c r="J345">
        <v>10</v>
      </c>
      <c r="K345">
        <v>8</v>
      </c>
      <c r="L345" t="s">
        <v>55</v>
      </c>
      <c r="M345" t="s">
        <v>56</v>
      </c>
      <c r="N345" t="s">
        <v>57</v>
      </c>
      <c r="O345">
        <v>6</v>
      </c>
      <c r="P345" t="s">
        <v>7</v>
      </c>
      <c r="Q345">
        <v>14.1</v>
      </c>
    </row>
    <row r="346" spans="1:17">
      <c r="A346">
        <v>1494</v>
      </c>
      <c r="B346" t="s">
        <v>75</v>
      </c>
      <c r="C346">
        <v>0.61499999999999999</v>
      </c>
      <c r="D346">
        <v>0.47499999999999998</v>
      </c>
      <c r="E346">
        <v>0.13</v>
      </c>
      <c r="F346">
        <v>0.84250000000000003</v>
      </c>
      <c r="G346">
        <v>0.35299999999999998</v>
      </c>
      <c r="H346">
        <v>0.1915</v>
      </c>
      <c r="I346">
        <v>0.251</v>
      </c>
      <c r="J346">
        <v>8</v>
      </c>
      <c r="K346">
        <v>3</v>
      </c>
      <c r="L346" t="s">
        <v>52</v>
      </c>
      <c r="M346" t="s">
        <v>53</v>
      </c>
      <c r="N346" t="s">
        <v>54</v>
      </c>
      <c r="O346">
        <v>1</v>
      </c>
      <c r="P346" t="s">
        <v>4</v>
      </c>
      <c r="Q346">
        <v>22.1</v>
      </c>
    </row>
    <row r="347" spans="1:17">
      <c r="A347">
        <v>1375</v>
      </c>
      <c r="B347" t="s">
        <v>75</v>
      </c>
      <c r="C347">
        <v>0.61499999999999999</v>
      </c>
      <c r="D347">
        <v>0.48</v>
      </c>
      <c r="E347">
        <v>0.17499999999999999</v>
      </c>
      <c r="F347">
        <v>1.1180000000000001</v>
      </c>
      <c r="G347">
        <v>0.44600000000000001</v>
      </c>
      <c r="H347">
        <v>0.31950000000000001</v>
      </c>
      <c r="I347">
        <v>0.3</v>
      </c>
      <c r="J347">
        <v>9</v>
      </c>
      <c r="K347">
        <v>5</v>
      </c>
      <c r="L347" t="s">
        <v>67</v>
      </c>
      <c r="M347" t="s">
        <v>68</v>
      </c>
      <c r="N347" t="s">
        <v>69</v>
      </c>
      <c r="O347">
        <v>6</v>
      </c>
      <c r="P347" t="s">
        <v>7</v>
      </c>
      <c r="Q347">
        <v>14.1</v>
      </c>
    </row>
    <row r="348" spans="1:17">
      <c r="A348">
        <v>3846</v>
      </c>
      <c r="B348" t="s">
        <v>75</v>
      </c>
      <c r="C348">
        <v>0.45500000000000002</v>
      </c>
      <c r="D348">
        <v>0.35</v>
      </c>
      <c r="E348">
        <v>0.105</v>
      </c>
      <c r="F348">
        <v>0.41599999999999998</v>
      </c>
      <c r="G348">
        <v>0.16250000000000001</v>
      </c>
      <c r="H348">
        <v>9.7000000000000003E-2</v>
      </c>
      <c r="I348">
        <v>0.14499999999999999</v>
      </c>
      <c r="J348">
        <v>11</v>
      </c>
      <c r="K348">
        <v>13</v>
      </c>
      <c r="L348" t="s">
        <v>43</v>
      </c>
      <c r="M348" t="s">
        <v>44</v>
      </c>
      <c r="N348" t="s">
        <v>45</v>
      </c>
      <c r="O348">
        <v>6</v>
      </c>
      <c r="P348" t="s">
        <v>7</v>
      </c>
      <c r="Q348">
        <v>14.1</v>
      </c>
    </row>
    <row r="349" spans="1:17">
      <c r="A349">
        <v>3256</v>
      </c>
      <c r="B349" t="s">
        <v>75</v>
      </c>
      <c r="C349">
        <v>0.3</v>
      </c>
      <c r="D349">
        <v>0.23</v>
      </c>
      <c r="E349">
        <v>7.4999999999999997E-2</v>
      </c>
      <c r="F349">
        <v>0.15</v>
      </c>
      <c r="G349">
        <v>6.0499999999999998E-2</v>
      </c>
      <c r="H349">
        <v>4.2000000000000003E-2</v>
      </c>
      <c r="I349">
        <v>4.4999999999999998E-2</v>
      </c>
      <c r="J349">
        <v>5</v>
      </c>
      <c r="K349">
        <v>15</v>
      </c>
      <c r="L349" t="s">
        <v>60</v>
      </c>
      <c r="M349" t="s">
        <v>61</v>
      </c>
      <c r="N349" t="s">
        <v>45</v>
      </c>
      <c r="O349">
        <v>7</v>
      </c>
      <c r="P349" t="s">
        <v>6</v>
      </c>
      <c r="Q349">
        <v>2.5</v>
      </c>
    </row>
    <row r="350" spans="1:17">
      <c r="A350">
        <v>653</v>
      </c>
      <c r="B350" t="s">
        <v>75</v>
      </c>
      <c r="C350">
        <v>0.47</v>
      </c>
      <c r="D350">
        <v>0.35</v>
      </c>
      <c r="E350">
        <v>0.13</v>
      </c>
      <c r="F350">
        <v>0.46600000000000003</v>
      </c>
      <c r="G350">
        <v>0.1845</v>
      </c>
      <c r="H350">
        <v>9.9000000000000005E-2</v>
      </c>
      <c r="I350">
        <v>0.14499999999999999</v>
      </c>
      <c r="J350">
        <v>11</v>
      </c>
      <c r="K350">
        <v>5</v>
      </c>
      <c r="L350" t="s">
        <v>67</v>
      </c>
      <c r="M350" t="s">
        <v>68</v>
      </c>
      <c r="N350" t="s">
        <v>69</v>
      </c>
      <c r="O350">
        <v>4</v>
      </c>
      <c r="P350" t="s">
        <v>8</v>
      </c>
      <c r="Q350">
        <v>6.1</v>
      </c>
    </row>
    <row r="351" spans="1:17">
      <c r="A351">
        <v>1340</v>
      </c>
      <c r="B351" t="s">
        <v>75</v>
      </c>
      <c r="C351">
        <v>0.57999999999999996</v>
      </c>
      <c r="D351">
        <v>0.44500000000000001</v>
      </c>
      <c r="E351">
        <v>0.15</v>
      </c>
      <c r="F351">
        <v>0.85799999999999998</v>
      </c>
      <c r="G351">
        <v>0.4</v>
      </c>
      <c r="H351">
        <v>0.156</v>
      </c>
      <c r="I351">
        <v>0.253</v>
      </c>
      <c r="J351">
        <v>8</v>
      </c>
      <c r="K351">
        <v>13</v>
      </c>
      <c r="L351" t="s">
        <v>43</v>
      </c>
      <c r="M351" t="s">
        <v>44</v>
      </c>
      <c r="N351" t="s">
        <v>45</v>
      </c>
      <c r="O351">
        <v>7</v>
      </c>
      <c r="P351" t="s">
        <v>6</v>
      </c>
      <c r="Q351">
        <v>2.5</v>
      </c>
    </row>
    <row r="352" spans="1:17">
      <c r="A352">
        <v>462</v>
      </c>
      <c r="B352" t="s">
        <v>75</v>
      </c>
      <c r="C352">
        <v>0.58499999999999996</v>
      </c>
      <c r="D352">
        <v>0.46500000000000002</v>
      </c>
      <c r="E352">
        <v>0.17</v>
      </c>
      <c r="F352">
        <v>0.99150000000000005</v>
      </c>
      <c r="G352">
        <v>0.38650000000000001</v>
      </c>
      <c r="H352">
        <v>0.224</v>
      </c>
      <c r="I352">
        <v>0.26500000000000001</v>
      </c>
      <c r="J352">
        <v>12</v>
      </c>
      <c r="K352">
        <v>9</v>
      </c>
      <c r="L352" t="s">
        <v>34</v>
      </c>
      <c r="M352" t="s">
        <v>35</v>
      </c>
      <c r="N352" t="s">
        <v>36</v>
      </c>
      <c r="O352">
        <v>10</v>
      </c>
      <c r="P352" t="s">
        <v>11</v>
      </c>
      <c r="Q352">
        <v>24.1</v>
      </c>
    </row>
    <row r="353" spans="1:17">
      <c r="A353">
        <v>1554</v>
      </c>
      <c r="B353" t="s">
        <v>75</v>
      </c>
      <c r="C353">
        <v>0.39</v>
      </c>
      <c r="D353">
        <v>0.28999999999999998</v>
      </c>
      <c r="E353">
        <v>0.1</v>
      </c>
      <c r="F353">
        <v>0.2225</v>
      </c>
      <c r="G353">
        <v>9.5000000000000001E-2</v>
      </c>
      <c r="H353">
        <v>4.65E-2</v>
      </c>
      <c r="I353">
        <v>7.2999999999999995E-2</v>
      </c>
      <c r="J353">
        <v>7</v>
      </c>
      <c r="K353">
        <v>8</v>
      </c>
      <c r="L353" t="s">
        <v>55</v>
      </c>
      <c r="M353" t="s">
        <v>56</v>
      </c>
      <c r="N353" t="s">
        <v>57</v>
      </c>
      <c r="O353">
        <v>7</v>
      </c>
      <c r="P353" t="s">
        <v>6</v>
      </c>
      <c r="Q353">
        <v>2.5</v>
      </c>
    </row>
    <row r="354" spans="1:17">
      <c r="A354">
        <v>2050</v>
      </c>
      <c r="B354" t="s">
        <v>75</v>
      </c>
      <c r="C354">
        <v>0.44500000000000001</v>
      </c>
      <c r="D354">
        <v>0.32</v>
      </c>
      <c r="E354">
        <v>0.12</v>
      </c>
      <c r="F354">
        <v>0.378</v>
      </c>
      <c r="G354">
        <v>0.152</v>
      </c>
      <c r="H354">
        <v>8.2500000000000004E-2</v>
      </c>
      <c r="I354">
        <v>0.12</v>
      </c>
      <c r="J354">
        <v>8</v>
      </c>
      <c r="K354">
        <v>8</v>
      </c>
      <c r="L354" t="s">
        <v>55</v>
      </c>
      <c r="M354" t="s">
        <v>56</v>
      </c>
      <c r="N354" t="s">
        <v>57</v>
      </c>
      <c r="O354">
        <v>5</v>
      </c>
      <c r="P354" t="s">
        <v>12</v>
      </c>
      <c r="Q354">
        <v>12.8</v>
      </c>
    </row>
    <row r="355" spans="1:17">
      <c r="A355">
        <v>2772</v>
      </c>
      <c r="B355" t="s">
        <v>75</v>
      </c>
      <c r="C355">
        <v>0.57499999999999996</v>
      </c>
      <c r="D355">
        <v>0.435</v>
      </c>
      <c r="E355">
        <v>0.155</v>
      </c>
      <c r="F355">
        <v>0.89749999999999996</v>
      </c>
      <c r="G355">
        <v>0.41149999999999998</v>
      </c>
      <c r="H355">
        <v>0.23250000000000001</v>
      </c>
      <c r="I355">
        <v>0.23</v>
      </c>
      <c r="J355">
        <v>9</v>
      </c>
      <c r="K355">
        <v>2</v>
      </c>
      <c r="L355" t="s">
        <v>49</v>
      </c>
      <c r="M355" t="s">
        <v>50</v>
      </c>
      <c r="N355" t="s">
        <v>51</v>
      </c>
      <c r="O355">
        <v>2</v>
      </c>
      <c r="P355" t="s">
        <v>5</v>
      </c>
      <c r="Q355">
        <v>18</v>
      </c>
    </row>
    <row r="356" spans="1:17">
      <c r="A356">
        <v>2829</v>
      </c>
      <c r="B356" t="s">
        <v>75</v>
      </c>
      <c r="C356">
        <v>0.52</v>
      </c>
      <c r="D356">
        <v>0.4</v>
      </c>
      <c r="E356">
        <v>0.105</v>
      </c>
      <c r="F356">
        <v>0.872</v>
      </c>
      <c r="G356">
        <v>0.45150000000000001</v>
      </c>
      <c r="H356">
        <v>0.1615</v>
      </c>
      <c r="I356">
        <v>0.19850000000000001</v>
      </c>
      <c r="J356">
        <v>9</v>
      </c>
      <c r="K356">
        <v>6</v>
      </c>
      <c r="L356" t="s">
        <v>46</v>
      </c>
      <c r="M356" t="s">
        <v>47</v>
      </c>
      <c r="N356" t="s">
        <v>48</v>
      </c>
      <c r="O356">
        <v>10</v>
      </c>
      <c r="P356" t="s">
        <v>11</v>
      </c>
      <c r="Q356">
        <v>24.1</v>
      </c>
    </row>
    <row r="357" spans="1:17">
      <c r="A357">
        <v>603</v>
      </c>
      <c r="B357" t="s">
        <v>75</v>
      </c>
      <c r="C357">
        <v>0.39</v>
      </c>
      <c r="D357">
        <v>0.3</v>
      </c>
      <c r="E357">
        <v>0.1</v>
      </c>
      <c r="F357">
        <v>0.26500000000000001</v>
      </c>
      <c r="G357">
        <v>0.1075</v>
      </c>
      <c r="H357">
        <v>0.06</v>
      </c>
      <c r="I357">
        <v>8.6499999999999994E-2</v>
      </c>
      <c r="J357">
        <v>13</v>
      </c>
      <c r="K357">
        <v>3</v>
      </c>
      <c r="L357" t="s">
        <v>52</v>
      </c>
      <c r="M357" t="s">
        <v>53</v>
      </c>
      <c r="N357" t="s">
        <v>54</v>
      </c>
      <c r="O357">
        <v>5</v>
      </c>
      <c r="P357" t="s">
        <v>12</v>
      </c>
      <c r="Q357">
        <v>12.8</v>
      </c>
    </row>
    <row r="358" spans="1:17">
      <c r="A358">
        <v>3493</v>
      </c>
      <c r="B358" t="s">
        <v>75</v>
      </c>
      <c r="C358">
        <v>0.55500000000000005</v>
      </c>
      <c r="D358">
        <v>0.44</v>
      </c>
      <c r="E358">
        <v>0.14499999999999999</v>
      </c>
      <c r="F358">
        <v>0.85</v>
      </c>
      <c r="G358">
        <v>0.41649999999999998</v>
      </c>
      <c r="H358">
        <v>0.16850000000000001</v>
      </c>
      <c r="I358">
        <v>0.23</v>
      </c>
      <c r="J358">
        <v>8</v>
      </c>
      <c r="K358">
        <v>4</v>
      </c>
      <c r="L358" t="s">
        <v>40</v>
      </c>
      <c r="M358" t="s">
        <v>41</v>
      </c>
      <c r="N358" t="s">
        <v>42</v>
      </c>
      <c r="O358">
        <v>9</v>
      </c>
      <c r="P358" t="s">
        <v>9</v>
      </c>
      <c r="Q358">
        <v>1.9</v>
      </c>
    </row>
    <row r="359" spans="1:17">
      <c r="A359">
        <v>2357</v>
      </c>
      <c r="B359" t="s">
        <v>75</v>
      </c>
      <c r="C359">
        <v>0.57499999999999996</v>
      </c>
      <c r="D359">
        <v>0.47</v>
      </c>
      <c r="E359">
        <v>0.15</v>
      </c>
      <c r="F359">
        <v>1.1415</v>
      </c>
      <c r="G359">
        <v>0.45150000000000001</v>
      </c>
      <c r="H359">
        <v>0.20399999999999999</v>
      </c>
      <c r="I359">
        <v>0.4</v>
      </c>
      <c r="J359">
        <v>13</v>
      </c>
      <c r="K359">
        <v>1</v>
      </c>
      <c r="L359" t="s">
        <v>70</v>
      </c>
      <c r="M359" t="s">
        <v>71</v>
      </c>
      <c r="N359" t="s">
        <v>45</v>
      </c>
      <c r="O359">
        <v>8</v>
      </c>
      <c r="P359" t="s">
        <v>13</v>
      </c>
      <c r="Q359">
        <v>12.3</v>
      </c>
    </row>
    <row r="360" spans="1:17">
      <c r="A360">
        <v>1220</v>
      </c>
      <c r="B360" t="s">
        <v>75</v>
      </c>
      <c r="C360">
        <v>0.32500000000000001</v>
      </c>
      <c r="D360">
        <v>0.22500000000000001</v>
      </c>
      <c r="E360">
        <v>7.4999999999999997E-2</v>
      </c>
      <c r="F360">
        <v>0.13900000000000001</v>
      </c>
      <c r="G360">
        <v>5.6500000000000002E-2</v>
      </c>
      <c r="H360">
        <v>3.2000000000000001E-2</v>
      </c>
      <c r="I360">
        <v>0.09</v>
      </c>
      <c r="J360">
        <v>6</v>
      </c>
      <c r="K360">
        <v>15</v>
      </c>
      <c r="L360" t="s">
        <v>60</v>
      </c>
      <c r="M360" t="s">
        <v>61</v>
      </c>
      <c r="N360" t="s">
        <v>45</v>
      </c>
      <c r="O360">
        <v>10</v>
      </c>
      <c r="P360" t="s">
        <v>11</v>
      </c>
      <c r="Q360">
        <v>24.1</v>
      </c>
    </row>
    <row r="361" spans="1:17">
      <c r="A361">
        <v>936</v>
      </c>
      <c r="B361" t="s">
        <v>75</v>
      </c>
      <c r="C361">
        <v>0.45</v>
      </c>
      <c r="D361">
        <v>0.34499999999999997</v>
      </c>
      <c r="E361">
        <v>0.11</v>
      </c>
      <c r="F361">
        <v>0.47</v>
      </c>
      <c r="G361">
        <v>0.23549999999999999</v>
      </c>
      <c r="H361">
        <v>8.5500000000000007E-2</v>
      </c>
      <c r="I361">
        <v>0.1135</v>
      </c>
      <c r="J361">
        <v>7</v>
      </c>
      <c r="K361">
        <v>5</v>
      </c>
      <c r="L361" t="s">
        <v>67</v>
      </c>
      <c r="M361" t="s">
        <v>68</v>
      </c>
      <c r="N361" t="s">
        <v>69</v>
      </c>
      <c r="O361">
        <v>2</v>
      </c>
      <c r="P361" t="s">
        <v>5</v>
      </c>
      <c r="Q361">
        <v>18</v>
      </c>
    </row>
    <row r="362" spans="1:17">
      <c r="A362">
        <v>937</v>
      </c>
      <c r="B362" t="s">
        <v>75</v>
      </c>
      <c r="C362">
        <v>0.45</v>
      </c>
      <c r="D362">
        <v>0.33500000000000002</v>
      </c>
      <c r="E362">
        <v>0.105</v>
      </c>
      <c r="F362">
        <v>0.44700000000000001</v>
      </c>
      <c r="G362">
        <v>0.23350000000000001</v>
      </c>
      <c r="H362">
        <v>0.153</v>
      </c>
      <c r="I362">
        <v>0.11899999999999999</v>
      </c>
      <c r="J362">
        <v>7</v>
      </c>
      <c r="K362">
        <v>6</v>
      </c>
      <c r="L362" t="s">
        <v>46</v>
      </c>
      <c r="M362" t="s">
        <v>47</v>
      </c>
      <c r="N362" t="s">
        <v>48</v>
      </c>
      <c r="O362">
        <v>2</v>
      </c>
      <c r="P362" t="s">
        <v>5</v>
      </c>
      <c r="Q362">
        <v>18</v>
      </c>
    </row>
    <row r="363" spans="1:17">
      <c r="A363">
        <v>1102</v>
      </c>
      <c r="B363" t="s">
        <v>75</v>
      </c>
      <c r="C363">
        <v>0.5</v>
      </c>
      <c r="D363">
        <v>0.38</v>
      </c>
      <c r="E363">
        <v>0.125</v>
      </c>
      <c r="F363">
        <v>0.51900000000000002</v>
      </c>
      <c r="G363">
        <v>0.2485</v>
      </c>
      <c r="H363">
        <v>0.1135</v>
      </c>
      <c r="I363">
        <v>0.13400000000000001</v>
      </c>
      <c r="J363">
        <v>8</v>
      </c>
      <c r="K363">
        <v>9</v>
      </c>
      <c r="L363" t="s">
        <v>34</v>
      </c>
      <c r="M363" t="s">
        <v>35</v>
      </c>
      <c r="N363" t="s">
        <v>36</v>
      </c>
      <c r="O363">
        <v>10</v>
      </c>
      <c r="P363" t="s">
        <v>11</v>
      </c>
      <c r="Q363">
        <v>24.1</v>
      </c>
    </row>
    <row r="364" spans="1:17">
      <c r="A364">
        <v>2922</v>
      </c>
      <c r="B364" t="s">
        <v>75</v>
      </c>
      <c r="C364">
        <v>0.6</v>
      </c>
      <c r="D364">
        <v>0.45</v>
      </c>
      <c r="E364">
        <v>0.15</v>
      </c>
      <c r="F364">
        <v>0.96250000000000002</v>
      </c>
      <c r="G364">
        <v>0.4375</v>
      </c>
      <c r="H364">
        <v>0.2225</v>
      </c>
      <c r="I364">
        <v>0.27750000000000002</v>
      </c>
      <c r="J364">
        <v>9</v>
      </c>
      <c r="K364">
        <v>7</v>
      </c>
      <c r="L364" t="s">
        <v>62</v>
      </c>
      <c r="M364" t="s">
        <v>63</v>
      </c>
      <c r="N364" t="s">
        <v>64</v>
      </c>
      <c r="O364">
        <v>4</v>
      </c>
      <c r="P364" t="s">
        <v>8</v>
      </c>
      <c r="Q364">
        <v>6.1</v>
      </c>
    </row>
    <row r="365" spans="1:17">
      <c r="A365">
        <v>1605</v>
      </c>
      <c r="B365" t="s">
        <v>75</v>
      </c>
      <c r="C365">
        <v>0.54</v>
      </c>
      <c r="D365">
        <v>0.45500000000000002</v>
      </c>
      <c r="E365">
        <v>0.14000000000000001</v>
      </c>
      <c r="F365">
        <v>0.97199999999999998</v>
      </c>
      <c r="G365">
        <v>0.41899999999999998</v>
      </c>
      <c r="H365">
        <v>0.255</v>
      </c>
      <c r="I365">
        <v>0.26900000000000002</v>
      </c>
      <c r="J365">
        <v>10</v>
      </c>
      <c r="K365">
        <v>4</v>
      </c>
      <c r="L365" t="s">
        <v>40</v>
      </c>
      <c r="M365" t="s">
        <v>41</v>
      </c>
      <c r="N365" t="s">
        <v>42</v>
      </c>
      <c r="O365">
        <v>10</v>
      </c>
      <c r="P365" t="s">
        <v>11</v>
      </c>
      <c r="Q365">
        <v>24.1</v>
      </c>
    </row>
    <row r="366" spans="1:17">
      <c r="A366">
        <v>1119</v>
      </c>
      <c r="B366" t="s">
        <v>75</v>
      </c>
      <c r="C366">
        <v>0.53500000000000003</v>
      </c>
      <c r="D366">
        <v>0.39</v>
      </c>
      <c r="E366">
        <v>0.125</v>
      </c>
      <c r="F366">
        <v>0.59899999999999998</v>
      </c>
      <c r="G366">
        <v>0.25950000000000001</v>
      </c>
      <c r="H366">
        <v>0.14899999999999999</v>
      </c>
      <c r="I366">
        <v>0.16900000000000001</v>
      </c>
      <c r="J366">
        <v>9</v>
      </c>
      <c r="K366">
        <v>2</v>
      </c>
      <c r="L366" t="s">
        <v>49</v>
      </c>
      <c r="M366" t="s">
        <v>50</v>
      </c>
      <c r="N366" t="s">
        <v>51</v>
      </c>
      <c r="O366">
        <v>8</v>
      </c>
      <c r="P366" t="s">
        <v>13</v>
      </c>
      <c r="Q366">
        <v>12.3</v>
      </c>
    </row>
    <row r="367" spans="1:17">
      <c r="A367">
        <v>1662</v>
      </c>
      <c r="B367" t="s">
        <v>75</v>
      </c>
      <c r="C367">
        <v>0.6</v>
      </c>
      <c r="D367">
        <v>0.47</v>
      </c>
      <c r="E367">
        <v>0.16</v>
      </c>
      <c r="F367">
        <v>1.194</v>
      </c>
      <c r="G367">
        <v>0.5625</v>
      </c>
      <c r="H367">
        <v>0.30449999999999999</v>
      </c>
      <c r="I367">
        <v>0.26350000000000001</v>
      </c>
      <c r="J367">
        <v>10</v>
      </c>
      <c r="K367">
        <v>11</v>
      </c>
      <c r="L367" t="s">
        <v>65</v>
      </c>
      <c r="M367" t="s">
        <v>66</v>
      </c>
      <c r="N367" t="s">
        <v>45</v>
      </c>
      <c r="O367">
        <v>6</v>
      </c>
      <c r="P367" t="s">
        <v>7</v>
      </c>
      <c r="Q367">
        <v>14.1</v>
      </c>
    </row>
    <row r="368" spans="1:17">
      <c r="A368">
        <v>3016</v>
      </c>
      <c r="B368" t="s">
        <v>75</v>
      </c>
      <c r="C368">
        <v>0.42</v>
      </c>
      <c r="D368">
        <v>0.32</v>
      </c>
      <c r="E368">
        <v>0.11</v>
      </c>
      <c r="F368">
        <v>0.309</v>
      </c>
      <c r="G368">
        <v>0.115</v>
      </c>
      <c r="H368">
        <v>6.4500000000000002E-2</v>
      </c>
      <c r="I368">
        <v>9.4500000000000001E-2</v>
      </c>
      <c r="J368">
        <v>6</v>
      </c>
      <c r="K368">
        <v>3</v>
      </c>
      <c r="L368" t="s">
        <v>52</v>
      </c>
      <c r="M368" t="s">
        <v>53</v>
      </c>
      <c r="N368" t="s">
        <v>54</v>
      </c>
      <c r="O368">
        <v>10</v>
      </c>
      <c r="P368" t="s">
        <v>11</v>
      </c>
      <c r="Q368">
        <v>24.1</v>
      </c>
    </row>
    <row r="369" spans="1:17">
      <c r="A369">
        <v>515</v>
      </c>
      <c r="B369" t="s">
        <v>75</v>
      </c>
      <c r="C369">
        <v>0.27500000000000002</v>
      </c>
      <c r="D369">
        <v>0.19500000000000001</v>
      </c>
      <c r="E369">
        <v>7.0000000000000007E-2</v>
      </c>
      <c r="F369">
        <v>0.08</v>
      </c>
      <c r="G369">
        <v>3.1E-2</v>
      </c>
      <c r="H369">
        <v>2.1499999999999998E-2</v>
      </c>
      <c r="I369">
        <v>2.5000000000000001E-2</v>
      </c>
      <c r="J369">
        <v>5</v>
      </c>
      <c r="K369">
        <v>12</v>
      </c>
      <c r="L369" t="s">
        <v>58</v>
      </c>
      <c r="M369" t="s">
        <v>59</v>
      </c>
      <c r="N369" t="s">
        <v>45</v>
      </c>
      <c r="O369">
        <v>2</v>
      </c>
      <c r="P369" t="s">
        <v>5</v>
      </c>
      <c r="Q369">
        <v>18</v>
      </c>
    </row>
    <row r="370" spans="1:17">
      <c r="A370">
        <v>405</v>
      </c>
      <c r="B370" t="s">
        <v>75</v>
      </c>
      <c r="C370">
        <v>0.44</v>
      </c>
      <c r="D370">
        <v>0.34499999999999997</v>
      </c>
      <c r="E370">
        <v>0.12</v>
      </c>
      <c r="F370">
        <v>0.36499999999999999</v>
      </c>
      <c r="G370">
        <v>0.16550000000000001</v>
      </c>
      <c r="H370">
        <v>8.3000000000000004E-2</v>
      </c>
      <c r="I370">
        <v>0.11</v>
      </c>
      <c r="J370">
        <v>7</v>
      </c>
      <c r="K370">
        <v>4</v>
      </c>
      <c r="L370" t="s">
        <v>40</v>
      </c>
      <c r="M370" t="s">
        <v>41</v>
      </c>
      <c r="N370" t="s">
        <v>42</v>
      </c>
      <c r="O370">
        <v>8</v>
      </c>
      <c r="P370" t="s">
        <v>13</v>
      </c>
      <c r="Q370">
        <v>12.3</v>
      </c>
    </row>
    <row r="371" spans="1:17">
      <c r="A371">
        <v>606</v>
      </c>
      <c r="B371" t="s">
        <v>75</v>
      </c>
      <c r="C371">
        <v>0.42499999999999999</v>
      </c>
      <c r="D371">
        <v>0.34499999999999997</v>
      </c>
      <c r="E371">
        <v>0.125</v>
      </c>
      <c r="F371">
        <v>0.42499999999999999</v>
      </c>
      <c r="G371">
        <v>0.16</v>
      </c>
      <c r="H371">
        <v>7.9500000000000001E-2</v>
      </c>
      <c r="I371">
        <v>0.154</v>
      </c>
      <c r="J371">
        <v>13</v>
      </c>
      <c r="K371">
        <v>5</v>
      </c>
      <c r="L371" t="s">
        <v>67</v>
      </c>
      <c r="M371" t="s">
        <v>68</v>
      </c>
      <c r="N371" t="s">
        <v>69</v>
      </c>
      <c r="O371">
        <v>10</v>
      </c>
      <c r="P371" t="s">
        <v>11</v>
      </c>
      <c r="Q371">
        <v>24.1</v>
      </c>
    </row>
    <row r="372" spans="1:17">
      <c r="A372">
        <v>3639</v>
      </c>
      <c r="B372" t="s">
        <v>75</v>
      </c>
      <c r="C372">
        <v>0.44</v>
      </c>
      <c r="D372">
        <v>0.34</v>
      </c>
      <c r="E372">
        <v>0.105</v>
      </c>
      <c r="F372">
        <v>0.34399999999999997</v>
      </c>
      <c r="G372">
        <v>0.123</v>
      </c>
      <c r="H372">
        <v>8.1000000000000003E-2</v>
      </c>
      <c r="I372">
        <v>0.125</v>
      </c>
      <c r="J372">
        <v>8</v>
      </c>
      <c r="K372">
        <v>11</v>
      </c>
      <c r="L372" t="s">
        <v>65</v>
      </c>
      <c r="M372" t="s">
        <v>66</v>
      </c>
      <c r="N372" t="s">
        <v>45</v>
      </c>
      <c r="O372">
        <v>1</v>
      </c>
      <c r="P372" t="s">
        <v>4</v>
      </c>
      <c r="Q372">
        <v>22.1</v>
      </c>
    </row>
    <row r="373" spans="1:17">
      <c r="A373">
        <v>50</v>
      </c>
      <c r="B373" t="s">
        <v>75</v>
      </c>
      <c r="C373">
        <v>0.52500000000000002</v>
      </c>
      <c r="D373">
        <v>0.42499999999999999</v>
      </c>
      <c r="E373">
        <v>0.16</v>
      </c>
      <c r="F373">
        <v>0.83550000000000002</v>
      </c>
      <c r="G373">
        <v>0.35449999999999998</v>
      </c>
      <c r="H373">
        <v>0.2135</v>
      </c>
      <c r="I373">
        <v>0.245</v>
      </c>
      <c r="J373">
        <v>9</v>
      </c>
      <c r="K373">
        <v>4</v>
      </c>
      <c r="L373" t="s">
        <v>40</v>
      </c>
      <c r="M373" t="s">
        <v>41</v>
      </c>
      <c r="N373" t="s">
        <v>42</v>
      </c>
      <c r="O373">
        <v>10</v>
      </c>
      <c r="P373" t="s">
        <v>11</v>
      </c>
      <c r="Q373">
        <v>24.1</v>
      </c>
    </row>
    <row r="374" spans="1:17">
      <c r="A374">
        <v>3761</v>
      </c>
      <c r="B374" t="s">
        <v>75</v>
      </c>
      <c r="C374">
        <v>0.53</v>
      </c>
      <c r="D374">
        <v>0.42499999999999999</v>
      </c>
      <c r="E374">
        <v>0.13</v>
      </c>
      <c r="F374">
        <v>0.70199999999999996</v>
      </c>
      <c r="G374">
        <v>0.29749999999999999</v>
      </c>
      <c r="H374">
        <v>0.13950000000000001</v>
      </c>
      <c r="I374">
        <v>0.22</v>
      </c>
      <c r="J374">
        <v>9</v>
      </c>
      <c r="K374">
        <v>2</v>
      </c>
      <c r="L374" t="s">
        <v>49</v>
      </c>
      <c r="M374" t="s">
        <v>50</v>
      </c>
      <c r="N374" t="s">
        <v>51</v>
      </c>
      <c r="O374">
        <v>10</v>
      </c>
      <c r="P374" t="s">
        <v>11</v>
      </c>
      <c r="Q374">
        <v>24.1</v>
      </c>
    </row>
    <row r="375" spans="1:17">
      <c r="A375">
        <v>460</v>
      </c>
      <c r="B375" t="s">
        <v>75</v>
      </c>
      <c r="C375">
        <v>0.52500000000000002</v>
      </c>
      <c r="D375">
        <v>0.41</v>
      </c>
      <c r="E375">
        <v>0.13500000000000001</v>
      </c>
      <c r="F375">
        <v>0.70850000000000002</v>
      </c>
      <c r="G375">
        <v>0.29299999999999998</v>
      </c>
      <c r="H375">
        <v>0.1525</v>
      </c>
      <c r="I375">
        <v>0.23499999999999999</v>
      </c>
      <c r="J375">
        <v>11</v>
      </c>
      <c r="K375">
        <v>1</v>
      </c>
      <c r="L375" t="s">
        <v>70</v>
      </c>
      <c r="M375" t="s">
        <v>71</v>
      </c>
      <c r="N375" t="s">
        <v>45</v>
      </c>
      <c r="O375">
        <v>4</v>
      </c>
      <c r="P375" t="s">
        <v>8</v>
      </c>
      <c r="Q375">
        <v>6.1</v>
      </c>
    </row>
    <row r="376" spans="1:17">
      <c r="A376">
        <v>3577</v>
      </c>
      <c r="B376" t="s">
        <v>75</v>
      </c>
      <c r="C376">
        <v>0.6</v>
      </c>
      <c r="D376">
        <v>0.47499999999999998</v>
      </c>
      <c r="E376">
        <v>0.155</v>
      </c>
      <c r="F376">
        <v>1.0589999999999999</v>
      </c>
      <c r="G376">
        <v>0.441</v>
      </c>
      <c r="H376">
        <v>0.19</v>
      </c>
      <c r="I376">
        <v>0.39</v>
      </c>
      <c r="J376">
        <v>11</v>
      </c>
      <c r="K376">
        <v>11</v>
      </c>
      <c r="L376" t="s">
        <v>65</v>
      </c>
      <c r="M376" t="s">
        <v>66</v>
      </c>
      <c r="N376" t="s">
        <v>45</v>
      </c>
      <c r="O376">
        <v>1</v>
      </c>
      <c r="P376" t="s">
        <v>4</v>
      </c>
      <c r="Q376">
        <v>22.1</v>
      </c>
    </row>
    <row r="377" spans="1:17">
      <c r="A377">
        <v>1107</v>
      </c>
      <c r="B377" t="s">
        <v>75</v>
      </c>
      <c r="C377">
        <v>0.51</v>
      </c>
      <c r="D377">
        <v>0.4</v>
      </c>
      <c r="E377">
        <v>0.125</v>
      </c>
      <c r="F377">
        <v>0.5575</v>
      </c>
      <c r="G377">
        <v>0.26150000000000001</v>
      </c>
      <c r="H377">
        <v>0.1195</v>
      </c>
      <c r="I377">
        <v>0.1525</v>
      </c>
      <c r="J377">
        <v>9</v>
      </c>
      <c r="K377">
        <v>2</v>
      </c>
      <c r="L377" t="s">
        <v>49</v>
      </c>
      <c r="M377" t="s">
        <v>50</v>
      </c>
      <c r="N377" t="s">
        <v>51</v>
      </c>
      <c r="O377">
        <v>1</v>
      </c>
      <c r="P377" t="s">
        <v>4</v>
      </c>
      <c r="Q377">
        <v>22.1</v>
      </c>
    </row>
    <row r="378" spans="1:17">
      <c r="A378">
        <v>809</v>
      </c>
      <c r="B378" t="s">
        <v>75</v>
      </c>
      <c r="C378">
        <v>0.44</v>
      </c>
      <c r="D378">
        <v>0.34</v>
      </c>
      <c r="E378">
        <v>0.13</v>
      </c>
      <c r="F378">
        <v>0.41949999999999998</v>
      </c>
      <c r="G378">
        <v>0.153</v>
      </c>
      <c r="H378">
        <v>0.11550000000000001</v>
      </c>
      <c r="I378">
        <v>0.13</v>
      </c>
      <c r="J378">
        <v>10</v>
      </c>
      <c r="K378">
        <v>9</v>
      </c>
      <c r="L378" t="s">
        <v>34</v>
      </c>
      <c r="M378" t="s">
        <v>35</v>
      </c>
      <c r="N378" t="s">
        <v>36</v>
      </c>
      <c r="O378">
        <v>1</v>
      </c>
      <c r="P378" t="s">
        <v>4</v>
      </c>
      <c r="Q378">
        <v>22.1</v>
      </c>
    </row>
    <row r="379" spans="1:17">
      <c r="A379">
        <v>2547</v>
      </c>
      <c r="B379" t="s">
        <v>75</v>
      </c>
      <c r="C379">
        <v>0.22500000000000001</v>
      </c>
      <c r="D379">
        <v>0.17</v>
      </c>
      <c r="E379">
        <v>7.0000000000000007E-2</v>
      </c>
      <c r="F379">
        <v>5.6500000000000002E-2</v>
      </c>
      <c r="G379">
        <v>2.4E-2</v>
      </c>
      <c r="H379">
        <v>1.2999999999999999E-2</v>
      </c>
      <c r="I379">
        <v>1.6E-2</v>
      </c>
      <c r="J379">
        <v>4</v>
      </c>
      <c r="K379">
        <v>7</v>
      </c>
      <c r="L379" t="s">
        <v>62</v>
      </c>
      <c r="M379" t="s">
        <v>63</v>
      </c>
      <c r="N379" t="s">
        <v>64</v>
      </c>
      <c r="O379">
        <v>2</v>
      </c>
      <c r="P379" t="s">
        <v>5</v>
      </c>
      <c r="Q379">
        <v>18</v>
      </c>
    </row>
    <row r="380" spans="1:17">
      <c r="A380">
        <v>3417</v>
      </c>
      <c r="B380" t="s">
        <v>75</v>
      </c>
      <c r="C380">
        <v>0.56000000000000005</v>
      </c>
      <c r="D380">
        <v>0.45</v>
      </c>
      <c r="E380">
        <v>0.14000000000000001</v>
      </c>
      <c r="F380">
        <v>0.9</v>
      </c>
      <c r="G380">
        <v>0.47199999999999998</v>
      </c>
      <c r="H380">
        <v>0.182</v>
      </c>
      <c r="I380">
        <v>0.218</v>
      </c>
      <c r="J380">
        <v>7</v>
      </c>
      <c r="K380">
        <v>5</v>
      </c>
      <c r="L380" t="s">
        <v>67</v>
      </c>
      <c r="M380" t="s">
        <v>68</v>
      </c>
      <c r="N380" t="s">
        <v>69</v>
      </c>
      <c r="O380">
        <v>4</v>
      </c>
      <c r="P380" t="s">
        <v>8</v>
      </c>
      <c r="Q380">
        <v>6.1</v>
      </c>
    </row>
    <row r="381" spans="1:17">
      <c r="A381">
        <v>4068</v>
      </c>
      <c r="B381" t="s">
        <v>75</v>
      </c>
      <c r="C381">
        <v>0.4</v>
      </c>
      <c r="D381">
        <v>0.3</v>
      </c>
      <c r="E381">
        <v>0.115</v>
      </c>
      <c r="F381">
        <v>0.318</v>
      </c>
      <c r="G381">
        <v>0.13350000000000001</v>
      </c>
      <c r="H381">
        <v>7.2499999999999995E-2</v>
      </c>
      <c r="I381">
        <v>9.35E-2</v>
      </c>
      <c r="J381">
        <v>6</v>
      </c>
      <c r="K381">
        <v>8</v>
      </c>
      <c r="L381" t="s">
        <v>55</v>
      </c>
      <c r="M381" t="s">
        <v>56</v>
      </c>
      <c r="N381" t="s">
        <v>57</v>
      </c>
      <c r="O381">
        <v>2</v>
      </c>
      <c r="P381" t="s">
        <v>5</v>
      </c>
      <c r="Q381">
        <v>18</v>
      </c>
    </row>
    <row r="382" spans="1:17">
      <c r="A382">
        <v>3318</v>
      </c>
      <c r="B382" t="s">
        <v>75</v>
      </c>
      <c r="C382">
        <v>0.26500000000000001</v>
      </c>
      <c r="D382">
        <v>0.2</v>
      </c>
      <c r="E382">
        <v>6.5000000000000002E-2</v>
      </c>
      <c r="F382">
        <v>8.4000000000000005E-2</v>
      </c>
      <c r="G382">
        <v>3.4000000000000002E-2</v>
      </c>
      <c r="H382">
        <v>1.0500000000000001E-2</v>
      </c>
      <c r="I382">
        <v>0.03</v>
      </c>
      <c r="J382">
        <v>7</v>
      </c>
      <c r="K382">
        <v>14</v>
      </c>
      <c r="L382" t="s">
        <v>72</v>
      </c>
      <c r="M382" t="s">
        <v>73</v>
      </c>
      <c r="N382" t="s">
        <v>74</v>
      </c>
      <c r="O382">
        <v>9</v>
      </c>
      <c r="P382" t="s">
        <v>9</v>
      </c>
      <c r="Q382">
        <v>1.9</v>
      </c>
    </row>
    <row r="383" spans="1:17">
      <c r="A383">
        <v>1057</v>
      </c>
      <c r="B383" t="s">
        <v>75</v>
      </c>
      <c r="C383">
        <v>0.2</v>
      </c>
      <c r="D383">
        <v>0.155</v>
      </c>
      <c r="E383">
        <v>0.04</v>
      </c>
      <c r="F383">
        <v>4.3499999999999997E-2</v>
      </c>
      <c r="G383">
        <v>1.55E-2</v>
      </c>
      <c r="H383">
        <v>8.9999999999999993E-3</v>
      </c>
      <c r="I383">
        <v>7.0000000000000001E-3</v>
      </c>
      <c r="J383">
        <v>4</v>
      </c>
      <c r="K383">
        <v>7</v>
      </c>
      <c r="L383" t="s">
        <v>62</v>
      </c>
      <c r="M383" t="s">
        <v>63</v>
      </c>
      <c r="N383" t="s">
        <v>64</v>
      </c>
      <c r="O383">
        <v>2</v>
      </c>
      <c r="P383" t="s">
        <v>5</v>
      </c>
      <c r="Q383">
        <v>18</v>
      </c>
    </row>
    <row r="384" spans="1:17">
      <c r="A384">
        <v>2919</v>
      </c>
      <c r="B384" t="s">
        <v>75</v>
      </c>
      <c r="C384">
        <v>0.6</v>
      </c>
      <c r="D384">
        <v>0.44500000000000001</v>
      </c>
      <c r="E384">
        <v>0.13500000000000001</v>
      </c>
      <c r="F384">
        <v>0.92049999999999998</v>
      </c>
      <c r="G384">
        <v>0.44500000000000001</v>
      </c>
      <c r="H384">
        <v>0.20349999999999999</v>
      </c>
      <c r="I384">
        <v>0.253</v>
      </c>
      <c r="J384">
        <v>9</v>
      </c>
      <c r="K384">
        <v>6</v>
      </c>
      <c r="L384" t="s">
        <v>46</v>
      </c>
      <c r="M384" t="s">
        <v>47</v>
      </c>
      <c r="N384" t="s">
        <v>48</v>
      </c>
      <c r="O384">
        <v>6</v>
      </c>
      <c r="P384" t="s">
        <v>7</v>
      </c>
      <c r="Q384">
        <v>14.1</v>
      </c>
    </row>
    <row r="385" spans="1:17">
      <c r="A385">
        <v>1533</v>
      </c>
      <c r="B385" t="s">
        <v>75</v>
      </c>
      <c r="C385">
        <v>0.28499999999999998</v>
      </c>
      <c r="D385">
        <v>0.21</v>
      </c>
      <c r="E385">
        <v>5.5E-2</v>
      </c>
      <c r="F385">
        <v>0.10100000000000001</v>
      </c>
      <c r="G385">
        <v>4.1500000000000002E-2</v>
      </c>
      <c r="H385">
        <v>1.7000000000000001E-2</v>
      </c>
      <c r="I385">
        <v>3.3500000000000002E-2</v>
      </c>
      <c r="J385">
        <v>5</v>
      </c>
      <c r="K385">
        <v>2</v>
      </c>
      <c r="L385" t="s">
        <v>49</v>
      </c>
      <c r="M385" t="s">
        <v>50</v>
      </c>
      <c r="N385" t="s">
        <v>51</v>
      </c>
      <c r="O385">
        <v>3</v>
      </c>
      <c r="P385" t="s">
        <v>10</v>
      </c>
      <c r="Q385">
        <v>3.6</v>
      </c>
    </row>
    <row r="386" spans="1:17">
      <c r="A386">
        <v>740</v>
      </c>
      <c r="B386" t="s">
        <v>75</v>
      </c>
      <c r="C386">
        <v>0.44500000000000001</v>
      </c>
      <c r="D386">
        <v>0.34499999999999997</v>
      </c>
      <c r="E386">
        <v>0.09</v>
      </c>
      <c r="F386">
        <v>0.3795</v>
      </c>
      <c r="G386">
        <v>0.14299999999999999</v>
      </c>
      <c r="H386">
        <v>7.3999999999999996E-2</v>
      </c>
      <c r="I386">
        <v>0.125</v>
      </c>
      <c r="J386">
        <v>10</v>
      </c>
      <c r="K386">
        <v>13</v>
      </c>
      <c r="L386" t="s">
        <v>43</v>
      </c>
      <c r="M386" t="s">
        <v>44</v>
      </c>
      <c r="N386" t="s">
        <v>45</v>
      </c>
      <c r="O386">
        <v>1</v>
      </c>
      <c r="P386" t="s">
        <v>4</v>
      </c>
      <c r="Q386">
        <v>22.1</v>
      </c>
    </row>
    <row r="387" spans="1:17">
      <c r="A387">
        <v>940</v>
      </c>
      <c r="B387" t="s">
        <v>75</v>
      </c>
      <c r="C387">
        <v>0.46</v>
      </c>
      <c r="D387">
        <v>0.36</v>
      </c>
      <c r="E387">
        <v>0.1</v>
      </c>
      <c r="F387">
        <v>0.46350000000000002</v>
      </c>
      <c r="G387">
        <v>0.23250000000000001</v>
      </c>
      <c r="H387">
        <v>9.2999999999999999E-2</v>
      </c>
      <c r="I387">
        <v>0.115</v>
      </c>
      <c r="J387">
        <v>7</v>
      </c>
      <c r="K387">
        <v>13</v>
      </c>
      <c r="L387" t="s">
        <v>43</v>
      </c>
      <c r="M387" t="s">
        <v>44</v>
      </c>
      <c r="N387" t="s">
        <v>45</v>
      </c>
      <c r="O387">
        <v>10</v>
      </c>
      <c r="P387" t="s">
        <v>11</v>
      </c>
      <c r="Q387">
        <v>24.1</v>
      </c>
    </row>
    <row r="388" spans="1:17">
      <c r="A388">
        <v>2635</v>
      </c>
      <c r="B388" t="s">
        <v>75</v>
      </c>
      <c r="C388">
        <v>0.42499999999999999</v>
      </c>
      <c r="D388">
        <v>0.34</v>
      </c>
      <c r="E388">
        <v>0.1</v>
      </c>
      <c r="F388">
        <v>0.35149999999999998</v>
      </c>
      <c r="G388">
        <v>0.16250000000000001</v>
      </c>
      <c r="H388">
        <v>8.2000000000000003E-2</v>
      </c>
      <c r="I388">
        <v>9.4E-2</v>
      </c>
      <c r="J388">
        <v>7</v>
      </c>
      <c r="K388">
        <v>8</v>
      </c>
      <c r="L388" t="s">
        <v>55</v>
      </c>
      <c r="M388" t="s">
        <v>56</v>
      </c>
      <c r="N388" t="s">
        <v>57</v>
      </c>
      <c r="O388">
        <v>8</v>
      </c>
      <c r="P388" t="s">
        <v>13</v>
      </c>
      <c r="Q388">
        <v>12.3</v>
      </c>
    </row>
    <row r="389" spans="1:17">
      <c r="A389">
        <v>3562</v>
      </c>
      <c r="B389" t="s">
        <v>75</v>
      </c>
      <c r="C389">
        <v>0.56999999999999995</v>
      </c>
      <c r="D389">
        <v>0.42</v>
      </c>
      <c r="E389">
        <v>0.13</v>
      </c>
      <c r="F389">
        <v>0.77449999999999997</v>
      </c>
      <c r="G389">
        <v>0.35349999999999998</v>
      </c>
      <c r="H389">
        <v>0.15049999999999999</v>
      </c>
      <c r="I389">
        <v>0.23649999999999999</v>
      </c>
      <c r="J389">
        <v>9</v>
      </c>
      <c r="K389">
        <v>4</v>
      </c>
      <c r="L389" t="s">
        <v>40</v>
      </c>
      <c r="M389" t="s">
        <v>41</v>
      </c>
      <c r="N389" t="s">
        <v>42</v>
      </c>
      <c r="O389">
        <v>5</v>
      </c>
      <c r="P389" t="s">
        <v>12</v>
      </c>
      <c r="Q389">
        <v>12.8</v>
      </c>
    </row>
    <row r="390" spans="1:17">
      <c r="A390">
        <v>1156</v>
      </c>
      <c r="B390" t="s">
        <v>75</v>
      </c>
      <c r="C390">
        <v>0.6</v>
      </c>
      <c r="D390">
        <v>0.46500000000000002</v>
      </c>
      <c r="E390">
        <v>0.15</v>
      </c>
      <c r="F390">
        <v>1.1025</v>
      </c>
      <c r="G390">
        <v>0.54549999999999998</v>
      </c>
      <c r="H390">
        <v>0.26200000000000001</v>
      </c>
      <c r="I390">
        <v>0.25</v>
      </c>
      <c r="J390">
        <v>8</v>
      </c>
      <c r="K390">
        <v>5</v>
      </c>
      <c r="L390" t="s">
        <v>67</v>
      </c>
      <c r="M390" t="s">
        <v>68</v>
      </c>
      <c r="N390" t="s">
        <v>69</v>
      </c>
      <c r="O390">
        <v>10</v>
      </c>
      <c r="P390" t="s">
        <v>11</v>
      </c>
      <c r="Q390">
        <v>24.1</v>
      </c>
    </row>
    <row r="391" spans="1:17">
      <c r="A391">
        <v>2572</v>
      </c>
      <c r="B391" t="s">
        <v>75</v>
      </c>
      <c r="C391">
        <v>0.46500000000000002</v>
      </c>
      <c r="D391">
        <v>0.34</v>
      </c>
      <c r="E391">
        <v>0.105</v>
      </c>
      <c r="F391">
        <v>0.48599999999999999</v>
      </c>
      <c r="G391">
        <v>0.23100000000000001</v>
      </c>
      <c r="H391">
        <v>0.10349999999999999</v>
      </c>
      <c r="I391">
        <v>0.1225</v>
      </c>
      <c r="J391">
        <v>9</v>
      </c>
      <c r="K391">
        <v>2</v>
      </c>
      <c r="L391" t="s">
        <v>49</v>
      </c>
      <c r="M391" t="s">
        <v>50</v>
      </c>
      <c r="N391" t="s">
        <v>51</v>
      </c>
      <c r="O391">
        <v>2</v>
      </c>
      <c r="P391" t="s">
        <v>5</v>
      </c>
      <c r="Q391">
        <v>18</v>
      </c>
    </row>
    <row r="392" spans="1:17">
      <c r="A392">
        <v>3528</v>
      </c>
      <c r="B392" t="s">
        <v>75</v>
      </c>
      <c r="C392">
        <v>0.35</v>
      </c>
      <c r="D392">
        <v>0.26</v>
      </c>
      <c r="E392">
        <v>0.09</v>
      </c>
      <c r="F392">
        <v>0.17649999999999999</v>
      </c>
      <c r="G392">
        <v>7.1999999999999995E-2</v>
      </c>
      <c r="H392">
        <v>3.5499999999999997E-2</v>
      </c>
      <c r="I392">
        <v>5.7500000000000002E-2</v>
      </c>
      <c r="J392">
        <v>7</v>
      </c>
      <c r="K392">
        <v>10</v>
      </c>
      <c r="L392" t="s">
        <v>37</v>
      </c>
      <c r="M392" t="s">
        <v>38</v>
      </c>
      <c r="N392" t="s">
        <v>39</v>
      </c>
      <c r="O392">
        <v>5</v>
      </c>
      <c r="P392" t="s">
        <v>12</v>
      </c>
      <c r="Q392">
        <v>12.8</v>
      </c>
    </row>
    <row r="393" spans="1:17">
      <c r="A393">
        <v>3769</v>
      </c>
      <c r="B393" t="s">
        <v>75</v>
      </c>
      <c r="C393">
        <v>0.56000000000000005</v>
      </c>
      <c r="D393">
        <v>0.46500000000000002</v>
      </c>
      <c r="E393">
        <v>0.14499999999999999</v>
      </c>
      <c r="F393">
        <v>0.88749999999999996</v>
      </c>
      <c r="G393">
        <v>0.33450000000000002</v>
      </c>
      <c r="H393">
        <v>0.22</v>
      </c>
      <c r="I393">
        <v>0.26950000000000002</v>
      </c>
      <c r="J393">
        <v>9</v>
      </c>
      <c r="K393">
        <v>12</v>
      </c>
      <c r="L393" t="s">
        <v>58</v>
      </c>
      <c r="M393" t="s">
        <v>59</v>
      </c>
      <c r="N393" t="s">
        <v>45</v>
      </c>
      <c r="O393">
        <v>10</v>
      </c>
      <c r="P393" t="s">
        <v>11</v>
      </c>
      <c r="Q393">
        <v>24.1</v>
      </c>
    </row>
    <row r="394" spans="1:17">
      <c r="A394">
        <v>3443</v>
      </c>
      <c r="B394" t="s">
        <v>75</v>
      </c>
      <c r="C394">
        <v>0.48</v>
      </c>
      <c r="D394">
        <v>0.37</v>
      </c>
      <c r="E394">
        <v>0.13</v>
      </c>
      <c r="F394">
        <v>0.64300000000000002</v>
      </c>
      <c r="G394">
        <v>0.34899999999999998</v>
      </c>
      <c r="H394">
        <v>0.11550000000000001</v>
      </c>
      <c r="I394">
        <v>0.13500000000000001</v>
      </c>
      <c r="J394">
        <v>8</v>
      </c>
      <c r="K394">
        <v>12</v>
      </c>
      <c r="L394" t="s">
        <v>58</v>
      </c>
      <c r="M394" t="s">
        <v>59</v>
      </c>
      <c r="N394" t="s">
        <v>45</v>
      </c>
      <c r="O394">
        <v>10</v>
      </c>
      <c r="P394" t="s">
        <v>11</v>
      </c>
      <c r="Q394">
        <v>24.1</v>
      </c>
    </row>
    <row r="395" spans="1:17">
      <c r="A395">
        <v>2119</v>
      </c>
      <c r="B395" t="s">
        <v>75</v>
      </c>
      <c r="C395">
        <v>0.48</v>
      </c>
      <c r="D395">
        <v>0.38</v>
      </c>
      <c r="E395">
        <v>0.12</v>
      </c>
      <c r="F395">
        <v>0.60799999999999998</v>
      </c>
      <c r="G395">
        <v>0.27050000000000002</v>
      </c>
      <c r="H395">
        <v>0.14050000000000001</v>
      </c>
      <c r="I395">
        <v>0.185</v>
      </c>
      <c r="J395">
        <v>8</v>
      </c>
      <c r="K395">
        <v>14</v>
      </c>
      <c r="L395" t="s">
        <v>72</v>
      </c>
      <c r="M395" t="s">
        <v>73</v>
      </c>
      <c r="N395" t="s">
        <v>74</v>
      </c>
      <c r="O395">
        <v>8</v>
      </c>
      <c r="P395" t="s">
        <v>13</v>
      </c>
      <c r="Q395">
        <v>12.3</v>
      </c>
    </row>
    <row r="396" spans="1:17">
      <c r="A396">
        <v>1130</v>
      </c>
      <c r="B396" t="s">
        <v>75</v>
      </c>
      <c r="C396">
        <v>0.56000000000000005</v>
      </c>
      <c r="D396">
        <v>0.41499999999999998</v>
      </c>
      <c r="E396">
        <v>0.14499999999999999</v>
      </c>
      <c r="F396">
        <v>0.85199999999999998</v>
      </c>
      <c r="G396">
        <v>0.43</v>
      </c>
      <c r="H396">
        <v>0.1885</v>
      </c>
      <c r="I396">
        <v>0.20499999999999999</v>
      </c>
      <c r="J396">
        <v>8</v>
      </c>
      <c r="K396">
        <v>10</v>
      </c>
      <c r="L396" t="s">
        <v>37</v>
      </c>
      <c r="M396" t="s">
        <v>38</v>
      </c>
      <c r="N396" t="s">
        <v>39</v>
      </c>
      <c r="O396">
        <v>6</v>
      </c>
      <c r="P396" t="s">
        <v>7</v>
      </c>
      <c r="Q396">
        <v>14.1</v>
      </c>
    </row>
    <row r="397" spans="1:17">
      <c r="A397">
        <v>328</v>
      </c>
      <c r="B397" t="s">
        <v>75</v>
      </c>
      <c r="C397">
        <v>0.51</v>
      </c>
      <c r="D397">
        <v>0.4</v>
      </c>
      <c r="E397">
        <v>0.13</v>
      </c>
      <c r="F397">
        <v>0.64349999999999996</v>
      </c>
      <c r="G397">
        <v>0.27</v>
      </c>
      <c r="H397">
        <v>0.16650000000000001</v>
      </c>
      <c r="I397">
        <v>0.20499999999999999</v>
      </c>
      <c r="J397">
        <v>12</v>
      </c>
      <c r="K397">
        <v>7</v>
      </c>
      <c r="L397" t="s">
        <v>62</v>
      </c>
      <c r="M397" t="s">
        <v>63</v>
      </c>
      <c r="N397" t="s">
        <v>64</v>
      </c>
      <c r="O397">
        <v>2</v>
      </c>
      <c r="P397" t="s">
        <v>5</v>
      </c>
      <c r="Q397">
        <v>18</v>
      </c>
    </row>
    <row r="398" spans="1:17">
      <c r="A398">
        <v>1835</v>
      </c>
      <c r="B398" t="s">
        <v>75</v>
      </c>
      <c r="C398">
        <v>0.41</v>
      </c>
      <c r="D398">
        <v>0.315</v>
      </c>
      <c r="E398">
        <v>9.5000000000000001E-2</v>
      </c>
      <c r="F398">
        <v>0.28050000000000003</v>
      </c>
      <c r="G398">
        <v>0.114</v>
      </c>
      <c r="H398">
        <v>3.4500000000000003E-2</v>
      </c>
      <c r="I398">
        <v>0.11</v>
      </c>
      <c r="J398">
        <v>7</v>
      </c>
      <c r="K398">
        <v>1</v>
      </c>
      <c r="L398" t="s">
        <v>70</v>
      </c>
      <c r="M398" t="s">
        <v>71</v>
      </c>
      <c r="N398" t="s">
        <v>45</v>
      </c>
      <c r="O398">
        <v>4</v>
      </c>
      <c r="P398" t="s">
        <v>8</v>
      </c>
      <c r="Q398">
        <v>6.1</v>
      </c>
    </row>
    <row r="399" spans="1:17">
      <c r="A399">
        <v>3842</v>
      </c>
      <c r="B399" t="s">
        <v>75</v>
      </c>
      <c r="C399">
        <v>0.5</v>
      </c>
      <c r="D399">
        <v>0.42</v>
      </c>
      <c r="E399">
        <v>0.125</v>
      </c>
      <c r="F399">
        <v>0.62</v>
      </c>
      <c r="G399">
        <v>0.255</v>
      </c>
      <c r="H399">
        <v>0.15</v>
      </c>
      <c r="I399">
        <v>0.20499999999999999</v>
      </c>
      <c r="J399">
        <v>11</v>
      </c>
      <c r="K399">
        <v>11</v>
      </c>
      <c r="L399" t="s">
        <v>65</v>
      </c>
      <c r="M399" t="s">
        <v>66</v>
      </c>
      <c r="N399" t="s">
        <v>45</v>
      </c>
      <c r="O399">
        <v>3</v>
      </c>
      <c r="P399" t="s">
        <v>10</v>
      </c>
      <c r="Q399">
        <v>3.6</v>
      </c>
    </row>
    <row r="400" spans="1:17">
      <c r="A400">
        <v>3052</v>
      </c>
      <c r="B400" t="s">
        <v>75</v>
      </c>
      <c r="C400">
        <v>0.59499999999999997</v>
      </c>
      <c r="D400">
        <v>0.48</v>
      </c>
      <c r="E400">
        <v>0.14000000000000001</v>
      </c>
      <c r="F400">
        <v>0.91249999999999998</v>
      </c>
      <c r="G400">
        <v>0.40949999999999998</v>
      </c>
      <c r="H400">
        <v>0.1825</v>
      </c>
      <c r="I400">
        <v>0.28899999999999998</v>
      </c>
      <c r="J400">
        <v>9</v>
      </c>
      <c r="K400">
        <v>8</v>
      </c>
      <c r="L400" t="s">
        <v>55</v>
      </c>
      <c r="M400" t="s">
        <v>56</v>
      </c>
      <c r="N400" t="s">
        <v>57</v>
      </c>
      <c r="O400">
        <v>4</v>
      </c>
      <c r="P400" t="s">
        <v>8</v>
      </c>
      <c r="Q400">
        <v>6.1</v>
      </c>
    </row>
    <row r="401" spans="1:17">
      <c r="A401">
        <v>112</v>
      </c>
      <c r="B401" t="s">
        <v>75</v>
      </c>
      <c r="C401">
        <v>0.46500000000000002</v>
      </c>
      <c r="D401">
        <v>0.36</v>
      </c>
      <c r="E401">
        <v>0.105</v>
      </c>
      <c r="F401">
        <v>0.43099999999999999</v>
      </c>
      <c r="G401">
        <v>0.17199999999999999</v>
      </c>
      <c r="H401">
        <v>0.107</v>
      </c>
      <c r="I401">
        <v>0.17499999999999999</v>
      </c>
      <c r="J401">
        <v>9</v>
      </c>
      <c r="K401">
        <v>12</v>
      </c>
      <c r="L401" t="s">
        <v>58</v>
      </c>
      <c r="M401" t="s">
        <v>59</v>
      </c>
      <c r="N401" t="s">
        <v>45</v>
      </c>
      <c r="O401">
        <v>3</v>
      </c>
      <c r="P401" t="s">
        <v>10</v>
      </c>
      <c r="Q401">
        <v>3.6</v>
      </c>
    </row>
    <row r="402" spans="1:17">
      <c r="A402">
        <v>2250</v>
      </c>
      <c r="B402" t="s">
        <v>75</v>
      </c>
      <c r="C402">
        <v>0.58499999999999996</v>
      </c>
      <c r="D402">
        <v>0.45500000000000002</v>
      </c>
      <c r="E402">
        <v>0.16500000000000001</v>
      </c>
      <c r="F402">
        <v>0.998</v>
      </c>
      <c r="G402">
        <v>0.34499999999999997</v>
      </c>
      <c r="H402">
        <v>0.2495</v>
      </c>
      <c r="I402">
        <v>0.315</v>
      </c>
      <c r="J402">
        <v>12</v>
      </c>
      <c r="K402">
        <v>13</v>
      </c>
      <c r="L402" t="s">
        <v>43</v>
      </c>
      <c r="M402" t="s">
        <v>44</v>
      </c>
      <c r="N402" t="s">
        <v>45</v>
      </c>
      <c r="O402">
        <v>8</v>
      </c>
      <c r="P402" t="s">
        <v>13</v>
      </c>
      <c r="Q402">
        <v>12.3</v>
      </c>
    </row>
    <row r="403" spans="1:17">
      <c r="A403">
        <v>222</v>
      </c>
      <c r="B403" t="s">
        <v>75</v>
      </c>
      <c r="C403">
        <v>0.47</v>
      </c>
      <c r="D403">
        <v>0.35</v>
      </c>
      <c r="E403">
        <v>0.14499999999999999</v>
      </c>
      <c r="F403">
        <v>0.51749999999999996</v>
      </c>
      <c r="G403">
        <v>0.187</v>
      </c>
      <c r="H403">
        <v>0.1235</v>
      </c>
      <c r="I403">
        <v>0.18</v>
      </c>
      <c r="J403">
        <v>11</v>
      </c>
      <c r="K403">
        <v>15</v>
      </c>
      <c r="L403" t="s">
        <v>60</v>
      </c>
      <c r="M403" t="s">
        <v>61</v>
      </c>
      <c r="N403" t="s">
        <v>45</v>
      </c>
      <c r="O403">
        <v>5</v>
      </c>
      <c r="P403" t="s">
        <v>12</v>
      </c>
      <c r="Q403">
        <v>12.8</v>
      </c>
    </row>
    <row r="404" spans="1:17">
      <c r="A404">
        <v>2842</v>
      </c>
      <c r="B404" t="s">
        <v>75</v>
      </c>
      <c r="C404">
        <v>0.59499999999999997</v>
      </c>
      <c r="D404">
        <v>0.435</v>
      </c>
      <c r="E404">
        <v>0.16</v>
      </c>
      <c r="F404">
        <v>1.0569999999999999</v>
      </c>
      <c r="G404">
        <v>0.42549999999999999</v>
      </c>
      <c r="H404">
        <v>0.224</v>
      </c>
      <c r="I404">
        <v>0.31</v>
      </c>
      <c r="J404">
        <v>9</v>
      </c>
      <c r="K404">
        <v>2</v>
      </c>
      <c r="L404" t="s">
        <v>49</v>
      </c>
      <c r="M404" t="s">
        <v>50</v>
      </c>
      <c r="N404" t="s">
        <v>51</v>
      </c>
      <c r="O404">
        <v>1</v>
      </c>
      <c r="P404" t="s">
        <v>4</v>
      </c>
      <c r="Q404">
        <v>22.1</v>
      </c>
    </row>
    <row r="405" spans="1:17">
      <c r="A405">
        <v>2376</v>
      </c>
      <c r="B405" t="s">
        <v>75</v>
      </c>
      <c r="C405">
        <v>0.34</v>
      </c>
      <c r="D405">
        <v>0.27500000000000002</v>
      </c>
      <c r="E405">
        <v>0.09</v>
      </c>
      <c r="F405">
        <v>0.20649999999999999</v>
      </c>
      <c r="G405">
        <v>7.2499999999999995E-2</v>
      </c>
      <c r="H405">
        <v>4.2999999999999997E-2</v>
      </c>
      <c r="I405">
        <v>7.0000000000000007E-2</v>
      </c>
      <c r="J405">
        <v>10</v>
      </c>
      <c r="K405">
        <v>10</v>
      </c>
      <c r="L405" t="s">
        <v>37</v>
      </c>
      <c r="M405" t="s">
        <v>38</v>
      </c>
      <c r="N405" t="s">
        <v>39</v>
      </c>
      <c r="O405">
        <v>3</v>
      </c>
      <c r="P405" t="s">
        <v>10</v>
      </c>
      <c r="Q405">
        <v>3.6</v>
      </c>
    </row>
    <row r="406" spans="1:17">
      <c r="A406">
        <v>1575</v>
      </c>
      <c r="B406" t="s">
        <v>75</v>
      </c>
      <c r="C406">
        <v>0.48</v>
      </c>
      <c r="D406">
        <v>0.35499999999999998</v>
      </c>
      <c r="E406">
        <v>0.16</v>
      </c>
      <c r="F406">
        <v>0.46400000000000002</v>
      </c>
      <c r="G406">
        <v>0.221</v>
      </c>
      <c r="H406">
        <v>0.106</v>
      </c>
      <c r="I406">
        <v>0.23899999999999999</v>
      </c>
      <c r="J406">
        <v>8</v>
      </c>
      <c r="K406">
        <v>4</v>
      </c>
      <c r="L406" t="s">
        <v>40</v>
      </c>
      <c r="M406" t="s">
        <v>41</v>
      </c>
      <c r="N406" t="s">
        <v>42</v>
      </c>
      <c r="O406">
        <v>2</v>
      </c>
      <c r="P406" t="s">
        <v>5</v>
      </c>
      <c r="Q406">
        <v>18</v>
      </c>
    </row>
    <row r="407" spans="1:17">
      <c r="A407">
        <v>561</v>
      </c>
      <c r="B407" t="s">
        <v>75</v>
      </c>
      <c r="C407">
        <v>0.44</v>
      </c>
      <c r="D407">
        <v>0.34</v>
      </c>
      <c r="E407">
        <v>0.105</v>
      </c>
      <c r="F407">
        <v>0.36399999999999999</v>
      </c>
      <c r="G407">
        <v>0.14799999999999999</v>
      </c>
      <c r="H407">
        <v>8.0500000000000002E-2</v>
      </c>
      <c r="I407">
        <v>0.11749999999999999</v>
      </c>
      <c r="J407">
        <v>8</v>
      </c>
      <c r="K407">
        <v>14</v>
      </c>
      <c r="L407" t="s">
        <v>72</v>
      </c>
      <c r="M407" t="s">
        <v>73</v>
      </c>
      <c r="N407" t="s">
        <v>74</v>
      </c>
      <c r="O407">
        <v>7</v>
      </c>
      <c r="P407" t="s">
        <v>6</v>
      </c>
      <c r="Q407">
        <v>2.5</v>
      </c>
    </row>
    <row r="408" spans="1:17">
      <c r="A408">
        <v>2532</v>
      </c>
      <c r="B408" t="s">
        <v>75</v>
      </c>
      <c r="C408">
        <v>0.60499999999999998</v>
      </c>
      <c r="D408">
        <v>0.47499999999999998</v>
      </c>
      <c r="E408">
        <v>0.17499999999999999</v>
      </c>
      <c r="F408">
        <v>1.2010000000000001</v>
      </c>
      <c r="G408">
        <v>0.53949999999999998</v>
      </c>
      <c r="H408">
        <v>0.27500000000000002</v>
      </c>
      <c r="I408">
        <v>0.309</v>
      </c>
      <c r="J408">
        <v>10</v>
      </c>
      <c r="K408">
        <v>10</v>
      </c>
      <c r="L408" t="s">
        <v>37</v>
      </c>
      <c r="M408" t="s">
        <v>38</v>
      </c>
      <c r="N408" t="s">
        <v>39</v>
      </c>
      <c r="O408">
        <v>10</v>
      </c>
      <c r="P408" t="s">
        <v>11</v>
      </c>
      <c r="Q408">
        <v>24.1</v>
      </c>
    </row>
    <row r="409" spans="1:17">
      <c r="A409">
        <v>3573</v>
      </c>
      <c r="B409" t="s">
        <v>75</v>
      </c>
      <c r="C409">
        <v>0.58499999999999996</v>
      </c>
      <c r="D409">
        <v>0.46</v>
      </c>
      <c r="E409">
        <v>0.16500000000000001</v>
      </c>
      <c r="F409">
        <v>1.0580000000000001</v>
      </c>
      <c r="G409">
        <v>0.48599999999999999</v>
      </c>
      <c r="H409">
        <v>0.25</v>
      </c>
      <c r="I409">
        <v>0.29399999999999998</v>
      </c>
      <c r="J409">
        <v>9</v>
      </c>
      <c r="K409">
        <v>10</v>
      </c>
      <c r="L409" t="s">
        <v>37</v>
      </c>
      <c r="M409" t="s">
        <v>38</v>
      </c>
      <c r="N409" t="s">
        <v>39</v>
      </c>
      <c r="O409">
        <v>6</v>
      </c>
      <c r="P409" t="s">
        <v>7</v>
      </c>
      <c r="Q409">
        <v>14.1</v>
      </c>
    </row>
    <row r="410" spans="1:17">
      <c r="A410">
        <v>3357</v>
      </c>
      <c r="B410" t="s">
        <v>75</v>
      </c>
      <c r="C410">
        <v>0.39</v>
      </c>
      <c r="D410">
        <v>0.3</v>
      </c>
      <c r="E410">
        <v>0.1</v>
      </c>
      <c r="F410">
        <v>0.3085</v>
      </c>
      <c r="G410">
        <v>0.13850000000000001</v>
      </c>
      <c r="H410">
        <v>7.3499999999999996E-2</v>
      </c>
      <c r="I410">
        <v>8.5000000000000006E-2</v>
      </c>
      <c r="J410">
        <v>6</v>
      </c>
      <c r="K410">
        <v>1</v>
      </c>
      <c r="L410" t="s">
        <v>70</v>
      </c>
      <c r="M410" t="s">
        <v>71</v>
      </c>
      <c r="N410" t="s">
        <v>45</v>
      </c>
      <c r="O410">
        <v>3</v>
      </c>
      <c r="P410" t="s">
        <v>10</v>
      </c>
      <c r="Q410">
        <v>3.6</v>
      </c>
    </row>
    <row r="411" spans="1:17">
      <c r="A411">
        <v>3122</v>
      </c>
      <c r="B411" t="s">
        <v>75</v>
      </c>
      <c r="C411">
        <v>0.55000000000000004</v>
      </c>
      <c r="D411">
        <v>0.42499999999999999</v>
      </c>
      <c r="E411">
        <v>0.14000000000000001</v>
      </c>
      <c r="F411">
        <v>0.95199999999999996</v>
      </c>
      <c r="G411">
        <v>0.48949999999999999</v>
      </c>
      <c r="H411">
        <v>0.19450000000000001</v>
      </c>
      <c r="I411">
        <v>0.2185</v>
      </c>
      <c r="J411">
        <v>7</v>
      </c>
      <c r="K411">
        <v>11</v>
      </c>
      <c r="L411" t="s">
        <v>65</v>
      </c>
      <c r="M411" t="s">
        <v>66</v>
      </c>
      <c r="N411" t="s">
        <v>45</v>
      </c>
      <c r="O411">
        <v>5</v>
      </c>
      <c r="P411" t="s">
        <v>12</v>
      </c>
      <c r="Q411">
        <v>12.8</v>
      </c>
    </row>
    <row r="412" spans="1:17">
      <c r="A412">
        <v>2513</v>
      </c>
      <c r="B412" t="s">
        <v>75</v>
      </c>
      <c r="C412">
        <v>0.46500000000000002</v>
      </c>
      <c r="D412">
        <v>0.375</v>
      </c>
      <c r="E412">
        <v>0.11</v>
      </c>
      <c r="F412">
        <v>0.5</v>
      </c>
      <c r="G412">
        <v>0.21</v>
      </c>
      <c r="H412">
        <v>0.113</v>
      </c>
      <c r="I412">
        <v>0.15049999999999999</v>
      </c>
      <c r="J412">
        <v>8</v>
      </c>
      <c r="K412">
        <v>3</v>
      </c>
      <c r="L412" t="s">
        <v>52</v>
      </c>
      <c r="M412" t="s">
        <v>53</v>
      </c>
      <c r="N412" t="s">
        <v>54</v>
      </c>
      <c r="O412">
        <v>5</v>
      </c>
      <c r="P412" t="s">
        <v>12</v>
      </c>
      <c r="Q412">
        <v>12.8</v>
      </c>
    </row>
    <row r="413" spans="1:17">
      <c r="A413">
        <v>221</v>
      </c>
      <c r="B413" t="s">
        <v>75</v>
      </c>
      <c r="C413">
        <v>0.44500000000000001</v>
      </c>
      <c r="D413">
        <v>0.32500000000000001</v>
      </c>
      <c r="E413">
        <v>0.125</v>
      </c>
      <c r="F413">
        <v>0.45500000000000002</v>
      </c>
      <c r="G413">
        <v>0.17849999999999999</v>
      </c>
      <c r="H413">
        <v>0.1125</v>
      </c>
      <c r="I413">
        <v>0.14000000000000001</v>
      </c>
      <c r="J413">
        <v>9</v>
      </c>
      <c r="K413">
        <v>12</v>
      </c>
      <c r="L413" t="s">
        <v>58</v>
      </c>
      <c r="M413" t="s">
        <v>59</v>
      </c>
      <c r="N413" t="s">
        <v>45</v>
      </c>
      <c r="O413">
        <v>6</v>
      </c>
      <c r="P413" t="s">
        <v>7</v>
      </c>
      <c r="Q413">
        <v>14.1</v>
      </c>
    </row>
    <row r="414" spans="1:17">
      <c r="A414">
        <v>219</v>
      </c>
      <c r="B414" t="s">
        <v>75</v>
      </c>
      <c r="C414">
        <v>0.47</v>
      </c>
      <c r="D414">
        <v>0.36</v>
      </c>
      <c r="E414">
        <v>0.13500000000000001</v>
      </c>
      <c r="F414">
        <v>0.501</v>
      </c>
      <c r="G414">
        <v>0.16650000000000001</v>
      </c>
      <c r="H414">
        <v>0.115</v>
      </c>
      <c r="I414">
        <v>0.16500000000000001</v>
      </c>
      <c r="J414">
        <v>10</v>
      </c>
      <c r="K414">
        <v>2</v>
      </c>
      <c r="L414" t="s">
        <v>49</v>
      </c>
      <c r="M414" t="s">
        <v>50</v>
      </c>
      <c r="N414" t="s">
        <v>51</v>
      </c>
      <c r="O414">
        <v>4</v>
      </c>
      <c r="P414" t="s">
        <v>8</v>
      </c>
      <c r="Q414">
        <v>6.1</v>
      </c>
    </row>
    <row r="415" spans="1:17">
      <c r="A415">
        <v>2483</v>
      </c>
      <c r="B415" t="s">
        <v>75</v>
      </c>
      <c r="C415">
        <v>0.52</v>
      </c>
      <c r="D415">
        <v>0.4</v>
      </c>
      <c r="E415">
        <v>0.16500000000000001</v>
      </c>
      <c r="F415">
        <v>0.85650000000000004</v>
      </c>
      <c r="G415">
        <v>0.27450000000000002</v>
      </c>
      <c r="H415">
        <v>0.20100000000000001</v>
      </c>
      <c r="I415">
        <v>0.21</v>
      </c>
      <c r="J415">
        <v>12</v>
      </c>
      <c r="K415">
        <v>13</v>
      </c>
      <c r="L415" t="s">
        <v>43</v>
      </c>
      <c r="M415" t="s">
        <v>44</v>
      </c>
      <c r="N415" t="s">
        <v>45</v>
      </c>
      <c r="O415">
        <v>5</v>
      </c>
      <c r="P415" t="s">
        <v>12</v>
      </c>
      <c r="Q415">
        <v>12.8</v>
      </c>
    </row>
    <row r="416" spans="1:17">
      <c r="A416">
        <v>1950</v>
      </c>
      <c r="B416" t="s">
        <v>75</v>
      </c>
      <c r="C416">
        <v>0.64</v>
      </c>
      <c r="D416">
        <v>0.53</v>
      </c>
      <c r="E416">
        <v>0.16500000000000001</v>
      </c>
      <c r="F416">
        <v>1.1895</v>
      </c>
      <c r="G416">
        <v>0.47649999999999998</v>
      </c>
      <c r="H416">
        <v>0.3</v>
      </c>
      <c r="I416">
        <v>0.35</v>
      </c>
      <c r="J416">
        <v>11</v>
      </c>
      <c r="K416">
        <v>11</v>
      </c>
      <c r="L416" t="s">
        <v>65</v>
      </c>
      <c r="M416" t="s">
        <v>66</v>
      </c>
      <c r="N416" t="s">
        <v>45</v>
      </c>
      <c r="O416">
        <v>1</v>
      </c>
      <c r="P416" t="s">
        <v>4</v>
      </c>
      <c r="Q416">
        <v>22.1</v>
      </c>
    </row>
    <row r="417" spans="1:17">
      <c r="A417">
        <v>2734</v>
      </c>
      <c r="B417" t="s">
        <v>75</v>
      </c>
      <c r="C417">
        <v>0.41499999999999998</v>
      </c>
      <c r="D417">
        <v>0.33500000000000002</v>
      </c>
      <c r="E417">
        <v>0.1</v>
      </c>
      <c r="F417">
        <v>0.35799999999999998</v>
      </c>
      <c r="G417">
        <v>0.16900000000000001</v>
      </c>
      <c r="H417">
        <v>6.7000000000000004E-2</v>
      </c>
      <c r="I417">
        <v>0.105</v>
      </c>
      <c r="J417">
        <v>7</v>
      </c>
      <c r="K417">
        <v>11</v>
      </c>
      <c r="L417" t="s">
        <v>65</v>
      </c>
      <c r="M417" t="s">
        <v>66</v>
      </c>
      <c r="N417" t="s">
        <v>45</v>
      </c>
      <c r="O417">
        <v>6</v>
      </c>
      <c r="P417" t="s">
        <v>7</v>
      </c>
      <c r="Q417">
        <v>14.1</v>
      </c>
    </row>
    <row r="418" spans="1:17">
      <c r="A418">
        <v>3477</v>
      </c>
      <c r="B418" t="s">
        <v>75</v>
      </c>
      <c r="C418">
        <v>0.4</v>
      </c>
      <c r="D418">
        <v>0.28999999999999998</v>
      </c>
      <c r="E418">
        <v>0.1</v>
      </c>
      <c r="F418">
        <v>0.25800000000000001</v>
      </c>
      <c r="G418">
        <v>0.104</v>
      </c>
      <c r="H418">
        <v>5.8999999999999997E-2</v>
      </c>
      <c r="I418">
        <v>8.1500000000000003E-2</v>
      </c>
      <c r="J418">
        <v>7</v>
      </c>
      <c r="K418">
        <v>7</v>
      </c>
      <c r="L418" t="s">
        <v>62</v>
      </c>
      <c r="M418" t="s">
        <v>63</v>
      </c>
      <c r="N418" t="s">
        <v>64</v>
      </c>
      <c r="O418">
        <v>4</v>
      </c>
      <c r="P418" t="s">
        <v>8</v>
      </c>
      <c r="Q418">
        <v>6.1</v>
      </c>
    </row>
    <row r="419" spans="1:17">
      <c r="A419">
        <v>4010</v>
      </c>
      <c r="B419" t="s">
        <v>75</v>
      </c>
      <c r="C419">
        <v>0.61</v>
      </c>
      <c r="D419">
        <v>0.49</v>
      </c>
      <c r="E419">
        <v>0.16</v>
      </c>
      <c r="F419">
        <v>1.1459999999999999</v>
      </c>
      <c r="G419">
        <v>0.59699999999999998</v>
      </c>
      <c r="H419">
        <v>0.246</v>
      </c>
      <c r="I419">
        <v>0.26500000000000001</v>
      </c>
      <c r="J419">
        <v>8</v>
      </c>
      <c r="K419">
        <v>11</v>
      </c>
      <c r="L419" t="s">
        <v>65</v>
      </c>
      <c r="M419" t="s">
        <v>66</v>
      </c>
      <c r="N419" t="s">
        <v>45</v>
      </c>
      <c r="O419">
        <v>6</v>
      </c>
      <c r="P419" t="s">
        <v>7</v>
      </c>
      <c r="Q419">
        <v>14.1</v>
      </c>
    </row>
    <row r="420" spans="1:17">
      <c r="A420">
        <v>2884</v>
      </c>
      <c r="B420" t="s">
        <v>75</v>
      </c>
      <c r="C420">
        <v>0.5</v>
      </c>
      <c r="D420">
        <v>0.37</v>
      </c>
      <c r="E420">
        <v>0.12</v>
      </c>
      <c r="F420">
        <v>0.54449999999999998</v>
      </c>
      <c r="G420">
        <v>0.249</v>
      </c>
      <c r="H420">
        <v>0.1065</v>
      </c>
      <c r="I420">
        <v>0.152</v>
      </c>
      <c r="J420">
        <v>8</v>
      </c>
      <c r="K420">
        <v>3</v>
      </c>
      <c r="L420" t="s">
        <v>52</v>
      </c>
      <c r="M420" t="s">
        <v>53</v>
      </c>
      <c r="N420" t="s">
        <v>54</v>
      </c>
      <c r="O420">
        <v>1</v>
      </c>
      <c r="P420" t="s">
        <v>4</v>
      </c>
      <c r="Q420">
        <v>22.1</v>
      </c>
    </row>
    <row r="421" spans="1:17">
      <c r="A421">
        <v>3481</v>
      </c>
      <c r="B421" t="s">
        <v>75</v>
      </c>
      <c r="C421">
        <v>0.45</v>
      </c>
      <c r="D421">
        <v>0.34</v>
      </c>
      <c r="E421">
        <v>0.105</v>
      </c>
      <c r="F421">
        <v>0.4385</v>
      </c>
      <c r="G421">
        <v>0.21</v>
      </c>
      <c r="H421">
        <v>9.2499999999999999E-2</v>
      </c>
      <c r="I421">
        <v>0.12</v>
      </c>
      <c r="J421">
        <v>8</v>
      </c>
      <c r="K421">
        <v>15</v>
      </c>
      <c r="L421" t="s">
        <v>60</v>
      </c>
      <c r="M421" t="s">
        <v>61</v>
      </c>
      <c r="N421" t="s">
        <v>45</v>
      </c>
      <c r="O421">
        <v>7</v>
      </c>
      <c r="P421" t="s">
        <v>6</v>
      </c>
      <c r="Q421">
        <v>2.5</v>
      </c>
    </row>
    <row r="422" spans="1:17">
      <c r="A422">
        <v>3717</v>
      </c>
      <c r="B422" t="s">
        <v>75</v>
      </c>
      <c r="C422">
        <v>0.23499999999999999</v>
      </c>
      <c r="D422">
        <v>0.13</v>
      </c>
      <c r="E422">
        <v>7.4999999999999997E-2</v>
      </c>
      <c r="F422">
        <v>0.1585</v>
      </c>
      <c r="G422">
        <v>6.8500000000000005E-2</v>
      </c>
      <c r="H422">
        <v>3.6999999999999998E-2</v>
      </c>
      <c r="I422">
        <v>4.65E-2</v>
      </c>
      <c r="J422">
        <v>5</v>
      </c>
      <c r="K422">
        <v>10</v>
      </c>
      <c r="L422" t="s">
        <v>37</v>
      </c>
      <c r="M422" t="s">
        <v>38</v>
      </c>
      <c r="N422" t="s">
        <v>39</v>
      </c>
      <c r="O422">
        <v>5</v>
      </c>
      <c r="P422" t="s">
        <v>12</v>
      </c>
      <c r="Q422">
        <v>12.8</v>
      </c>
    </row>
    <row r="423" spans="1:17">
      <c r="A423">
        <v>2296</v>
      </c>
      <c r="B423" t="s">
        <v>75</v>
      </c>
      <c r="C423">
        <v>0.52</v>
      </c>
      <c r="D423">
        <v>0.41499999999999998</v>
      </c>
      <c r="E423">
        <v>0.14499999999999999</v>
      </c>
      <c r="F423">
        <v>0.80449999999999999</v>
      </c>
      <c r="G423">
        <v>0.33250000000000002</v>
      </c>
      <c r="H423">
        <v>0.17249999999999999</v>
      </c>
      <c r="I423">
        <v>0.28499999999999998</v>
      </c>
      <c r="J423">
        <v>10</v>
      </c>
      <c r="K423">
        <v>12</v>
      </c>
      <c r="L423" t="s">
        <v>58</v>
      </c>
      <c r="M423" t="s">
        <v>59</v>
      </c>
      <c r="N423" t="s">
        <v>45</v>
      </c>
      <c r="O423">
        <v>1</v>
      </c>
      <c r="P423" t="s">
        <v>4</v>
      </c>
      <c r="Q423">
        <v>22.1</v>
      </c>
    </row>
    <row r="424" spans="1:17">
      <c r="A424">
        <v>1940</v>
      </c>
      <c r="B424" t="s">
        <v>75</v>
      </c>
      <c r="C424">
        <v>0.625</v>
      </c>
      <c r="D424">
        <v>0.44500000000000001</v>
      </c>
      <c r="E424">
        <v>0.16</v>
      </c>
      <c r="F424">
        <v>1.0900000000000001</v>
      </c>
      <c r="G424">
        <v>0.46</v>
      </c>
      <c r="H424">
        <v>0.29649999999999999</v>
      </c>
      <c r="I424">
        <v>0.30399999999999999</v>
      </c>
      <c r="J424">
        <v>11</v>
      </c>
      <c r="K424">
        <v>9</v>
      </c>
      <c r="L424" t="s">
        <v>34</v>
      </c>
      <c r="M424" t="s">
        <v>35</v>
      </c>
      <c r="N424" t="s">
        <v>36</v>
      </c>
      <c r="O424">
        <v>4</v>
      </c>
      <c r="P424" t="s">
        <v>8</v>
      </c>
      <c r="Q424">
        <v>6.1</v>
      </c>
    </row>
    <row r="425" spans="1:17">
      <c r="A425">
        <v>1170</v>
      </c>
      <c r="B425" t="s">
        <v>75</v>
      </c>
      <c r="C425">
        <v>0.62</v>
      </c>
      <c r="D425">
        <v>0.48</v>
      </c>
      <c r="E425">
        <v>0.16</v>
      </c>
      <c r="F425">
        <v>1.1125</v>
      </c>
      <c r="G425">
        <v>0.5635</v>
      </c>
      <c r="H425">
        <v>0.2445</v>
      </c>
      <c r="I425">
        <v>0.28100000000000003</v>
      </c>
      <c r="J425">
        <v>8</v>
      </c>
      <c r="K425">
        <v>3</v>
      </c>
      <c r="L425" t="s">
        <v>52</v>
      </c>
      <c r="M425" t="s">
        <v>53</v>
      </c>
      <c r="N425" t="s">
        <v>54</v>
      </c>
      <c r="O425">
        <v>9</v>
      </c>
      <c r="P425" t="s">
        <v>9</v>
      </c>
      <c r="Q425">
        <v>1.9</v>
      </c>
    </row>
    <row r="426" spans="1:17">
      <c r="A426">
        <v>2289</v>
      </c>
      <c r="B426" t="s">
        <v>75</v>
      </c>
      <c r="C426">
        <v>0.33</v>
      </c>
      <c r="D426">
        <v>0.26500000000000001</v>
      </c>
      <c r="E426">
        <v>0.09</v>
      </c>
      <c r="F426">
        <v>0.18</v>
      </c>
      <c r="G426">
        <v>6.8000000000000005E-2</v>
      </c>
      <c r="H426">
        <v>3.5999999999999997E-2</v>
      </c>
      <c r="I426">
        <v>0.06</v>
      </c>
      <c r="J426">
        <v>6</v>
      </c>
      <c r="K426">
        <v>10</v>
      </c>
      <c r="L426" t="s">
        <v>37</v>
      </c>
      <c r="M426" t="s">
        <v>38</v>
      </c>
      <c r="N426" t="s">
        <v>39</v>
      </c>
      <c r="O426">
        <v>9</v>
      </c>
      <c r="P426" t="s">
        <v>9</v>
      </c>
      <c r="Q426">
        <v>1.9</v>
      </c>
    </row>
    <row r="427" spans="1:17">
      <c r="A427">
        <v>3268</v>
      </c>
      <c r="B427" t="s">
        <v>75</v>
      </c>
      <c r="C427">
        <v>0.4</v>
      </c>
      <c r="D427">
        <v>0.33500000000000002</v>
      </c>
      <c r="E427">
        <v>0.115</v>
      </c>
      <c r="F427">
        <v>0.4335</v>
      </c>
      <c r="G427">
        <v>0.21049999999999999</v>
      </c>
      <c r="H427">
        <v>0.1205</v>
      </c>
      <c r="I427">
        <v>0.12</v>
      </c>
      <c r="J427">
        <v>10</v>
      </c>
      <c r="K427">
        <v>4</v>
      </c>
      <c r="L427" t="s">
        <v>40</v>
      </c>
      <c r="M427" t="s">
        <v>41</v>
      </c>
      <c r="N427" t="s">
        <v>42</v>
      </c>
      <c r="O427">
        <v>4</v>
      </c>
      <c r="P427" t="s">
        <v>8</v>
      </c>
      <c r="Q427">
        <v>6.1</v>
      </c>
    </row>
    <row r="428" spans="1:17">
      <c r="A428">
        <v>1354</v>
      </c>
      <c r="B428" t="s">
        <v>75</v>
      </c>
      <c r="C428">
        <v>0.6</v>
      </c>
      <c r="D428">
        <v>0.48</v>
      </c>
      <c r="E428">
        <v>0.155</v>
      </c>
      <c r="F428">
        <v>1.014</v>
      </c>
      <c r="G428">
        <v>0.45100000000000001</v>
      </c>
      <c r="H428">
        <v>0.1885</v>
      </c>
      <c r="I428">
        <v>0.32500000000000001</v>
      </c>
      <c r="J428">
        <v>11</v>
      </c>
      <c r="K428">
        <v>15</v>
      </c>
      <c r="L428" t="s">
        <v>60</v>
      </c>
      <c r="M428" t="s">
        <v>61</v>
      </c>
      <c r="N428" t="s">
        <v>45</v>
      </c>
      <c r="O428">
        <v>7</v>
      </c>
      <c r="P428" t="s">
        <v>6</v>
      </c>
      <c r="Q428">
        <v>2.5</v>
      </c>
    </row>
    <row r="429" spans="1:17">
      <c r="A429">
        <v>1546</v>
      </c>
      <c r="B429" t="s">
        <v>75</v>
      </c>
      <c r="C429">
        <v>0.375</v>
      </c>
      <c r="D429">
        <v>0.28000000000000003</v>
      </c>
      <c r="E429">
        <v>0.08</v>
      </c>
      <c r="F429">
        <v>0.2165</v>
      </c>
      <c r="G429">
        <v>9.35E-2</v>
      </c>
      <c r="H429">
        <v>9.2499999999999999E-2</v>
      </c>
      <c r="I429">
        <v>7.0000000000000007E-2</v>
      </c>
      <c r="J429">
        <v>7</v>
      </c>
      <c r="K429">
        <v>7</v>
      </c>
      <c r="L429" t="s">
        <v>62</v>
      </c>
      <c r="M429" t="s">
        <v>63</v>
      </c>
      <c r="N429" t="s">
        <v>64</v>
      </c>
      <c r="O429">
        <v>10</v>
      </c>
      <c r="P429" t="s">
        <v>11</v>
      </c>
      <c r="Q429">
        <v>24.1</v>
      </c>
    </row>
    <row r="430" spans="1:17">
      <c r="A430">
        <v>3837</v>
      </c>
      <c r="B430" t="s">
        <v>75</v>
      </c>
      <c r="C430">
        <v>0.41</v>
      </c>
      <c r="D430">
        <v>0.32500000000000001</v>
      </c>
      <c r="E430">
        <v>0.1</v>
      </c>
      <c r="F430">
        <v>0.35549999999999998</v>
      </c>
      <c r="G430">
        <v>0.14599999999999999</v>
      </c>
      <c r="H430">
        <v>7.1999999999999995E-2</v>
      </c>
      <c r="I430">
        <v>0.105</v>
      </c>
      <c r="J430">
        <v>9</v>
      </c>
      <c r="K430">
        <v>15</v>
      </c>
      <c r="L430" t="s">
        <v>60</v>
      </c>
      <c r="M430" t="s">
        <v>61</v>
      </c>
      <c r="N430" t="s">
        <v>45</v>
      </c>
      <c r="O430">
        <v>8</v>
      </c>
      <c r="P430" t="s">
        <v>13</v>
      </c>
      <c r="Q430">
        <v>12.3</v>
      </c>
    </row>
    <row r="431" spans="1:17">
      <c r="A431">
        <v>2436</v>
      </c>
      <c r="B431" t="s">
        <v>75</v>
      </c>
      <c r="C431">
        <v>0.46500000000000002</v>
      </c>
      <c r="D431">
        <v>0.38</v>
      </c>
      <c r="E431">
        <v>0.13500000000000001</v>
      </c>
      <c r="F431">
        <v>0.57899999999999996</v>
      </c>
      <c r="G431">
        <v>0.20799999999999999</v>
      </c>
      <c r="H431">
        <v>0.1095</v>
      </c>
      <c r="I431">
        <v>0.22</v>
      </c>
      <c r="J431">
        <v>14</v>
      </c>
      <c r="K431">
        <v>1</v>
      </c>
      <c r="L431" t="s">
        <v>70</v>
      </c>
      <c r="M431" t="s">
        <v>71</v>
      </c>
      <c r="N431" t="s">
        <v>45</v>
      </c>
      <c r="O431">
        <v>7</v>
      </c>
      <c r="P431" t="s">
        <v>6</v>
      </c>
      <c r="Q431">
        <v>2.5</v>
      </c>
    </row>
    <row r="432" spans="1:17">
      <c r="A432">
        <v>1843</v>
      </c>
      <c r="B432" t="s">
        <v>75</v>
      </c>
      <c r="C432">
        <v>0.435</v>
      </c>
      <c r="D432">
        <v>0.33</v>
      </c>
      <c r="E432">
        <v>0.11</v>
      </c>
      <c r="F432">
        <v>0.38</v>
      </c>
      <c r="G432">
        <v>0.1515</v>
      </c>
      <c r="H432">
        <v>9.4500000000000001E-2</v>
      </c>
      <c r="I432">
        <v>0.11</v>
      </c>
      <c r="J432">
        <v>7</v>
      </c>
      <c r="K432">
        <v>12</v>
      </c>
      <c r="L432" t="s">
        <v>58</v>
      </c>
      <c r="M432" t="s">
        <v>59</v>
      </c>
      <c r="N432" t="s">
        <v>45</v>
      </c>
      <c r="O432">
        <v>7</v>
      </c>
      <c r="P432" t="s">
        <v>6</v>
      </c>
      <c r="Q432">
        <v>2.5</v>
      </c>
    </row>
    <row r="433" spans="1:17">
      <c r="A433">
        <v>2006</v>
      </c>
      <c r="B433" t="s">
        <v>75</v>
      </c>
      <c r="C433">
        <v>0.39500000000000002</v>
      </c>
      <c r="D433">
        <v>0.28999999999999998</v>
      </c>
      <c r="E433">
        <v>9.5000000000000001E-2</v>
      </c>
      <c r="F433">
        <v>0.3</v>
      </c>
      <c r="G433">
        <v>0.158</v>
      </c>
      <c r="H433">
        <v>6.8000000000000005E-2</v>
      </c>
      <c r="I433">
        <v>7.8E-2</v>
      </c>
      <c r="J433">
        <v>7</v>
      </c>
      <c r="K433">
        <v>10</v>
      </c>
      <c r="L433" t="s">
        <v>37</v>
      </c>
      <c r="M433" t="s">
        <v>38</v>
      </c>
      <c r="N433" t="s">
        <v>39</v>
      </c>
      <c r="O433">
        <v>3</v>
      </c>
      <c r="P433" t="s">
        <v>10</v>
      </c>
      <c r="Q433">
        <v>3.6</v>
      </c>
    </row>
    <row r="434" spans="1:17">
      <c r="A434">
        <v>742</v>
      </c>
      <c r="B434" t="s">
        <v>75</v>
      </c>
      <c r="C434">
        <v>0.36</v>
      </c>
      <c r="D434">
        <v>0.26500000000000001</v>
      </c>
      <c r="E434">
        <v>0.09</v>
      </c>
      <c r="F434">
        <v>0.20649999999999999</v>
      </c>
      <c r="G434">
        <v>7.8E-2</v>
      </c>
      <c r="H434">
        <v>5.7000000000000002E-2</v>
      </c>
      <c r="I434">
        <v>0.06</v>
      </c>
      <c r="J434">
        <v>8</v>
      </c>
      <c r="K434">
        <v>7</v>
      </c>
      <c r="L434" t="s">
        <v>62</v>
      </c>
      <c r="M434" t="s">
        <v>63</v>
      </c>
      <c r="N434" t="s">
        <v>64</v>
      </c>
      <c r="O434">
        <v>5</v>
      </c>
      <c r="P434" t="s">
        <v>12</v>
      </c>
      <c r="Q434">
        <v>12.8</v>
      </c>
    </row>
    <row r="435" spans="1:17">
      <c r="A435">
        <v>2193</v>
      </c>
      <c r="B435" t="s">
        <v>75</v>
      </c>
      <c r="C435">
        <v>0.57499999999999996</v>
      </c>
      <c r="D435">
        <v>0.48499999999999999</v>
      </c>
      <c r="E435">
        <v>0.16500000000000001</v>
      </c>
      <c r="F435">
        <v>1.0405</v>
      </c>
      <c r="G435">
        <v>0.41899999999999998</v>
      </c>
      <c r="H435">
        <v>0.26400000000000001</v>
      </c>
      <c r="I435">
        <v>0.3</v>
      </c>
      <c r="J435">
        <v>14</v>
      </c>
      <c r="K435">
        <v>4</v>
      </c>
      <c r="L435" t="s">
        <v>40</v>
      </c>
      <c r="M435" t="s">
        <v>41</v>
      </c>
      <c r="N435" t="s">
        <v>42</v>
      </c>
      <c r="O435">
        <v>1</v>
      </c>
      <c r="P435" t="s">
        <v>4</v>
      </c>
      <c r="Q435">
        <v>22.1</v>
      </c>
    </row>
    <row r="436" spans="1:17">
      <c r="A436">
        <v>1989</v>
      </c>
      <c r="B436" t="s">
        <v>75</v>
      </c>
      <c r="C436">
        <v>0.21</v>
      </c>
      <c r="D436">
        <v>0.15</v>
      </c>
      <c r="E436">
        <v>5.5E-2</v>
      </c>
      <c r="F436">
        <v>4.65E-2</v>
      </c>
      <c r="G436">
        <v>1.7000000000000001E-2</v>
      </c>
      <c r="H436">
        <v>1.2E-2</v>
      </c>
      <c r="I436">
        <v>1.4999999999999999E-2</v>
      </c>
      <c r="J436">
        <v>5</v>
      </c>
      <c r="K436">
        <v>13</v>
      </c>
      <c r="L436" t="s">
        <v>43</v>
      </c>
      <c r="M436" t="s">
        <v>44</v>
      </c>
      <c r="N436" t="s">
        <v>45</v>
      </c>
      <c r="O436">
        <v>8</v>
      </c>
      <c r="P436" t="s">
        <v>13</v>
      </c>
      <c r="Q436">
        <v>12.3</v>
      </c>
    </row>
    <row r="437" spans="1:17">
      <c r="A437">
        <v>2900</v>
      </c>
      <c r="B437" t="s">
        <v>75</v>
      </c>
      <c r="C437">
        <v>0.55000000000000004</v>
      </c>
      <c r="D437">
        <v>0.42499999999999999</v>
      </c>
      <c r="E437">
        <v>0.13</v>
      </c>
      <c r="F437">
        <v>0.66400000000000003</v>
      </c>
      <c r="G437">
        <v>0.26950000000000002</v>
      </c>
      <c r="H437">
        <v>0.16300000000000001</v>
      </c>
      <c r="I437">
        <v>0.21</v>
      </c>
      <c r="J437">
        <v>8</v>
      </c>
      <c r="K437">
        <v>14</v>
      </c>
      <c r="L437" t="s">
        <v>72</v>
      </c>
      <c r="M437" t="s">
        <v>73</v>
      </c>
      <c r="N437" t="s">
        <v>74</v>
      </c>
      <c r="O437">
        <v>6</v>
      </c>
      <c r="P437" t="s">
        <v>7</v>
      </c>
      <c r="Q437">
        <v>14.1</v>
      </c>
    </row>
    <row r="438" spans="1:17">
      <c r="A438">
        <v>1882</v>
      </c>
      <c r="B438" t="s">
        <v>75</v>
      </c>
      <c r="C438">
        <v>0.55000000000000004</v>
      </c>
      <c r="D438">
        <v>0.45</v>
      </c>
      <c r="E438">
        <v>0.13</v>
      </c>
      <c r="F438">
        <v>0.80400000000000005</v>
      </c>
      <c r="G438">
        <v>0.33750000000000002</v>
      </c>
      <c r="H438">
        <v>0.14050000000000001</v>
      </c>
      <c r="I438">
        <v>0.23</v>
      </c>
      <c r="J438">
        <v>6</v>
      </c>
      <c r="K438">
        <v>15</v>
      </c>
      <c r="L438" t="s">
        <v>60</v>
      </c>
      <c r="M438" t="s">
        <v>61</v>
      </c>
      <c r="N438" t="s">
        <v>45</v>
      </c>
      <c r="O438">
        <v>9</v>
      </c>
      <c r="P438" t="s">
        <v>9</v>
      </c>
      <c r="Q438">
        <v>1.9</v>
      </c>
    </row>
    <row r="439" spans="1:17">
      <c r="A439">
        <v>3675</v>
      </c>
      <c r="B439" t="s">
        <v>75</v>
      </c>
      <c r="C439">
        <v>0.59499999999999997</v>
      </c>
      <c r="D439">
        <v>0.45</v>
      </c>
      <c r="E439">
        <v>0.16500000000000001</v>
      </c>
      <c r="F439">
        <v>1.081</v>
      </c>
      <c r="G439">
        <v>0.49</v>
      </c>
      <c r="H439">
        <v>0.2525</v>
      </c>
      <c r="I439">
        <v>0.27900000000000003</v>
      </c>
      <c r="J439">
        <v>12</v>
      </c>
      <c r="K439">
        <v>3</v>
      </c>
      <c r="L439" t="s">
        <v>52</v>
      </c>
      <c r="M439" t="s">
        <v>53</v>
      </c>
      <c r="N439" t="s">
        <v>54</v>
      </c>
      <c r="O439">
        <v>7</v>
      </c>
      <c r="P439" t="s">
        <v>6</v>
      </c>
      <c r="Q439">
        <v>2.5</v>
      </c>
    </row>
    <row r="440" spans="1:17">
      <c r="A440">
        <v>1939</v>
      </c>
      <c r="B440" t="s">
        <v>75</v>
      </c>
      <c r="C440">
        <v>0.625</v>
      </c>
      <c r="D440">
        <v>0.505</v>
      </c>
      <c r="E440">
        <v>0.185</v>
      </c>
      <c r="F440">
        <v>1.1565000000000001</v>
      </c>
      <c r="G440">
        <v>0.52</v>
      </c>
      <c r="H440">
        <v>0.24049999999999999</v>
      </c>
      <c r="I440">
        <v>0.35349999999999998</v>
      </c>
      <c r="J440">
        <v>10</v>
      </c>
      <c r="K440">
        <v>4</v>
      </c>
      <c r="L440" t="s">
        <v>40</v>
      </c>
      <c r="M440" t="s">
        <v>41</v>
      </c>
      <c r="N440" t="s">
        <v>42</v>
      </c>
      <c r="O440">
        <v>10</v>
      </c>
      <c r="P440" t="s">
        <v>11</v>
      </c>
      <c r="Q440">
        <v>24.1</v>
      </c>
    </row>
    <row r="441" spans="1:17">
      <c r="A441">
        <v>3474</v>
      </c>
      <c r="B441" t="s">
        <v>75</v>
      </c>
      <c r="C441">
        <v>0.21</v>
      </c>
      <c r="D441">
        <v>0.15</v>
      </c>
      <c r="E441">
        <v>5.5E-2</v>
      </c>
      <c r="F441">
        <v>4.5499999999999999E-2</v>
      </c>
      <c r="G441">
        <v>0.02</v>
      </c>
      <c r="H441">
        <v>6.4999999999999997E-3</v>
      </c>
      <c r="I441">
        <v>1.2999999999999999E-2</v>
      </c>
      <c r="J441">
        <v>4</v>
      </c>
      <c r="K441">
        <v>4</v>
      </c>
      <c r="L441" t="s">
        <v>40</v>
      </c>
      <c r="M441" t="s">
        <v>41</v>
      </c>
      <c r="N441" t="s">
        <v>42</v>
      </c>
      <c r="O441">
        <v>10</v>
      </c>
      <c r="P441" t="s">
        <v>11</v>
      </c>
      <c r="Q441">
        <v>24.1</v>
      </c>
    </row>
    <row r="442" spans="1:17">
      <c r="A442">
        <v>2397</v>
      </c>
      <c r="B442" t="s">
        <v>75</v>
      </c>
      <c r="C442">
        <v>0.625</v>
      </c>
      <c r="D442">
        <v>0.46500000000000002</v>
      </c>
      <c r="E442">
        <v>0.155</v>
      </c>
      <c r="F442">
        <v>0.97199999999999998</v>
      </c>
      <c r="G442">
        <v>0.40400000000000003</v>
      </c>
      <c r="H442">
        <v>0.1845</v>
      </c>
      <c r="I442">
        <v>0.35</v>
      </c>
      <c r="J442">
        <v>14</v>
      </c>
      <c r="K442">
        <v>5</v>
      </c>
      <c r="L442" t="s">
        <v>67</v>
      </c>
      <c r="M442" t="s">
        <v>68</v>
      </c>
      <c r="N442" t="s">
        <v>69</v>
      </c>
      <c r="O442">
        <v>2</v>
      </c>
      <c r="P442" t="s">
        <v>5</v>
      </c>
      <c r="Q442">
        <v>18</v>
      </c>
    </row>
    <row r="443" spans="1:17">
      <c r="A443">
        <v>1259</v>
      </c>
      <c r="B443" t="s">
        <v>75</v>
      </c>
      <c r="C443">
        <v>0.43</v>
      </c>
      <c r="D443">
        <v>0.315</v>
      </c>
      <c r="E443">
        <v>9.5000000000000001E-2</v>
      </c>
      <c r="F443">
        <v>0.378</v>
      </c>
      <c r="G443">
        <v>0.17499999999999999</v>
      </c>
      <c r="H443">
        <v>0.08</v>
      </c>
      <c r="I443">
        <v>0.1045</v>
      </c>
      <c r="J443">
        <v>8</v>
      </c>
      <c r="K443">
        <v>15</v>
      </c>
      <c r="L443" t="s">
        <v>60</v>
      </c>
      <c r="M443" t="s">
        <v>61</v>
      </c>
      <c r="N443" t="s">
        <v>45</v>
      </c>
      <c r="O443">
        <v>8</v>
      </c>
      <c r="P443" t="s">
        <v>13</v>
      </c>
      <c r="Q443">
        <v>12.3</v>
      </c>
    </row>
    <row r="444" spans="1:17">
      <c r="A444">
        <v>1848</v>
      </c>
      <c r="B444" t="s">
        <v>75</v>
      </c>
      <c r="C444">
        <v>0.47</v>
      </c>
      <c r="D444">
        <v>0.375</v>
      </c>
      <c r="E444">
        <v>0.12</v>
      </c>
      <c r="F444">
        <v>0.48699999999999999</v>
      </c>
      <c r="G444">
        <v>0.19600000000000001</v>
      </c>
      <c r="H444">
        <v>9.9000000000000005E-2</v>
      </c>
      <c r="I444">
        <v>0.13500000000000001</v>
      </c>
      <c r="J444">
        <v>8</v>
      </c>
      <c r="K444">
        <v>1</v>
      </c>
      <c r="L444" t="s">
        <v>70</v>
      </c>
      <c r="M444" t="s">
        <v>71</v>
      </c>
      <c r="N444" t="s">
        <v>45</v>
      </c>
      <c r="O444">
        <v>9</v>
      </c>
      <c r="P444" t="s">
        <v>9</v>
      </c>
      <c r="Q444">
        <v>1.9</v>
      </c>
    </row>
    <row r="445" spans="1:17">
      <c r="A445">
        <v>832</v>
      </c>
      <c r="B445" t="s">
        <v>75</v>
      </c>
      <c r="C445">
        <v>0.42499999999999999</v>
      </c>
      <c r="D445">
        <v>0.32500000000000001</v>
      </c>
      <c r="E445">
        <v>0.1</v>
      </c>
      <c r="F445">
        <v>0.39800000000000002</v>
      </c>
      <c r="G445">
        <v>0.11849999999999999</v>
      </c>
      <c r="H445">
        <v>6.4500000000000002E-2</v>
      </c>
      <c r="I445">
        <v>9.4500000000000001E-2</v>
      </c>
      <c r="J445">
        <v>6</v>
      </c>
      <c r="K445">
        <v>4</v>
      </c>
      <c r="L445" t="s">
        <v>40</v>
      </c>
      <c r="M445" t="s">
        <v>41</v>
      </c>
      <c r="N445" t="s">
        <v>42</v>
      </c>
      <c r="O445">
        <v>4</v>
      </c>
      <c r="P445" t="s">
        <v>8</v>
      </c>
      <c r="Q445">
        <v>6.1</v>
      </c>
    </row>
    <row r="446" spans="1:17">
      <c r="A446">
        <v>518</v>
      </c>
      <c r="B446" t="s">
        <v>75</v>
      </c>
      <c r="C446">
        <v>0.28000000000000003</v>
      </c>
      <c r="D446">
        <v>0.2</v>
      </c>
      <c r="E446">
        <v>0.08</v>
      </c>
      <c r="F446">
        <v>9.1499999999999998E-2</v>
      </c>
      <c r="G446">
        <v>3.3000000000000002E-2</v>
      </c>
      <c r="H446">
        <v>2.1499999999999998E-2</v>
      </c>
      <c r="I446">
        <v>0.03</v>
      </c>
      <c r="J446">
        <v>5</v>
      </c>
      <c r="K446">
        <v>12</v>
      </c>
      <c r="L446" t="s">
        <v>58</v>
      </c>
      <c r="M446" t="s">
        <v>59</v>
      </c>
      <c r="N446" t="s">
        <v>45</v>
      </c>
      <c r="O446">
        <v>7</v>
      </c>
      <c r="P446" t="s">
        <v>6</v>
      </c>
      <c r="Q446">
        <v>2.5</v>
      </c>
    </row>
    <row r="447" spans="1:17">
      <c r="A447">
        <v>202</v>
      </c>
      <c r="B447" t="s">
        <v>75</v>
      </c>
      <c r="C447">
        <v>0.5</v>
      </c>
      <c r="D447">
        <v>0.4</v>
      </c>
      <c r="E447">
        <v>0.16500000000000001</v>
      </c>
      <c r="F447">
        <v>0.82499999999999996</v>
      </c>
      <c r="G447">
        <v>0.254</v>
      </c>
      <c r="H447">
        <v>0.20499999999999999</v>
      </c>
      <c r="I447">
        <v>0.28499999999999998</v>
      </c>
      <c r="J447">
        <v>13</v>
      </c>
      <c r="K447">
        <v>10</v>
      </c>
      <c r="L447" t="s">
        <v>37</v>
      </c>
      <c r="M447" t="s">
        <v>38</v>
      </c>
      <c r="N447" t="s">
        <v>39</v>
      </c>
      <c r="O447">
        <v>6</v>
      </c>
      <c r="P447" t="s">
        <v>7</v>
      </c>
      <c r="Q447">
        <v>14.1</v>
      </c>
    </row>
    <row r="448" spans="1:17">
      <c r="A448">
        <v>4140</v>
      </c>
      <c r="B448" t="s">
        <v>75</v>
      </c>
      <c r="C448">
        <v>0.63500000000000001</v>
      </c>
      <c r="D448">
        <v>0.495</v>
      </c>
      <c r="E448">
        <v>0.17499999999999999</v>
      </c>
      <c r="F448">
        <v>1.2355</v>
      </c>
      <c r="G448">
        <v>0.52049999999999996</v>
      </c>
      <c r="H448">
        <v>0.3085</v>
      </c>
      <c r="I448">
        <v>0.34699999999999998</v>
      </c>
      <c r="J448">
        <v>10</v>
      </c>
      <c r="K448">
        <v>5</v>
      </c>
      <c r="L448" t="s">
        <v>67</v>
      </c>
      <c r="M448" t="s">
        <v>68</v>
      </c>
      <c r="N448" t="s">
        <v>69</v>
      </c>
      <c r="O448">
        <v>1</v>
      </c>
      <c r="P448" t="s">
        <v>4</v>
      </c>
      <c r="Q448">
        <v>22.1</v>
      </c>
    </row>
    <row r="449" spans="1:17">
      <c r="A449">
        <v>214</v>
      </c>
      <c r="B449" t="s">
        <v>75</v>
      </c>
      <c r="C449">
        <v>0.5</v>
      </c>
      <c r="D449">
        <v>0.40500000000000003</v>
      </c>
      <c r="E449">
        <v>0.14000000000000001</v>
      </c>
      <c r="F449">
        <v>0.61550000000000005</v>
      </c>
      <c r="G449">
        <v>0.24099999999999999</v>
      </c>
      <c r="H449">
        <v>0.13550000000000001</v>
      </c>
      <c r="I449">
        <v>0.20499999999999999</v>
      </c>
      <c r="J449">
        <v>9</v>
      </c>
      <c r="K449">
        <v>8</v>
      </c>
      <c r="L449" t="s">
        <v>55</v>
      </c>
      <c r="M449" t="s">
        <v>56</v>
      </c>
      <c r="N449" t="s">
        <v>57</v>
      </c>
      <c r="O449">
        <v>4</v>
      </c>
      <c r="P449" t="s">
        <v>8</v>
      </c>
      <c r="Q449">
        <v>6.1</v>
      </c>
    </row>
    <row r="450" spans="1:17">
      <c r="A450">
        <v>791</v>
      </c>
      <c r="B450" t="s">
        <v>75</v>
      </c>
      <c r="C450">
        <v>0.56999999999999995</v>
      </c>
      <c r="D450">
        <v>0.46500000000000002</v>
      </c>
      <c r="E450">
        <v>0.16</v>
      </c>
      <c r="F450">
        <v>0.89349999999999996</v>
      </c>
      <c r="G450">
        <v>0.3145</v>
      </c>
      <c r="H450">
        <v>0.25750000000000001</v>
      </c>
      <c r="I450">
        <v>0.26300000000000001</v>
      </c>
      <c r="J450">
        <v>10</v>
      </c>
      <c r="K450">
        <v>14</v>
      </c>
      <c r="L450" t="s">
        <v>72</v>
      </c>
      <c r="M450" t="s">
        <v>73</v>
      </c>
      <c r="N450" t="s">
        <v>74</v>
      </c>
      <c r="O450">
        <v>10</v>
      </c>
      <c r="P450" t="s">
        <v>11</v>
      </c>
      <c r="Q450">
        <v>24.1</v>
      </c>
    </row>
    <row r="451" spans="1:17">
      <c r="A451">
        <v>4167</v>
      </c>
      <c r="B451" t="s">
        <v>75</v>
      </c>
      <c r="C451">
        <v>0.47499999999999998</v>
      </c>
      <c r="D451">
        <v>0.36499999999999999</v>
      </c>
      <c r="E451">
        <v>0.115</v>
      </c>
      <c r="F451">
        <v>0.499</v>
      </c>
      <c r="G451">
        <v>0.23200000000000001</v>
      </c>
      <c r="H451">
        <v>8.8499999999999995E-2</v>
      </c>
      <c r="I451">
        <v>0.156</v>
      </c>
      <c r="J451">
        <v>10</v>
      </c>
      <c r="K451">
        <v>1</v>
      </c>
      <c r="L451" t="s">
        <v>70</v>
      </c>
      <c r="M451" t="s">
        <v>71</v>
      </c>
      <c r="N451" t="s">
        <v>45</v>
      </c>
      <c r="O451">
        <v>5</v>
      </c>
      <c r="P451" t="s">
        <v>12</v>
      </c>
      <c r="Q451">
        <v>12.8</v>
      </c>
    </row>
    <row r="452" spans="1:17">
      <c r="A452">
        <v>1437</v>
      </c>
      <c r="B452" t="s">
        <v>75</v>
      </c>
      <c r="C452">
        <v>0.39500000000000002</v>
      </c>
      <c r="D452">
        <v>0.29499999999999998</v>
      </c>
      <c r="E452">
        <v>0.09</v>
      </c>
      <c r="F452">
        <v>0.30249999999999999</v>
      </c>
      <c r="G452">
        <v>0.14299999999999999</v>
      </c>
      <c r="H452">
        <v>6.6500000000000004E-2</v>
      </c>
      <c r="I452">
        <v>7.6499999999999999E-2</v>
      </c>
      <c r="J452">
        <v>5</v>
      </c>
      <c r="K452">
        <v>10</v>
      </c>
      <c r="L452" t="s">
        <v>37</v>
      </c>
      <c r="M452" t="s">
        <v>38</v>
      </c>
      <c r="N452" t="s">
        <v>39</v>
      </c>
      <c r="O452">
        <v>4</v>
      </c>
      <c r="P452" t="s">
        <v>8</v>
      </c>
      <c r="Q452">
        <v>6.1</v>
      </c>
    </row>
    <row r="453" spans="1:17">
      <c r="A453">
        <v>3214</v>
      </c>
      <c r="B453" t="s">
        <v>75</v>
      </c>
      <c r="C453">
        <v>0.55500000000000005</v>
      </c>
      <c r="D453">
        <v>0.42</v>
      </c>
      <c r="E453">
        <v>0.14000000000000001</v>
      </c>
      <c r="F453">
        <v>0.86799999999999999</v>
      </c>
      <c r="G453">
        <v>0.33</v>
      </c>
      <c r="H453">
        <v>0.24299999999999999</v>
      </c>
      <c r="I453">
        <v>0.21</v>
      </c>
      <c r="J453">
        <v>13</v>
      </c>
      <c r="K453">
        <v>8</v>
      </c>
      <c r="L453" t="s">
        <v>55</v>
      </c>
      <c r="M453" t="s">
        <v>56</v>
      </c>
      <c r="N453" t="s">
        <v>57</v>
      </c>
      <c r="O453">
        <v>5</v>
      </c>
      <c r="P453" t="s">
        <v>12</v>
      </c>
      <c r="Q453">
        <v>12.8</v>
      </c>
    </row>
    <row r="454" spans="1:17">
      <c r="A454">
        <v>1600</v>
      </c>
      <c r="B454" t="s">
        <v>75</v>
      </c>
      <c r="C454">
        <v>0.53</v>
      </c>
      <c r="D454">
        <v>0.42</v>
      </c>
      <c r="E454">
        <v>0.13</v>
      </c>
      <c r="F454">
        <v>0.83650000000000002</v>
      </c>
      <c r="G454">
        <v>0.3745</v>
      </c>
      <c r="H454">
        <v>0.16700000000000001</v>
      </c>
      <c r="I454">
        <v>0.249</v>
      </c>
      <c r="J454">
        <v>11</v>
      </c>
      <c r="K454">
        <v>8</v>
      </c>
      <c r="L454" t="s">
        <v>55</v>
      </c>
      <c r="M454" t="s">
        <v>56</v>
      </c>
      <c r="N454" t="s">
        <v>57</v>
      </c>
      <c r="O454">
        <v>2</v>
      </c>
      <c r="P454" t="s">
        <v>5</v>
      </c>
      <c r="Q454">
        <v>18</v>
      </c>
    </row>
    <row r="455" spans="1:17">
      <c r="A455">
        <v>2189</v>
      </c>
      <c r="B455" t="s">
        <v>75</v>
      </c>
      <c r="C455">
        <v>0.47</v>
      </c>
      <c r="D455">
        <v>0.37</v>
      </c>
      <c r="E455">
        <v>0.13500000000000001</v>
      </c>
      <c r="F455">
        <v>0.54700000000000004</v>
      </c>
      <c r="G455">
        <v>0.222</v>
      </c>
      <c r="H455">
        <v>0.13250000000000001</v>
      </c>
      <c r="I455">
        <v>0.17</v>
      </c>
      <c r="J455">
        <v>12</v>
      </c>
      <c r="K455">
        <v>13</v>
      </c>
      <c r="L455" t="s">
        <v>43</v>
      </c>
      <c r="M455" t="s">
        <v>44</v>
      </c>
      <c r="N455" t="s">
        <v>45</v>
      </c>
      <c r="O455">
        <v>4</v>
      </c>
      <c r="P455" t="s">
        <v>8</v>
      </c>
      <c r="Q455">
        <v>6.1</v>
      </c>
    </row>
    <row r="456" spans="1:17">
      <c r="A456">
        <v>625</v>
      </c>
      <c r="B456" t="s">
        <v>75</v>
      </c>
      <c r="C456">
        <v>0.46500000000000002</v>
      </c>
      <c r="D456">
        <v>0.36</v>
      </c>
      <c r="E456">
        <v>0.105</v>
      </c>
      <c r="F456">
        <v>0.498</v>
      </c>
      <c r="G456">
        <v>0.214</v>
      </c>
      <c r="H456">
        <v>0.11600000000000001</v>
      </c>
      <c r="I456">
        <v>0.14000000000000001</v>
      </c>
      <c r="J456">
        <v>15</v>
      </c>
      <c r="K456">
        <v>15</v>
      </c>
      <c r="L456" t="s">
        <v>60</v>
      </c>
      <c r="M456" t="s">
        <v>61</v>
      </c>
      <c r="N456" t="s">
        <v>45</v>
      </c>
      <c r="O456">
        <v>3</v>
      </c>
      <c r="P456" t="s">
        <v>10</v>
      </c>
      <c r="Q456">
        <v>3.6</v>
      </c>
    </row>
    <row r="457" spans="1:17">
      <c r="A457">
        <v>2903</v>
      </c>
      <c r="B457" t="s">
        <v>75</v>
      </c>
      <c r="C457">
        <v>0.56000000000000005</v>
      </c>
      <c r="D457">
        <v>0.435</v>
      </c>
      <c r="E457">
        <v>0.13</v>
      </c>
      <c r="F457">
        <v>0.77700000000000002</v>
      </c>
      <c r="G457">
        <v>0.35399999999999998</v>
      </c>
      <c r="H457">
        <v>0.17299999999999999</v>
      </c>
      <c r="I457">
        <v>0.222</v>
      </c>
      <c r="J457">
        <v>9</v>
      </c>
      <c r="K457">
        <v>9</v>
      </c>
      <c r="L457" t="s">
        <v>34</v>
      </c>
      <c r="M457" t="s">
        <v>35</v>
      </c>
      <c r="N457" t="s">
        <v>36</v>
      </c>
      <c r="O457">
        <v>2</v>
      </c>
      <c r="P457" t="s">
        <v>5</v>
      </c>
      <c r="Q457">
        <v>18</v>
      </c>
    </row>
    <row r="458" spans="1:17">
      <c r="A458">
        <v>4029</v>
      </c>
      <c r="B458" t="s">
        <v>75</v>
      </c>
      <c r="C458">
        <v>0.42</v>
      </c>
      <c r="D458">
        <v>0.31</v>
      </c>
      <c r="E458">
        <v>0.1</v>
      </c>
      <c r="F458">
        <v>0.28050000000000003</v>
      </c>
      <c r="G458">
        <v>0.1125</v>
      </c>
      <c r="H458">
        <v>6.1499999999999999E-2</v>
      </c>
      <c r="I458">
        <v>9.2499999999999999E-2</v>
      </c>
      <c r="J458">
        <v>8</v>
      </c>
      <c r="K458">
        <v>6</v>
      </c>
      <c r="L458" t="s">
        <v>46</v>
      </c>
      <c r="M458" t="s">
        <v>47</v>
      </c>
      <c r="N458" t="s">
        <v>48</v>
      </c>
      <c r="O458">
        <v>7</v>
      </c>
      <c r="P458" t="s">
        <v>6</v>
      </c>
      <c r="Q458">
        <v>2.5</v>
      </c>
    </row>
    <row r="459" spans="1:17">
      <c r="A459">
        <v>1056</v>
      </c>
      <c r="B459" t="s">
        <v>75</v>
      </c>
      <c r="C459">
        <v>0.19500000000000001</v>
      </c>
      <c r="D459">
        <v>0.13500000000000001</v>
      </c>
      <c r="E459">
        <v>0.04</v>
      </c>
      <c r="F459">
        <v>3.2500000000000001E-2</v>
      </c>
      <c r="G459">
        <v>1.35E-2</v>
      </c>
      <c r="H459">
        <v>5.0000000000000001E-3</v>
      </c>
      <c r="I459">
        <v>9.4999999999999998E-3</v>
      </c>
      <c r="J459">
        <v>4</v>
      </c>
      <c r="K459">
        <v>15</v>
      </c>
      <c r="L459" t="s">
        <v>60</v>
      </c>
      <c r="M459" t="s">
        <v>61</v>
      </c>
      <c r="N459" t="s">
        <v>45</v>
      </c>
      <c r="O459">
        <v>6</v>
      </c>
      <c r="P459" t="s">
        <v>7</v>
      </c>
      <c r="Q459">
        <v>14.1</v>
      </c>
    </row>
    <row r="460" spans="1:17">
      <c r="A460">
        <v>3187</v>
      </c>
      <c r="B460" t="s">
        <v>75</v>
      </c>
      <c r="C460">
        <v>0.47</v>
      </c>
      <c r="D460">
        <v>0.36</v>
      </c>
      <c r="E460">
        <v>0.11</v>
      </c>
      <c r="F460">
        <v>0.4965</v>
      </c>
      <c r="G460">
        <v>0.23699999999999999</v>
      </c>
      <c r="H460">
        <v>0.127</v>
      </c>
      <c r="I460">
        <v>0.13</v>
      </c>
      <c r="J460">
        <v>6</v>
      </c>
      <c r="K460">
        <v>3</v>
      </c>
      <c r="L460" t="s">
        <v>52</v>
      </c>
      <c r="M460" t="s">
        <v>53</v>
      </c>
      <c r="N460" t="s">
        <v>54</v>
      </c>
      <c r="O460">
        <v>1</v>
      </c>
      <c r="P460" t="s">
        <v>4</v>
      </c>
      <c r="Q460">
        <v>22.1</v>
      </c>
    </row>
    <row r="461" spans="1:17">
      <c r="A461">
        <v>1103</v>
      </c>
      <c r="B461" t="s">
        <v>75</v>
      </c>
      <c r="C461">
        <v>0.5</v>
      </c>
      <c r="D461">
        <v>0.39</v>
      </c>
      <c r="E461">
        <v>0.125</v>
      </c>
      <c r="F461">
        <v>0.52149999999999996</v>
      </c>
      <c r="G461">
        <v>0.2485</v>
      </c>
      <c r="H461">
        <v>0.11700000000000001</v>
      </c>
      <c r="I461">
        <v>0.13100000000000001</v>
      </c>
      <c r="J461">
        <v>6</v>
      </c>
      <c r="K461">
        <v>8</v>
      </c>
      <c r="L461" t="s">
        <v>55</v>
      </c>
      <c r="M461" t="s">
        <v>56</v>
      </c>
      <c r="N461" t="s">
        <v>57</v>
      </c>
      <c r="O461">
        <v>7</v>
      </c>
      <c r="P461" t="s">
        <v>6</v>
      </c>
      <c r="Q461">
        <v>2.5</v>
      </c>
    </row>
    <row r="462" spans="1:17">
      <c r="A462">
        <v>970</v>
      </c>
      <c r="B462" t="s">
        <v>75</v>
      </c>
      <c r="C462">
        <v>0.51</v>
      </c>
      <c r="D462">
        <v>0.41</v>
      </c>
      <c r="E462">
        <v>0.14499999999999999</v>
      </c>
      <c r="F462">
        <v>0.79600000000000004</v>
      </c>
      <c r="G462">
        <v>0.38650000000000001</v>
      </c>
      <c r="H462">
        <v>0.18149999999999999</v>
      </c>
      <c r="I462">
        <v>0.19550000000000001</v>
      </c>
      <c r="J462">
        <v>8</v>
      </c>
      <c r="K462">
        <v>2</v>
      </c>
      <c r="L462" t="s">
        <v>49</v>
      </c>
      <c r="M462" t="s">
        <v>50</v>
      </c>
      <c r="N462" t="s">
        <v>51</v>
      </c>
      <c r="O462">
        <v>7</v>
      </c>
      <c r="P462" t="s">
        <v>6</v>
      </c>
      <c r="Q462">
        <v>2.5</v>
      </c>
    </row>
    <row r="463" spans="1:17">
      <c r="A463">
        <v>2066</v>
      </c>
      <c r="B463" t="s">
        <v>75</v>
      </c>
      <c r="C463">
        <v>0.53500000000000003</v>
      </c>
      <c r="D463">
        <v>0.42</v>
      </c>
      <c r="E463">
        <v>0.13</v>
      </c>
      <c r="F463">
        <v>0.69899999999999995</v>
      </c>
      <c r="G463">
        <v>0.3125</v>
      </c>
      <c r="H463">
        <v>0.1565</v>
      </c>
      <c r="I463">
        <v>0.20349999999999999</v>
      </c>
      <c r="J463">
        <v>8</v>
      </c>
      <c r="K463">
        <v>9</v>
      </c>
      <c r="L463" t="s">
        <v>34</v>
      </c>
      <c r="M463" t="s">
        <v>35</v>
      </c>
      <c r="N463" t="s">
        <v>36</v>
      </c>
      <c r="O463">
        <v>8</v>
      </c>
      <c r="P463" t="s">
        <v>13</v>
      </c>
      <c r="Q463">
        <v>12.3</v>
      </c>
    </row>
    <row r="464" spans="1:17">
      <c r="A464">
        <v>3928</v>
      </c>
      <c r="B464" t="s">
        <v>75</v>
      </c>
      <c r="C464">
        <v>0.5</v>
      </c>
      <c r="D464">
        <v>0.38</v>
      </c>
      <c r="E464">
        <v>0.155</v>
      </c>
      <c r="F464">
        <v>0.66749999999999998</v>
      </c>
      <c r="G464">
        <v>0.27450000000000002</v>
      </c>
      <c r="H464">
        <v>0.156</v>
      </c>
      <c r="I464">
        <v>0.18</v>
      </c>
      <c r="J464">
        <v>12</v>
      </c>
      <c r="K464">
        <v>8</v>
      </c>
      <c r="L464" t="s">
        <v>55</v>
      </c>
      <c r="M464" t="s">
        <v>56</v>
      </c>
      <c r="N464" t="s">
        <v>57</v>
      </c>
      <c r="O464">
        <v>10</v>
      </c>
      <c r="P464" t="s">
        <v>11</v>
      </c>
      <c r="Q464">
        <v>24.1</v>
      </c>
    </row>
    <row r="465" spans="1:17">
      <c r="A465">
        <v>1292</v>
      </c>
      <c r="B465" t="s">
        <v>75</v>
      </c>
      <c r="C465">
        <v>0.51500000000000001</v>
      </c>
      <c r="D465">
        <v>0.42</v>
      </c>
      <c r="E465">
        <v>0.13500000000000001</v>
      </c>
      <c r="F465">
        <v>0.71099999999999997</v>
      </c>
      <c r="G465">
        <v>0.33700000000000002</v>
      </c>
      <c r="H465">
        <v>0.14399999999999999</v>
      </c>
      <c r="I465">
        <v>0.20499999999999999</v>
      </c>
      <c r="J465">
        <v>13</v>
      </c>
      <c r="K465">
        <v>13</v>
      </c>
      <c r="L465" t="s">
        <v>43</v>
      </c>
      <c r="M465" t="s">
        <v>44</v>
      </c>
      <c r="N465" t="s">
        <v>45</v>
      </c>
      <c r="O465">
        <v>5</v>
      </c>
      <c r="P465" t="s">
        <v>12</v>
      </c>
      <c r="Q465">
        <v>12.8</v>
      </c>
    </row>
    <row r="466" spans="1:17">
      <c r="A466">
        <v>2899</v>
      </c>
      <c r="B466" t="s">
        <v>75</v>
      </c>
      <c r="C466">
        <v>0.55000000000000004</v>
      </c>
      <c r="D466">
        <v>0.435</v>
      </c>
      <c r="E466">
        <v>0.16500000000000001</v>
      </c>
      <c r="F466">
        <v>0.80400000000000005</v>
      </c>
      <c r="G466">
        <v>0.34</v>
      </c>
      <c r="H466">
        <v>0.19400000000000001</v>
      </c>
      <c r="I466">
        <v>0.24399999999999999</v>
      </c>
      <c r="J466">
        <v>8</v>
      </c>
      <c r="K466">
        <v>2</v>
      </c>
      <c r="L466" t="s">
        <v>49</v>
      </c>
      <c r="M466" t="s">
        <v>50</v>
      </c>
      <c r="N466" t="s">
        <v>51</v>
      </c>
      <c r="O466">
        <v>6</v>
      </c>
      <c r="P466" t="s">
        <v>7</v>
      </c>
      <c r="Q466">
        <v>14.1</v>
      </c>
    </row>
    <row r="467" spans="1:17">
      <c r="A467">
        <v>4116</v>
      </c>
      <c r="B467" t="s">
        <v>75</v>
      </c>
      <c r="C467">
        <v>0.60499999999999998</v>
      </c>
      <c r="D467">
        <v>0.46500000000000002</v>
      </c>
      <c r="E467">
        <v>0.155</v>
      </c>
      <c r="F467">
        <v>1.1000000000000001</v>
      </c>
      <c r="G467">
        <v>0.54700000000000004</v>
      </c>
      <c r="H467">
        <v>0.26650000000000001</v>
      </c>
      <c r="I467">
        <v>0.25850000000000001</v>
      </c>
      <c r="J467">
        <v>10</v>
      </c>
      <c r="K467">
        <v>14</v>
      </c>
      <c r="L467" t="s">
        <v>72</v>
      </c>
      <c r="M467" t="s">
        <v>73</v>
      </c>
      <c r="N467" t="s">
        <v>74</v>
      </c>
      <c r="O467">
        <v>7</v>
      </c>
      <c r="P467" t="s">
        <v>6</v>
      </c>
      <c r="Q467">
        <v>2.5</v>
      </c>
    </row>
    <row r="468" spans="1:17">
      <c r="A468">
        <v>1927</v>
      </c>
      <c r="B468" t="s">
        <v>75</v>
      </c>
      <c r="C468">
        <v>0.61499999999999999</v>
      </c>
      <c r="D468">
        <v>0.47</v>
      </c>
      <c r="E468">
        <v>0.14499999999999999</v>
      </c>
      <c r="F468">
        <v>1.0285</v>
      </c>
      <c r="G468">
        <v>0.44350000000000001</v>
      </c>
      <c r="H468">
        <v>0.28249999999999997</v>
      </c>
      <c r="I468">
        <v>0.28499999999999998</v>
      </c>
      <c r="J468">
        <v>11</v>
      </c>
      <c r="K468">
        <v>7</v>
      </c>
      <c r="L468" t="s">
        <v>62</v>
      </c>
      <c r="M468" t="s">
        <v>63</v>
      </c>
      <c r="N468" t="s">
        <v>64</v>
      </c>
      <c r="O468">
        <v>2</v>
      </c>
      <c r="P468" t="s">
        <v>5</v>
      </c>
      <c r="Q468">
        <v>18</v>
      </c>
    </row>
    <row r="469" spans="1:17">
      <c r="A469">
        <v>1075</v>
      </c>
      <c r="B469" t="s">
        <v>75</v>
      </c>
      <c r="C469">
        <v>0.41</v>
      </c>
      <c r="D469">
        <v>0.3</v>
      </c>
      <c r="E469">
        <v>0.1</v>
      </c>
      <c r="F469">
        <v>0.28199999999999997</v>
      </c>
      <c r="G469">
        <v>0.1255</v>
      </c>
      <c r="H469">
        <v>5.7000000000000002E-2</v>
      </c>
      <c r="I469">
        <v>8.7499999999999994E-2</v>
      </c>
      <c r="J469">
        <v>7</v>
      </c>
      <c r="K469">
        <v>12</v>
      </c>
      <c r="L469" t="s">
        <v>58</v>
      </c>
      <c r="M469" t="s">
        <v>59</v>
      </c>
      <c r="N469" t="s">
        <v>45</v>
      </c>
      <c r="O469">
        <v>1</v>
      </c>
      <c r="P469" t="s">
        <v>4</v>
      </c>
      <c r="Q469">
        <v>22.1</v>
      </c>
    </row>
    <row r="470" spans="1:17">
      <c r="A470">
        <v>1454</v>
      </c>
      <c r="B470" t="s">
        <v>75</v>
      </c>
      <c r="C470">
        <v>0.47</v>
      </c>
      <c r="D470">
        <v>0.35</v>
      </c>
      <c r="E470">
        <v>0.125</v>
      </c>
      <c r="F470">
        <v>0.43149999999999999</v>
      </c>
      <c r="G470">
        <v>0.19</v>
      </c>
      <c r="H470">
        <v>0.11650000000000001</v>
      </c>
      <c r="I470">
        <v>0.11749999999999999</v>
      </c>
      <c r="J470">
        <v>6</v>
      </c>
      <c r="K470">
        <v>5</v>
      </c>
      <c r="L470" t="s">
        <v>67</v>
      </c>
      <c r="M470" t="s">
        <v>68</v>
      </c>
      <c r="N470" t="s">
        <v>69</v>
      </c>
      <c r="O470">
        <v>9</v>
      </c>
      <c r="P470" t="s">
        <v>9</v>
      </c>
      <c r="Q470">
        <v>1.9</v>
      </c>
    </row>
    <row r="471" spans="1:17">
      <c r="A471">
        <v>862</v>
      </c>
      <c r="B471" t="s">
        <v>75</v>
      </c>
      <c r="C471">
        <v>0.59499999999999997</v>
      </c>
      <c r="D471">
        <v>0.46500000000000002</v>
      </c>
      <c r="E471">
        <v>0.14000000000000001</v>
      </c>
      <c r="F471">
        <v>1.113</v>
      </c>
      <c r="G471">
        <v>0.51749999999999996</v>
      </c>
      <c r="H471">
        <v>0.24399999999999999</v>
      </c>
      <c r="I471">
        <v>0.30499999999999999</v>
      </c>
      <c r="J471">
        <v>12</v>
      </c>
      <c r="K471">
        <v>1</v>
      </c>
      <c r="L471" t="s">
        <v>70</v>
      </c>
      <c r="M471" t="s">
        <v>71</v>
      </c>
      <c r="N471" t="s">
        <v>45</v>
      </c>
      <c r="O471">
        <v>1</v>
      </c>
      <c r="P471" t="s">
        <v>4</v>
      </c>
      <c r="Q471">
        <v>22.1</v>
      </c>
    </row>
    <row r="472" spans="1:17">
      <c r="A472">
        <v>1988</v>
      </c>
      <c r="B472" t="s">
        <v>75</v>
      </c>
      <c r="C472">
        <v>0.16</v>
      </c>
      <c r="D472">
        <v>0.11</v>
      </c>
      <c r="E472">
        <v>2.5000000000000001E-2</v>
      </c>
      <c r="F472">
        <v>1.95E-2</v>
      </c>
      <c r="G472">
        <v>7.4999999999999997E-3</v>
      </c>
      <c r="H472">
        <v>5.0000000000000001E-3</v>
      </c>
      <c r="I472">
        <v>6.0000000000000001E-3</v>
      </c>
      <c r="J472">
        <v>4</v>
      </c>
      <c r="K472">
        <v>8</v>
      </c>
      <c r="L472" t="s">
        <v>55</v>
      </c>
      <c r="M472" t="s">
        <v>56</v>
      </c>
      <c r="N472" t="s">
        <v>57</v>
      </c>
      <c r="O472">
        <v>3</v>
      </c>
      <c r="P472" t="s">
        <v>10</v>
      </c>
      <c r="Q472">
        <v>3.6</v>
      </c>
    </row>
    <row r="473" spans="1:17">
      <c r="A473">
        <v>935</v>
      </c>
      <c r="B473" t="s">
        <v>75</v>
      </c>
      <c r="C473">
        <v>0.45</v>
      </c>
      <c r="D473">
        <v>0.35499999999999998</v>
      </c>
      <c r="E473">
        <v>0.105</v>
      </c>
      <c r="F473">
        <v>0.44450000000000001</v>
      </c>
      <c r="G473">
        <v>0.19700000000000001</v>
      </c>
      <c r="H473">
        <v>9.2999999999999999E-2</v>
      </c>
      <c r="I473">
        <v>0.13350000000000001</v>
      </c>
      <c r="J473">
        <v>8</v>
      </c>
      <c r="K473">
        <v>2</v>
      </c>
      <c r="L473" t="s">
        <v>49</v>
      </c>
      <c r="M473" t="s">
        <v>50</v>
      </c>
      <c r="N473" t="s">
        <v>51</v>
      </c>
      <c r="O473">
        <v>5</v>
      </c>
      <c r="P473" t="s">
        <v>12</v>
      </c>
      <c r="Q473">
        <v>12.8</v>
      </c>
    </row>
    <row r="474" spans="1:17">
      <c r="A474">
        <v>1328</v>
      </c>
      <c r="B474" t="s">
        <v>75</v>
      </c>
      <c r="C474">
        <v>0.56499999999999995</v>
      </c>
      <c r="D474">
        <v>0.39</v>
      </c>
      <c r="E474">
        <v>0.125</v>
      </c>
      <c r="F474">
        <v>0.74399999999999999</v>
      </c>
      <c r="G474">
        <v>0.35199999999999998</v>
      </c>
      <c r="H474">
        <v>0.13</v>
      </c>
      <c r="I474">
        <v>0.16850000000000001</v>
      </c>
      <c r="J474">
        <v>11</v>
      </c>
      <c r="K474">
        <v>6</v>
      </c>
      <c r="L474" t="s">
        <v>46</v>
      </c>
      <c r="M474" t="s">
        <v>47</v>
      </c>
      <c r="N474" t="s">
        <v>48</v>
      </c>
      <c r="O474">
        <v>3</v>
      </c>
      <c r="P474" t="s">
        <v>10</v>
      </c>
      <c r="Q474">
        <v>3.6</v>
      </c>
    </row>
    <row r="475" spans="1:17">
      <c r="A475">
        <v>2510</v>
      </c>
      <c r="B475" t="s">
        <v>75</v>
      </c>
      <c r="C475">
        <v>0.41499999999999998</v>
      </c>
      <c r="D475">
        <v>0.315</v>
      </c>
      <c r="E475">
        <v>0.09</v>
      </c>
      <c r="F475">
        <v>0.36249999999999999</v>
      </c>
      <c r="G475">
        <v>0.17499999999999999</v>
      </c>
      <c r="H475">
        <v>8.3500000000000005E-2</v>
      </c>
      <c r="I475">
        <v>9.2999999999999999E-2</v>
      </c>
      <c r="J475">
        <v>6</v>
      </c>
      <c r="K475">
        <v>8</v>
      </c>
      <c r="L475" t="s">
        <v>55</v>
      </c>
      <c r="M475" t="s">
        <v>56</v>
      </c>
      <c r="N475" t="s">
        <v>57</v>
      </c>
      <c r="O475">
        <v>3</v>
      </c>
      <c r="P475" t="s">
        <v>10</v>
      </c>
      <c r="Q475">
        <v>3.6</v>
      </c>
    </row>
    <row r="476" spans="1:17">
      <c r="A476">
        <v>782</v>
      </c>
      <c r="B476" t="s">
        <v>75</v>
      </c>
      <c r="C476">
        <v>0.505</v>
      </c>
      <c r="D476">
        <v>0.38500000000000001</v>
      </c>
      <c r="E476">
        <v>0.15</v>
      </c>
      <c r="F476">
        <v>0.64149999999999996</v>
      </c>
      <c r="G476">
        <v>0.246</v>
      </c>
      <c r="H476">
        <v>0.152</v>
      </c>
      <c r="I476">
        <v>0.215</v>
      </c>
      <c r="J476">
        <v>12</v>
      </c>
      <c r="K476">
        <v>9</v>
      </c>
      <c r="L476" t="s">
        <v>34</v>
      </c>
      <c r="M476" t="s">
        <v>35</v>
      </c>
      <c r="N476" t="s">
        <v>36</v>
      </c>
      <c r="O476">
        <v>9</v>
      </c>
      <c r="P476" t="s">
        <v>9</v>
      </c>
      <c r="Q476">
        <v>1.9</v>
      </c>
    </row>
    <row r="477" spans="1:17">
      <c r="A477">
        <v>76</v>
      </c>
      <c r="B477" t="s">
        <v>75</v>
      </c>
      <c r="C477">
        <v>0.6</v>
      </c>
      <c r="D477">
        <v>0.47499999999999998</v>
      </c>
      <c r="E477">
        <v>0.15</v>
      </c>
      <c r="F477">
        <v>1.0075000000000001</v>
      </c>
      <c r="G477">
        <v>0.4425</v>
      </c>
      <c r="H477">
        <v>0.221</v>
      </c>
      <c r="I477">
        <v>0.28000000000000003</v>
      </c>
      <c r="J477">
        <v>15</v>
      </c>
      <c r="K477">
        <v>2</v>
      </c>
      <c r="L477" t="s">
        <v>49</v>
      </c>
      <c r="M477" t="s">
        <v>50</v>
      </c>
      <c r="N477" t="s">
        <v>51</v>
      </c>
      <c r="O477">
        <v>2</v>
      </c>
      <c r="P477" t="s">
        <v>5</v>
      </c>
      <c r="Q477">
        <v>18</v>
      </c>
    </row>
    <row r="478" spans="1:17">
      <c r="A478">
        <v>1123</v>
      </c>
      <c r="B478" t="s">
        <v>75</v>
      </c>
      <c r="C478">
        <v>0.54500000000000004</v>
      </c>
      <c r="D478">
        <v>0.41499999999999998</v>
      </c>
      <c r="E478">
        <v>0.14000000000000001</v>
      </c>
      <c r="F478">
        <v>0.82</v>
      </c>
      <c r="G478">
        <v>0.46150000000000002</v>
      </c>
      <c r="H478">
        <v>0.127</v>
      </c>
      <c r="I478">
        <v>0.218</v>
      </c>
      <c r="J478">
        <v>9</v>
      </c>
      <c r="K478">
        <v>11</v>
      </c>
      <c r="L478" t="s">
        <v>65</v>
      </c>
      <c r="M478" t="s">
        <v>66</v>
      </c>
      <c r="N478" t="s">
        <v>45</v>
      </c>
      <c r="O478">
        <v>10</v>
      </c>
      <c r="P478" t="s">
        <v>11</v>
      </c>
      <c r="Q478">
        <v>24.1</v>
      </c>
    </row>
    <row r="479" spans="1:17">
      <c r="A479">
        <v>377</v>
      </c>
      <c r="B479" t="s">
        <v>75</v>
      </c>
      <c r="C479">
        <v>0.63</v>
      </c>
      <c r="D479">
        <v>0.49</v>
      </c>
      <c r="E479">
        <v>0.19</v>
      </c>
      <c r="F479">
        <v>1.1775</v>
      </c>
      <c r="G479">
        <v>0.49349999999999999</v>
      </c>
      <c r="H479">
        <v>0.33650000000000002</v>
      </c>
      <c r="I479">
        <v>0.28499999999999998</v>
      </c>
      <c r="J479">
        <v>11</v>
      </c>
      <c r="K479">
        <v>12</v>
      </c>
      <c r="L479" t="s">
        <v>58</v>
      </c>
      <c r="M479" t="s">
        <v>59</v>
      </c>
      <c r="N479" t="s">
        <v>45</v>
      </c>
      <c r="O479">
        <v>3</v>
      </c>
      <c r="P479" t="s">
        <v>10</v>
      </c>
      <c r="Q479">
        <v>3.6</v>
      </c>
    </row>
    <row r="480" spans="1:17">
      <c r="A480">
        <v>767</v>
      </c>
      <c r="B480" t="s">
        <v>75</v>
      </c>
      <c r="C480">
        <v>0.59</v>
      </c>
      <c r="D480">
        <v>0.44500000000000001</v>
      </c>
      <c r="E480">
        <v>0.13</v>
      </c>
      <c r="F480">
        <v>1.1325000000000001</v>
      </c>
      <c r="G480">
        <v>0.38250000000000001</v>
      </c>
      <c r="H480">
        <v>0.23400000000000001</v>
      </c>
      <c r="I480">
        <v>0.32</v>
      </c>
      <c r="J480">
        <v>13</v>
      </c>
      <c r="K480">
        <v>8</v>
      </c>
      <c r="L480" t="s">
        <v>55</v>
      </c>
      <c r="M480" t="s">
        <v>56</v>
      </c>
      <c r="N480" t="s">
        <v>57</v>
      </c>
      <c r="O480">
        <v>2</v>
      </c>
      <c r="P480" t="s">
        <v>5</v>
      </c>
      <c r="Q480">
        <v>18</v>
      </c>
    </row>
    <row r="481" spans="1:17">
      <c r="A481">
        <v>127</v>
      </c>
      <c r="B481" t="s">
        <v>75</v>
      </c>
      <c r="C481">
        <v>0.375</v>
      </c>
      <c r="D481">
        <v>0.27500000000000002</v>
      </c>
      <c r="E481">
        <v>0.09</v>
      </c>
      <c r="F481">
        <v>0.23799999999999999</v>
      </c>
      <c r="G481">
        <v>0.1075</v>
      </c>
      <c r="H481">
        <v>5.45E-2</v>
      </c>
      <c r="I481">
        <v>7.0000000000000007E-2</v>
      </c>
      <c r="J481">
        <v>6</v>
      </c>
      <c r="K481">
        <v>11</v>
      </c>
      <c r="L481" t="s">
        <v>65</v>
      </c>
      <c r="M481" t="s">
        <v>66</v>
      </c>
      <c r="N481" t="s">
        <v>45</v>
      </c>
      <c r="O481">
        <v>9</v>
      </c>
      <c r="P481" t="s">
        <v>9</v>
      </c>
      <c r="Q481">
        <v>1.9</v>
      </c>
    </row>
    <row r="482" spans="1:17">
      <c r="A482">
        <v>2679</v>
      </c>
      <c r="B482" t="s">
        <v>75</v>
      </c>
      <c r="C482">
        <v>0.61499999999999999</v>
      </c>
      <c r="D482">
        <v>0.45</v>
      </c>
      <c r="E482">
        <v>0.15</v>
      </c>
      <c r="F482">
        <v>1.198</v>
      </c>
      <c r="G482">
        <v>0.70699999999999996</v>
      </c>
      <c r="H482">
        <v>0.20949999999999999</v>
      </c>
      <c r="I482">
        <v>0.2505</v>
      </c>
      <c r="J482">
        <v>7</v>
      </c>
      <c r="K482">
        <v>12</v>
      </c>
      <c r="L482" t="s">
        <v>58</v>
      </c>
      <c r="M482" t="s">
        <v>59</v>
      </c>
      <c r="N482" t="s">
        <v>45</v>
      </c>
      <c r="O482">
        <v>9</v>
      </c>
      <c r="P482" t="s">
        <v>9</v>
      </c>
      <c r="Q482">
        <v>1.9</v>
      </c>
    </row>
    <row r="483" spans="1:17">
      <c r="A483">
        <v>3040</v>
      </c>
      <c r="B483" t="s">
        <v>75</v>
      </c>
      <c r="C483">
        <v>0.56999999999999995</v>
      </c>
      <c r="D483">
        <v>0.45</v>
      </c>
      <c r="E483">
        <v>0.14499999999999999</v>
      </c>
      <c r="F483">
        <v>0.95</v>
      </c>
      <c r="G483">
        <v>0.40050000000000002</v>
      </c>
      <c r="H483">
        <v>0.2235</v>
      </c>
      <c r="I483">
        <v>0.28449999999999998</v>
      </c>
      <c r="J483">
        <v>10</v>
      </c>
      <c r="K483">
        <v>12</v>
      </c>
      <c r="L483" t="s">
        <v>58</v>
      </c>
      <c r="M483" t="s">
        <v>59</v>
      </c>
      <c r="N483" t="s">
        <v>45</v>
      </c>
      <c r="O483">
        <v>5</v>
      </c>
      <c r="P483" t="s">
        <v>12</v>
      </c>
      <c r="Q483">
        <v>12.8</v>
      </c>
    </row>
    <row r="484" spans="1:17">
      <c r="A484">
        <v>365</v>
      </c>
      <c r="B484" t="s">
        <v>75</v>
      </c>
      <c r="C484">
        <v>0.62</v>
      </c>
      <c r="D484">
        <v>0.5</v>
      </c>
      <c r="E484">
        <v>0.17499999999999999</v>
      </c>
      <c r="F484">
        <v>1.1859999999999999</v>
      </c>
      <c r="G484">
        <v>0.4985</v>
      </c>
      <c r="H484">
        <v>0.30149999999999999</v>
      </c>
      <c r="I484">
        <v>0.35</v>
      </c>
      <c r="J484">
        <v>12</v>
      </c>
      <c r="K484">
        <v>7</v>
      </c>
      <c r="L484" t="s">
        <v>62</v>
      </c>
      <c r="M484" t="s">
        <v>63</v>
      </c>
      <c r="N484" t="s">
        <v>64</v>
      </c>
      <c r="O484">
        <v>6</v>
      </c>
      <c r="P484" t="s">
        <v>7</v>
      </c>
      <c r="Q484">
        <v>14.1</v>
      </c>
    </row>
    <row r="485" spans="1:17">
      <c r="A485">
        <v>1335</v>
      </c>
      <c r="B485" t="s">
        <v>75</v>
      </c>
      <c r="C485">
        <v>0.57499999999999996</v>
      </c>
      <c r="D485">
        <v>0.42</v>
      </c>
      <c r="E485">
        <v>0.13500000000000001</v>
      </c>
      <c r="F485">
        <v>0.85699999999999998</v>
      </c>
      <c r="G485">
        <v>0.46100000000000002</v>
      </c>
      <c r="H485">
        <v>0.14699999999999999</v>
      </c>
      <c r="I485">
        <v>0.21249999999999999</v>
      </c>
      <c r="J485">
        <v>10</v>
      </c>
      <c r="K485">
        <v>13</v>
      </c>
      <c r="L485" t="s">
        <v>43</v>
      </c>
      <c r="M485" t="s">
        <v>44</v>
      </c>
      <c r="N485" t="s">
        <v>45</v>
      </c>
      <c r="O485">
        <v>10</v>
      </c>
      <c r="P485" t="s">
        <v>11</v>
      </c>
      <c r="Q485">
        <v>24.1</v>
      </c>
    </row>
    <row r="486" spans="1:17">
      <c r="A486">
        <v>2154</v>
      </c>
      <c r="B486" t="s">
        <v>75</v>
      </c>
      <c r="C486">
        <v>0.28000000000000003</v>
      </c>
      <c r="D486">
        <v>0.2</v>
      </c>
      <c r="E486">
        <v>7.4999999999999997E-2</v>
      </c>
      <c r="F486">
        <v>0.1225</v>
      </c>
      <c r="G486">
        <v>5.45E-2</v>
      </c>
      <c r="H486">
        <v>1.15E-2</v>
      </c>
      <c r="I486">
        <v>3.5000000000000003E-2</v>
      </c>
      <c r="J486">
        <v>5</v>
      </c>
      <c r="K486">
        <v>6</v>
      </c>
      <c r="L486" t="s">
        <v>46</v>
      </c>
      <c r="M486" t="s">
        <v>47</v>
      </c>
      <c r="N486" t="s">
        <v>48</v>
      </c>
      <c r="O486">
        <v>1</v>
      </c>
      <c r="P486" t="s">
        <v>4</v>
      </c>
      <c r="Q486">
        <v>22.1</v>
      </c>
    </row>
    <row r="487" spans="1:17">
      <c r="A487">
        <v>1326</v>
      </c>
      <c r="B487" t="s">
        <v>75</v>
      </c>
      <c r="C487">
        <v>0.56499999999999995</v>
      </c>
      <c r="D487">
        <v>0.45</v>
      </c>
      <c r="E487">
        <v>0.14499999999999999</v>
      </c>
      <c r="F487">
        <v>0.84950000000000003</v>
      </c>
      <c r="G487">
        <v>0.42149999999999999</v>
      </c>
      <c r="H487">
        <v>0.16850000000000001</v>
      </c>
      <c r="I487">
        <v>0.22500000000000001</v>
      </c>
      <c r="J487">
        <v>8</v>
      </c>
      <c r="K487">
        <v>15</v>
      </c>
      <c r="L487" t="s">
        <v>60</v>
      </c>
      <c r="M487" t="s">
        <v>61</v>
      </c>
      <c r="N487" t="s">
        <v>45</v>
      </c>
      <c r="O487">
        <v>5</v>
      </c>
      <c r="P487" t="s">
        <v>12</v>
      </c>
      <c r="Q487">
        <v>12.8</v>
      </c>
    </row>
    <row r="488" spans="1:17">
      <c r="A488">
        <v>2789</v>
      </c>
      <c r="B488" t="s">
        <v>75</v>
      </c>
      <c r="C488">
        <v>0.61499999999999999</v>
      </c>
      <c r="D488">
        <v>0.46</v>
      </c>
      <c r="E488">
        <v>0.15</v>
      </c>
      <c r="F488">
        <v>1.0265</v>
      </c>
      <c r="G488">
        <v>0.49349999999999999</v>
      </c>
      <c r="H488">
        <v>0.20100000000000001</v>
      </c>
      <c r="I488">
        <v>0.27450000000000002</v>
      </c>
      <c r="J488">
        <v>10</v>
      </c>
      <c r="K488">
        <v>1</v>
      </c>
      <c r="L488" t="s">
        <v>70</v>
      </c>
      <c r="M488" t="s">
        <v>71</v>
      </c>
      <c r="N488" t="s">
        <v>45</v>
      </c>
      <c r="O488">
        <v>1</v>
      </c>
      <c r="P488" t="s">
        <v>4</v>
      </c>
      <c r="Q488">
        <v>22.1</v>
      </c>
    </row>
    <row r="489" spans="1:17">
      <c r="A489">
        <v>3158</v>
      </c>
      <c r="B489" t="s">
        <v>75</v>
      </c>
      <c r="C489">
        <v>0.43</v>
      </c>
      <c r="D489">
        <v>0.35</v>
      </c>
      <c r="E489">
        <v>0.09</v>
      </c>
      <c r="F489">
        <v>0.39700000000000002</v>
      </c>
      <c r="G489">
        <v>0.1575</v>
      </c>
      <c r="H489">
        <v>8.8999999999999996E-2</v>
      </c>
      <c r="I489">
        <v>0.12</v>
      </c>
      <c r="J489">
        <v>9</v>
      </c>
      <c r="K489">
        <v>7</v>
      </c>
      <c r="L489" t="s">
        <v>62</v>
      </c>
      <c r="M489" t="s">
        <v>63</v>
      </c>
      <c r="N489" t="s">
        <v>64</v>
      </c>
      <c r="O489">
        <v>4</v>
      </c>
      <c r="P489" t="s">
        <v>8</v>
      </c>
      <c r="Q489">
        <v>6.1</v>
      </c>
    </row>
    <row r="490" spans="1:17">
      <c r="A490">
        <v>3563</v>
      </c>
      <c r="B490" t="s">
        <v>75</v>
      </c>
      <c r="C490">
        <v>0.56999999999999995</v>
      </c>
      <c r="D490">
        <v>0.42</v>
      </c>
      <c r="E490">
        <v>0.16</v>
      </c>
      <c r="F490">
        <v>0.88749999999999996</v>
      </c>
      <c r="G490">
        <v>0.43149999999999999</v>
      </c>
      <c r="H490">
        <v>0.1915</v>
      </c>
      <c r="I490">
        <v>0.223</v>
      </c>
      <c r="J490">
        <v>8</v>
      </c>
      <c r="K490">
        <v>11</v>
      </c>
      <c r="L490" t="s">
        <v>65</v>
      </c>
      <c r="M490" t="s">
        <v>66</v>
      </c>
      <c r="N490" t="s">
        <v>45</v>
      </c>
      <c r="O490">
        <v>5</v>
      </c>
      <c r="P490" t="s">
        <v>12</v>
      </c>
      <c r="Q490">
        <v>12.8</v>
      </c>
    </row>
    <row r="491" spans="1:17">
      <c r="A491">
        <v>1475</v>
      </c>
      <c r="B491" t="s">
        <v>75</v>
      </c>
      <c r="C491">
        <v>0.55000000000000004</v>
      </c>
      <c r="D491">
        <v>0.42499999999999999</v>
      </c>
      <c r="E491">
        <v>0.16</v>
      </c>
      <c r="F491">
        <v>0.79300000000000004</v>
      </c>
      <c r="G491">
        <v>0.34300000000000003</v>
      </c>
      <c r="H491">
        <v>0.20349999999999999</v>
      </c>
      <c r="I491">
        <v>0.215</v>
      </c>
      <c r="J491">
        <v>9</v>
      </c>
      <c r="K491">
        <v>6</v>
      </c>
      <c r="L491" t="s">
        <v>46</v>
      </c>
      <c r="M491" t="s">
        <v>47</v>
      </c>
      <c r="N491" t="s">
        <v>48</v>
      </c>
      <c r="O491">
        <v>9</v>
      </c>
      <c r="P491" t="s">
        <v>9</v>
      </c>
      <c r="Q491">
        <v>1.9</v>
      </c>
    </row>
    <row r="492" spans="1:17">
      <c r="A492">
        <v>1331</v>
      </c>
      <c r="B492" t="s">
        <v>75</v>
      </c>
      <c r="C492">
        <v>0.56999999999999995</v>
      </c>
      <c r="D492">
        <v>0.46</v>
      </c>
      <c r="E492">
        <v>0.13500000000000001</v>
      </c>
      <c r="F492">
        <v>0.97950000000000004</v>
      </c>
      <c r="G492">
        <v>0.39700000000000002</v>
      </c>
      <c r="H492">
        <v>0.2525</v>
      </c>
      <c r="I492">
        <v>0.26550000000000001</v>
      </c>
      <c r="J492">
        <v>9</v>
      </c>
      <c r="K492">
        <v>9</v>
      </c>
      <c r="L492" t="s">
        <v>34</v>
      </c>
      <c r="M492" t="s">
        <v>35</v>
      </c>
      <c r="N492" t="s">
        <v>36</v>
      </c>
      <c r="O492">
        <v>2</v>
      </c>
      <c r="P492" t="s">
        <v>5</v>
      </c>
      <c r="Q492">
        <v>18</v>
      </c>
    </row>
    <row r="493" spans="1:17">
      <c r="A493">
        <v>849</v>
      </c>
      <c r="B493" t="s">
        <v>75</v>
      </c>
      <c r="C493">
        <v>0.55000000000000004</v>
      </c>
      <c r="D493">
        <v>0.43</v>
      </c>
      <c r="E493">
        <v>0.125</v>
      </c>
      <c r="F493">
        <v>0.92300000000000004</v>
      </c>
      <c r="G493">
        <v>0.40350000000000003</v>
      </c>
      <c r="H493">
        <v>0.17499999999999999</v>
      </c>
      <c r="I493">
        <v>0.28299999999999997</v>
      </c>
      <c r="J493">
        <v>8</v>
      </c>
      <c r="K493">
        <v>4</v>
      </c>
      <c r="L493" t="s">
        <v>40</v>
      </c>
      <c r="M493" t="s">
        <v>41</v>
      </c>
      <c r="N493" t="s">
        <v>42</v>
      </c>
      <c r="O493">
        <v>5</v>
      </c>
      <c r="P493" t="s">
        <v>12</v>
      </c>
      <c r="Q493">
        <v>12.8</v>
      </c>
    </row>
    <row r="494" spans="1:17">
      <c r="A494">
        <v>2015</v>
      </c>
      <c r="B494" t="s">
        <v>75</v>
      </c>
      <c r="C494">
        <v>0.47</v>
      </c>
      <c r="D494">
        <v>0.375</v>
      </c>
      <c r="E494">
        <v>0.105</v>
      </c>
      <c r="F494">
        <v>0.441</v>
      </c>
      <c r="G494">
        <v>0.16700000000000001</v>
      </c>
      <c r="H494">
        <v>8.6499999999999994E-2</v>
      </c>
      <c r="I494">
        <v>0.14499999999999999</v>
      </c>
      <c r="J494">
        <v>10</v>
      </c>
      <c r="K494">
        <v>10</v>
      </c>
      <c r="L494" t="s">
        <v>37</v>
      </c>
      <c r="M494" t="s">
        <v>38</v>
      </c>
      <c r="N494" t="s">
        <v>39</v>
      </c>
      <c r="O494">
        <v>9</v>
      </c>
      <c r="P494" t="s">
        <v>9</v>
      </c>
      <c r="Q494">
        <v>1.9</v>
      </c>
    </row>
    <row r="495" spans="1:17">
      <c r="A495">
        <v>2058</v>
      </c>
      <c r="B495" t="s">
        <v>75</v>
      </c>
      <c r="C495">
        <v>0.48</v>
      </c>
      <c r="D495">
        <v>0.35</v>
      </c>
      <c r="E495">
        <v>0.13500000000000001</v>
      </c>
      <c r="F495">
        <v>0.54649999999999999</v>
      </c>
      <c r="G495">
        <v>0.27350000000000002</v>
      </c>
      <c r="H495">
        <v>9.9500000000000005E-2</v>
      </c>
      <c r="I495">
        <v>0.158</v>
      </c>
      <c r="J495">
        <v>8</v>
      </c>
      <c r="K495">
        <v>5</v>
      </c>
      <c r="L495" t="s">
        <v>67</v>
      </c>
      <c r="M495" t="s">
        <v>68</v>
      </c>
      <c r="N495" t="s">
        <v>69</v>
      </c>
      <c r="O495">
        <v>2</v>
      </c>
      <c r="P495" t="s">
        <v>5</v>
      </c>
      <c r="Q495">
        <v>18</v>
      </c>
    </row>
    <row r="496" spans="1:17">
      <c r="A496">
        <v>2366</v>
      </c>
      <c r="B496" t="s">
        <v>75</v>
      </c>
      <c r="C496">
        <v>0.63</v>
      </c>
      <c r="D496">
        <v>0.505</v>
      </c>
      <c r="E496">
        <v>0.16500000000000001</v>
      </c>
      <c r="F496">
        <v>1.0649999999999999</v>
      </c>
      <c r="G496">
        <v>0.45950000000000002</v>
      </c>
      <c r="H496">
        <v>0.216</v>
      </c>
      <c r="I496">
        <v>0.315</v>
      </c>
      <c r="J496">
        <v>12</v>
      </c>
      <c r="K496">
        <v>3</v>
      </c>
      <c r="L496" t="s">
        <v>52</v>
      </c>
      <c r="M496" t="s">
        <v>53</v>
      </c>
      <c r="N496" t="s">
        <v>54</v>
      </c>
      <c r="O496">
        <v>10</v>
      </c>
      <c r="P496" t="s">
        <v>11</v>
      </c>
      <c r="Q496">
        <v>24.1</v>
      </c>
    </row>
    <row r="497" spans="1:17">
      <c r="A497">
        <v>715</v>
      </c>
      <c r="B497" t="s">
        <v>75</v>
      </c>
      <c r="C497">
        <v>0.35</v>
      </c>
      <c r="D497">
        <v>0.255</v>
      </c>
      <c r="E497">
        <v>0.08</v>
      </c>
      <c r="F497">
        <v>0.1915</v>
      </c>
      <c r="G497">
        <v>0.08</v>
      </c>
      <c r="H497">
        <v>3.85E-2</v>
      </c>
      <c r="I497">
        <v>6.3E-2</v>
      </c>
      <c r="J497">
        <v>9</v>
      </c>
      <c r="K497">
        <v>9</v>
      </c>
      <c r="L497" t="s">
        <v>34</v>
      </c>
      <c r="M497" t="s">
        <v>35</v>
      </c>
      <c r="N497" t="s">
        <v>36</v>
      </c>
      <c r="O497">
        <v>10</v>
      </c>
      <c r="P497" t="s">
        <v>11</v>
      </c>
      <c r="Q497">
        <v>24.1</v>
      </c>
    </row>
    <row r="498" spans="1:17">
      <c r="A498">
        <v>995</v>
      </c>
      <c r="B498" t="s">
        <v>75</v>
      </c>
      <c r="C498">
        <v>0.57999999999999996</v>
      </c>
      <c r="D498">
        <v>0.45</v>
      </c>
      <c r="E498">
        <v>0.14499999999999999</v>
      </c>
      <c r="F498">
        <v>1.137</v>
      </c>
      <c r="G498">
        <v>0.5585</v>
      </c>
      <c r="H498">
        <v>0.22</v>
      </c>
      <c r="I498">
        <v>0.28999999999999998</v>
      </c>
      <c r="J498">
        <v>8</v>
      </c>
      <c r="K498">
        <v>9</v>
      </c>
      <c r="L498" t="s">
        <v>34</v>
      </c>
      <c r="M498" t="s">
        <v>35</v>
      </c>
      <c r="N498" t="s">
        <v>36</v>
      </c>
      <c r="O498">
        <v>3</v>
      </c>
      <c r="P498" t="s">
        <v>10</v>
      </c>
      <c r="Q498">
        <v>3.6</v>
      </c>
    </row>
    <row r="499" spans="1:17">
      <c r="A499">
        <v>2758</v>
      </c>
      <c r="B499" t="s">
        <v>75</v>
      </c>
      <c r="C499">
        <v>0.52500000000000002</v>
      </c>
      <c r="D499">
        <v>0.375</v>
      </c>
      <c r="E499">
        <v>0.12</v>
      </c>
      <c r="F499">
        <v>0.63149999999999995</v>
      </c>
      <c r="G499">
        <v>0.30449999999999999</v>
      </c>
      <c r="H499">
        <v>0.114</v>
      </c>
      <c r="I499">
        <v>0.19</v>
      </c>
      <c r="J499">
        <v>9</v>
      </c>
      <c r="K499">
        <v>3</v>
      </c>
      <c r="L499" t="s">
        <v>52</v>
      </c>
      <c r="M499" t="s">
        <v>53</v>
      </c>
      <c r="N499" t="s">
        <v>54</v>
      </c>
      <c r="O499">
        <v>8</v>
      </c>
      <c r="P499" t="s">
        <v>13</v>
      </c>
      <c r="Q499">
        <v>12.3</v>
      </c>
    </row>
    <row r="500" spans="1:17">
      <c r="A500">
        <v>2647</v>
      </c>
      <c r="B500" t="s">
        <v>75</v>
      </c>
      <c r="C500">
        <v>0.495</v>
      </c>
      <c r="D500">
        <v>0.38</v>
      </c>
      <c r="E500">
        <v>0.12</v>
      </c>
      <c r="F500">
        <v>0.51200000000000001</v>
      </c>
      <c r="G500">
        <v>0.23300000000000001</v>
      </c>
      <c r="H500">
        <v>0.1205</v>
      </c>
      <c r="I500">
        <v>0.13600000000000001</v>
      </c>
      <c r="J500">
        <v>7</v>
      </c>
      <c r="K500">
        <v>14</v>
      </c>
      <c r="L500" t="s">
        <v>72</v>
      </c>
      <c r="M500" t="s">
        <v>73</v>
      </c>
      <c r="N500" t="s">
        <v>74</v>
      </c>
      <c r="O500">
        <v>8</v>
      </c>
      <c r="P500" t="s">
        <v>13</v>
      </c>
      <c r="Q500">
        <v>12.3</v>
      </c>
    </row>
    <row r="501" spans="1:17">
      <c r="A501">
        <v>2455</v>
      </c>
      <c r="B501" t="s">
        <v>75</v>
      </c>
      <c r="C501">
        <v>0.27500000000000002</v>
      </c>
      <c r="D501">
        <v>0.2</v>
      </c>
      <c r="E501">
        <v>6.5000000000000002E-2</v>
      </c>
      <c r="F501">
        <v>9.1999999999999998E-2</v>
      </c>
      <c r="G501">
        <v>3.85E-2</v>
      </c>
      <c r="H501">
        <v>2.35E-2</v>
      </c>
      <c r="I501">
        <v>2.7E-2</v>
      </c>
      <c r="J501">
        <v>5</v>
      </c>
      <c r="K501">
        <v>2</v>
      </c>
      <c r="L501" t="s">
        <v>49</v>
      </c>
      <c r="M501" t="s">
        <v>50</v>
      </c>
      <c r="N501" t="s">
        <v>51</v>
      </c>
      <c r="O501">
        <v>4</v>
      </c>
      <c r="P501" t="s">
        <v>8</v>
      </c>
      <c r="Q501">
        <v>6.1</v>
      </c>
    </row>
    <row r="502" spans="1:17">
      <c r="A502">
        <v>1633</v>
      </c>
      <c r="B502" t="s">
        <v>75</v>
      </c>
      <c r="C502">
        <v>0.57499999999999996</v>
      </c>
      <c r="D502">
        <v>0.45500000000000002</v>
      </c>
      <c r="E502">
        <v>0.16500000000000001</v>
      </c>
      <c r="F502">
        <v>0.86699999999999999</v>
      </c>
      <c r="G502">
        <v>0.3765</v>
      </c>
      <c r="H502">
        <v>0.18049999999999999</v>
      </c>
      <c r="I502">
        <v>0.26800000000000002</v>
      </c>
      <c r="J502">
        <v>8</v>
      </c>
      <c r="K502">
        <v>3</v>
      </c>
      <c r="L502" t="s">
        <v>52</v>
      </c>
      <c r="M502" t="s">
        <v>53</v>
      </c>
      <c r="N502" t="s">
        <v>54</v>
      </c>
      <c r="O502">
        <v>8</v>
      </c>
      <c r="P502" t="s">
        <v>13</v>
      </c>
      <c r="Q502">
        <v>12.3</v>
      </c>
    </row>
    <row r="503" spans="1:17">
      <c r="A503">
        <v>4073</v>
      </c>
      <c r="B503" t="s">
        <v>75</v>
      </c>
      <c r="C503">
        <v>0.5</v>
      </c>
      <c r="D503">
        <v>0.36</v>
      </c>
      <c r="E503">
        <v>0.12</v>
      </c>
      <c r="F503">
        <v>0.439</v>
      </c>
      <c r="G503">
        <v>0.1875</v>
      </c>
      <c r="H503">
        <v>0.1055</v>
      </c>
      <c r="I503">
        <v>0.1305</v>
      </c>
      <c r="J503">
        <v>8</v>
      </c>
      <c r="K503">
        <v>12</v>
      </c>
      <c r="L503" t="s">
        <v>58</v>
      </c>
      <c r="M503" t="s">
        <v>59</v>
      </c>
      <c r="N503" t="s">
        <v>45</v>
      </c>
      <c r="O503">
        <v>3</v>
      </c>
      <c r="P503" t="s">
        <v>10</v>
      </c>
      <c r="Q503">
        <v>3.6</v>
      </c>
    </row>
    <row r="504" spans="1:17">
      <c r="A504">
        <v>2256</v>
      </c>
      <c r="B504" t="s">
        <v>75</v>
      </c>
      <c r="C504">
        <v>0.51</v>
      </c>
      <c r="D504">
        <v>0.39500000000000002</v>
      </c>
      <c r="E504">
        <v>0.14499999999999999</v>
      </c>
      <c r="F504">
        <v>0.61850000000000005</v>
      </c>
      <c r="G504">
        <v>0.216</v>
      </c>
      <c r="H504">
        <v>0.13850000000000001</v>
      </c>
      <c r="I504">
        <v>0.24</v>
      </c>
      <c r="J504">
        <v>12</v>
      </c>
      <c r="K504">
        <v>7</v>
      </c>
      <c r="L504" t="s">
        <v>62</v>
      </c>
      <c r="M504" t="s">
        <v>63</v>
      </c>
      <c r="N504" t="s">
        <v>64</v>
      </c>
      <c r="O504">
        <v>1</v>
      </c>
      <c r="P504" t="s">
        <v>4</v>
      </c>
      <c r="Q504">
        <v>22.1</v>
      </c>
    </row>
    <row r="505" spans="1:17">
      <c r="A505">
        <v>1274</v>
      </c>
      <c r="B505" t="s">
        <v>75</v>
      </c>
      <c r="C505">
        <v>0.47499999999999998</v>
      </c>
      <c r="D505">
        <v>0.38</v>
      </c>
      <c r="E505">
        <v>0.12</v>
      </c>
      <c r="F505">
        <v>0.441</v>
      </c>
      <c r="G505">
        <v>0.17849999999999999</v>
      </c>
      <c r="H505">
        <v>8.8499999999999995E-2</v>
      </c>
      <c r="I505">
        <v>0.15049999999999999</v>
      </c>
      <c r="J505">
        <v>8</v>
      </c>
      <c r="K505">
        <v>3</v>
      </c>
      <c r="L505" t="s">
        <v>52</v>
      </c>
      <c r="M505" t="s">
        <v>53</v>
      </c>
      <c r="N505" t="s">
        <v>54</v>
      </c>
      <c r="O505">
        <v>8</v>
      </c>
      <c r="P505" t="s">
        <v>13</v>
      </c>
      <c r="Q505">
        <v>12.3</v>
      </c>
    </row>
    <row r="506" spans="1:17">
      <c r="A506">
        <v>316</v>
      </c>
      <c r="B506" t="s">
        <v>75</v>
      </c>
      <c r="C506">
        <v>0.45</v>
      </c>
      <c r="D506">
        <v>0.35499999999999998</v>
      </c>
      <c r="E506">
        <v>0.11</v>
      </c>
      <c r="F506">
        <v>0.45850000000000002</v>
      </c>
      <c r="G506">
        <v>0.19400000000000001</v>
      </c>
      <c r="H506">
        <v>6.7000000000000004E-2</v>
      </c>
      <c r="I506">
        <v>0.14000000000000001</v>
      </c>
      <c r="J506">
        <v>8</v>
      </c>
      <c r="K506">
        <v>5</v>
      </c>
      <c r="L506" t="s">
        <v>67</v>
      </c>
      <c r="M506" t="s">
        <v>68</v>
      </c>
      <c r="N506" t="s">
        <v>69</v>
      </c>
      <c r="O506">
        <v>6</v>
      </c>
      <c r="P506" t="s">
        <v>7</v>
      </c>
      <c r="Q506">
        <v>14.1</v>
      </c>
    </row>
    <row r="507" spans="1:17">
      <c r="A507">
        <v>2931</v>
      </c>
      <c r="B507" t="s">
        <v>75</v>
      </c>
      <c r="C507">
        <v>0.61499999999999999</v>
      </c>
      <c r="D507">
        <v>0.47499999999999998</v>
      </c>
      <c r="E507">
        <v>0.17499999999999999</v>
      </c>
      <c r="F507">
        <v>1.194</v>
      </c>
      <c r="G507">
        <v>0.55900000000000005</v>
      </c>
      <c r="H507">
        <v>0.25900000000000001</v>
      </c>
      <c r="I507">
        <v>0.3165</v>
      </c>
      <c r="J507">
        <v>11</v>
      </c>
      <c r="K507">
        <v>8</v>
      </c>
      <c r="L507" t="s">
        <v>55</v>
      </c>
      <c r="M507" t="s">
        <v>56</v>
      </c>
      <c r="N507" t="s">
        <v>57</v>
      </c>
      <c r="O507">
        <v>6</v>
      </c>
      <c r="P507" t="s">
        <v>7</v>
      </c>
      <c r="Q507">
        <v>14.1</v>
      </c>
    </row>
    <row r="508" spans="1:17">
      <c r="A508">
        <v>67</v>
      </c>
      <c r="B508" t="s">
        <v>75</v>
      </c>
      <c r="C508">
        <v>0.56499999999999995</v>
      </c>
      <c r="D508">
        <v>0.44</v>
      </c>
      <c r="E508">
        <v>0.16</v>
      </c>
      <c r="F508">
        <v>0.91500000000000004</v>
      </c>
      <c r="G508">
        <v>0.35399999999999998</v>
      </c>
      <c r="H508">
        <v>0.19350000000000001</v>
      </c>
      <c r="I508">
        <v>0.32</v>
      </c>
      <c r="J508">
        <v>12</v>
      </c>
      <c r="K508">
        <v>13</v>
      </c>
      <c r="L508" t="s">
        <v>43</v>
      </c>
      <c r="M508" t="s">
        <v>44</v>
      </c>
      <c r="N508" t="s">
        <v>45</v>
      </c>
      <c r="O508">
        <v>4</v>
      </c>
      <c r="P508" t="s">
        <v>8</v>
      </c>
      <c r="Q508">
        <v>6.1</v>
      </c>
    </row>
    <row r="509" spans="1:17">
      <c r="A509">
        <v>1859</v>
      </c>
      <c r="B509" t="s">
        <v>75</v>
      </c>
      <c r="C509">
        <v>0.51</v>
      </c>
      <c r="D509">
        <v>0.4</v>
      </c>
      <c r="E509">
        <v>0.12</v>
      </c>
      <c r="F509">
        <v>0.70050000000000001</v>
      </c>
      <c r="G509">
        <v>0.34699999999999998</v>
      </c>
      <c r="H509">
        <v>0.1105</v>
      </c>
      <c r="I509">
        <v>0.19500000000000001</v>
      </c>
      <c r="J509">
        <v>10</v>
      </c>
      <c r="K509">
        <v>2</v>
      </c>
      <c r="L509" t="s">
        <v>49</v>
      </c>
      <c r="M509" t="s">
        <v>50</v>
      </c>
      <c r="N509" t="s">
        <v>51</v>
      </c>
      <c r="O509">
        <v>8</v>
      </c>
      <c r="P509" t="s">
        <v>13</v>
      </c>
      <c r="Q509">
        <v>12.3</v>
      </c>
    </row>
    <row r="510" spans="1:17">
      <c r="A510">
        <v>2272</v>
      </c>
      <c r="B510" t="s">
        <v>75</v>
      </c>
      <c r="C510">
        <v>0.52</v>
      </c>
      <c r="D510">
        <v>0.41</v>
      </c>
      <c r="E510">
        <v>0.17</v>
      </c>
      <c r="F510">
        <v>0.87050000000000005</v>
      </c>
      <c r="G510">
        <v>0.3735</v>
      </c>
      <c r="H510">
        <v>0.219</v>
      </c>
      <c r="I510">
        <v>0.25</v>
      </c>
      <c r="J510">
        <v>14</v>
      </c>
      <c r="K510">
        <v>15</v>
      </c>
      <c r="L510" t="s">
        <v>60</v>
      </c>
      <c r="M510" t="s">
        <v>61</v>
      </c>
      <c r="N510" t="s">
        <v>45</v>
      </c>
      <c r="O510">
        <v>3</v>
      </c>
      <c r="P510" t="s">
        <v>10</v>
      </c>
      <c r="Q510">
        <v>3.6</v>
      </c>
    </row>
    <row r="511" spans="1:17">
      <c r="A511">
        <v>2387</v>
      </c>
      <c r="B511" t="s">
        <v>75</v>
      </c>
      <c r="C511">
        <v>0.48499999999999999</v>
      </c>
      <c r="D511">
        <v>0.36499999999999999</v>
      </c>
      <c r="E511">
        <v>0.14000000000000001</v>
      </c>
      <c r="F511">
        <v>0.61950000000000005</v>
      </c>
      <c r="G511">
        <v>0.25950000000000001</v>
      </c>
      <c r="H511">
        <v>0.14449999999999999</v>
      </c>
      <c r="I511">
        <v>0.17699999999999999</v>
      </c>
      <c r="J511">
        <v>14</v>
      </c>
      <c r="K511">
        <v>12</v>
      </c>
      <c r="L511" t="s">
        <v>58</v>
      </c>
      <c r="M511" t="s">
        <v>59</v>
      </c>
      <c r="N511" t="s">
        <v>45</v>
      </c>
      <c r="O511">
        <v>3</v>
      </c>
      <c r="P511" t="s">
        <v>10</v>
      </c>
      <c r="Q511">
        <v>3.6</v>
      </c>
    </row>
    <row r="512" spans="1:17">
      <c r="A512">
        <v>3946</v>
      </c>
      <c r="B512" t="s">
        <v>75</v>
      </c>
      <c r="C512">
        <v>0.23499999999999999</v>
      </c>
      <c r="D512">
        <v>0.17499999999999999</v>
      </c>
      <c r="E512">
        <v>6.5000000000000002E-2</v>
      </c>
      <c r="F512">
        <v>6.1499999999999999E-2</v>
      </c>
      <c r="G512">
        <v>2.0500000000000001E-2</v>
      </c>
      <c r="H512">
        <v>0.02</v>
      </c>
      <c r="I512">
        <v>1.9E-2</v>
      </c>
      <c r="J512">
        <v>6</v>
      </c>
      <c r="K512">
        <v>11</v>
      </c>
      <c r="L512" t="s">
        <v>65</v>
      </c>
      <c r="M512" t="s">
        <v>66</v>
      </c>
      <c r="N512" t="s">
        <v>45</v>
      </c>
      <c r="O512">
        <v>6</v>
      </c>
      <c r="P512" t="s">
        <v>7</v>
      </c>
      <c r="Q512">
        <v>14.1</v>
      </c>
    </row>
    <row r="513" spans="1:17">
      <c r="A513">
        <v>1381</v>
      </c>
      <c r="B513" t="s">
        <v>75</v>
      </c>
      <c r="C513">
        <v>0.625</v>
      </c>
      <c r="D513">
        <v>0.45500000000000002</v>
      </c>
      <c r="E513">
        <v>0.17</v>
      </c>
      <c r="F513">
        <v>1.0820000000000001</v>
      </c>
      <c r="G513">
        <v>0.4955</v>
      </c>
      <c r="H513">
        <v>0.23449999999999999</v>
      </c>
      <c r="I513">
        <v>0.315</v>
      </c>
      <c r="J513">
        <v>9</v>
      </c>
      <c r="K513">
        <v>6</v>
      </c>
      <c r="L513" t="s">
        <v>46</v>
      </c>
      <c r="M513" t="s">
        <v>47</v>
      </c>
      <c r="N513" t="s">
        <v>48</v>
      </c>
      <c r="O513">
        <v>2</v>
      </c>
      <c r="P513" t="s">
        <v>5</v>
      </c>
      <c r="Q513">
        <v>18</v>
      </c>
    </row>
    <row r="514" spans="1:17">
      <c r="A514">
        <v>1568</v>
      </c>
      <c r="B514" t="s">
        <v>75</v>
      </c>
      <c r="C514">
        <v>0.46500000000000002</v>
      </c>
      <c r="D514">
        <v>0.34499999999999997</v>
      </c>
      <c r="E514">
        <v>0.11</v>
      </c>
      <c r="F514">
        <v>0.39300000000000002</v>
      </c>
      <c r="G514">
        <v>0.1825</v>
      </c>
      <c r="H514">
        <v>7.3499999999999996E-2</v>
      </c>
      <c r="I514">
        <v>0.12</v>
      </c>
      <c r="J514">
        <v>8</v>
      </c>
      <c r="K514">
        <v>15</v>
      </c>
      <c r="L514" t="s">
        <v>60</v>
      </c>
      <c r="M514" t="s">
        <v>61</v>
      </c>
      <c r="N514" t="s">
        <v>45</v>
      </c>
      <c r="O514">
        <v>10</v>
      </c>
      <c r="P514" t="s">
        <v>11</v>
      </c>
      <c r="Q514">
        <v>24.1</v>
      </c>
    </row>
    <row r="515" spans="1:17">
      <c r="A515">
        <v>763</v>
      </c>
      <c r="B515" t="s">
        <v>75</v>
      </c>
      <c r="C515">
        <v>0.54</v>
      </c>
      <c r="D515">
        <v>0.44</v>
      </c>
      <c r="E515">
        <v>0.13500000000000001</v>
      </c>
      <c r="F515">
        <v>0.95899999999999996</v>
      </c>
      <c r="G515">
        <v>0.23849999999999999</v>
      </c>
      <c r="H515">
        <v>0.221</v>
      </c>
      <c r="I515">
        <v>0.3</v>
      </c>
      <c r="J515">
        <v>17</v>
      </c>
      <c r="K515">
        <v>12</v>
      </c>
      <c r="L515" t="s">
        <v>58</v>
      </c>
      <c r="M515" t="s">
        <v>59</v>
      </c>
      <c r="N515" t="s">
        <v>45</v>
      </c>
      <c r="O515">
        <v>4</v>
      </c>
      <c r="P515" t="s">
        <v>8</v>
      </c>
      <c r="Q515">
        <v>6.1</v>
      </c>
    </row>
    <row r="516" spans="1:17">
      <c r="A516">
        <v>3492</v>
      </c>
      <c r="B516" t="s">
        <v>75</v>
      </c>
      <c r="C516">
        <v>0.55000000000000004</v>
      </c>
      <c r="D516">
        <v>0.44</v>
      </c>
      <c r="E516">
        <v>0.16</v>
      </c>
      <c r="F516">
        <v>0.98499999999999999</v>
      </c>
      <c r="G516">
        <v>0.46450000000000002</v>
      </c>
      <c r="H516">
        <v>0.20100000000000001</v>
      </c>
      <c r="I516">
        <v>0.27</v>
      </c>
      <c r="J516">
        <v>8</v>
      </c>
      <c r="K516">
        <v>9</v>
      </c>
      <c r="L516" t="s">
        <v>34</v>
      </c>
      <c r="M516" t="s">
        <v>35</v>
      </c>
      <c r="N516" t="s">
        <v>36</v>
      </c>
      <c r="O516">
        <v>4</v>
      </c>
      <c r="P516" t="s">
        <v>8</v>
      </c>
      <c r="Q516">
        <v>6.1</v>
      </c>
    </row>
    <row r="517" spans="1:17">
      <c r="A517">
        <v>1576</v>
      </c>
      <c r="B517" t="s">
        <v>75</v>
      </c>
      <c r="C517">
        <v>0.48499999999999999</v>
      </c>
      <c r="D517">
        <v>0.375</v>
      </c>
      <c r="E517">
        <v>0.13</v>
      </c>
      <c r="F517">
        <v>0.60250000000000004</v>
      </c>
      <c r="G517">
        <v>0.29349999999999998</v>
      </c>
      <c r="H517">
        <v>0.1285</v>
      </c>
      <c r="I517">
        <v>0.16</v>
      </c>
      <c r="J517">
        <v>7</v>
      </c>
      <c r="K517">
        <v>1</v>
      </c>
      <c r="L517" t="s">
        <v>70</v>
      </c>
      <c r="M517" t="s">
        <v>71</v>
      </c>
      <c r="N517" t="s">
        <v>45</v>
      </c>
      <c r="O517">
        <v>2</v>
      </c>
      <c r="P517" t="s">
        <v>5</v>
      </c>
      <c r="Q517">
        <v>18</v>
      </c>
    </row>
    <row r="518" spans="1:17">
      <c r="A518">
        <v>1716</v>
      </c>
      <c r="B518" t="s">
        <v>75</v>
      </c>
      <c r="C518">
        <v>0.64500000000000002</v>
      </c>
      <c r="D518">
        <v>0.48499999999999999</v>
      </c>
      <c r="E518">
        <v>0.15</v>
      </c>
      <c r="F518">
        <v>1.2215</v>
      </c>
      <c r="G518">
        <v>0.56950000000000001</v>
      </c>
      <c r="H518">
        <v>0.27350000000000002</v>
      </c>
      <c r="I518">
        <v>0.33</v>
      </c>
      <c r="J518">
        <v>9</v>
      </c>
      <c r="K518">
        <v>1</v>
      </c>
      <c r="L518" t="s">
        <v>70</v>
      </c>
      <c r="M518" t="s">
        <v>71</v>
      </c>
      <c r="N518" t="s">
        <v>45</v>
      </c>
      <c r="O518">
        <v>9</v>
      </c>
      <c r="P518" t="s">
        <v>9</v>
      </c>
      <c r="Q518">
        <v>1.9</v>
      </c>
    </row>
    <row r="519" spans="1:17">
      <c r="A519">
        <v>845</v>
      </c>
      <c r="B519" t="s">
        <v>75</v>
      </c>
      <c r="C519">
        <v>0.52500000000000002</v>
      </c>
      <c r="D519">
        <v>0.39500000000000002</v>
      </c>
      <c r="E519">
        <v>0.13</v>
      </c>
      <c r="F519">
        <v>0.76349999999999996</v>
      </c>
      <c r="G519">
        <v>0.33750000000000002</v>
      </c>
      <c r="H519">
        <v>0.14249999999999999</v>
      </c>
      <c r="I519">
        <v>0.22500000000000001</v>
      </c>
      <c r="J519">
        <v>8</v>
      </c>
      <c r="K519">
        <v>14</v>
      </c>
      <c r="L519" t="s">
        <v>72</v>
      </c>
      <c r="M519" t="s">
        <v>73</v>
      </c>
      <c r="N519" t="s">
        <v>74</v>
      </c>
      <c r="O519">
        <v>8</v>
      </c>
      <c r="P519" t="s">
        <v>13</v>
      </c>
      <c r="Q519">
        <v>12.3</v>
      </c>
    </row>
    <row r="520" spans="1:17">
      <c r="A520">
        <v>3540</v>
      </c>
      <c r="B520" t="s">
        <v>75</v>
      </c>
      <c r="C520">
        <v>0.435</v>
      </c>
      <c r="D520">
        <v>0.34</v>
      </c>
      <c r="E520">
        <v>0.12</v>
      </c>
      <c r="F520">
        <v>0.39600000000000002</v>
      </c>
      <c r="G520">
        <v>0.17749999999999999</v>
      </c>
      <c r="H520">
        <v>8.1000000000000003E-2</v>
      </c>
      <c r="I520">
        <v>0.125</v>
      </c>
      <c r="J520">
        <v>8</v>
      </c>
      <c r="K520">
        <v>10</v>
      </c>
      <c r="L520" t="s">
        <v>37</v>
      </c>
      <c r="M520" t="s">
        <v>38</v>
      </c>
      <c r="N520" t="s">
        <v>39</v>
      </c>
      <c r="O520">
        <v>3</v>
      </c>
      <c r="P520" t="s">
        <v>10</v>
      </c>
      <c r="Q520">
        <v>3.6</v>
      </c>
    </row>
    <row r="521" spans="1:17">
      <c r="A521">
        <v>201</v>
      </c>
      <c r="B521" t="s">
        <v>75</v>
      </c>
      <c r="C521">
        <v>0.45</v>
      </c>
      <c r="D521">
        <v>0.34499999999999997</v>
      </c>
      <c r="E521">
        <v>0.12</v>
      </c>
      <c r="F521">
        <v>0.41649999999999998</v>
      </c>
      <c r="G521">
        <v>0.16550000000000001</v>
      </c>
      <c r="H521">
        <v>9.5000000000000001E-2</v>
      </c>
      <c r="I521">
        <v>0.13500000000000001</v>
      </c>
      <c r="J521">
        <v>9</v>
      </c>
      <c r="K521">
        <v>13</v>
      </c>
      <c r="L521" t="s">
        <v>43</v>
      </c>
      <c r="M521" t="s">
        <v>44</v>
      </c>
      <c r="N521" t="s">
        <v>45</v>
      </c>
      <c r="O521">
        <v>2</v>
      </c>
      <c r="P521" t="s">
        <v>5</v>
      </c>
      <c r="Q521">
        <v>18</v>
      </c>
    </row>
    <row r="522" spans="1:17">
      <c r="A522">
        <v>3684</v>
      </c>
      <c r="B522" t="s">
        <v>75</v>
      </c>
      <c r="C522">
        <v>0.62</v>
      </c>
      <c r="D522">
        <v>0.52500000000000002</v>
      </c>
      <c r="E522">
        <v>0.155</v>
      </c>
      <c r="F522">
        <v>1.085</v>
      </c>
      <c r="G522">
        <v>0.45400000000000001</v>
      </c>
      <c r="H522">
        <v>0.19650000000000001</v>
      </c>
      <c r="I522">
        <v>0.35</v>
      </c>
      <c r="J522">
        <v>10</v>
      </c>
      <c r="K522">
        <v>9</v>
      </c>
      <c r="L522" t="s">
        <v>34</v>
      </c>
      <c r="M522" t="s">
        <v>35</v>
      </c>
      <c r="N522" t="s">
        <v>36</v>
      </c>
      <c r="O522">
        <v>6</v>
      </c>
      <c r="P522" t="s">
        <v>7</v>
      </c>
      <c r="Q522">
        <v>14.1</v>
      </c>
    </row>
    <row r="523" spans="1:17">
      <c r="A523">
        <v>151</v>
      </c>
      <c r="B523" t="s">
        <v>75</v>
      </c>
      <c r="C523">
        <v>0.59</v>
      </c>
      <c r="D523">
        <v>0.47499999999999998</v>
      </c>
      <c r="E523">
        <v>0.14499999999999999</v>
      </c>
      <c r="F523">
        <v>1.0529999999999999</v>
      </c>
      <c r="G523">
        <v>0.4415</v>
      </c>
      <c r="H523">
        <v>0.26200000000000001</v>
      </c>
      <c r="I523">
        <v>0.32500000000000001</v>
      </c>
      <c r="J523">
        <v>15</v>
      </c>
      <c r="K523">
        <v>6</v>
      </c>
      <c r="L523" t="s">
        <v>46</v>
      </c>
      <c r="M523" t="s">
        <v>47</v>
      </c>
      <c r="N523" t="s">
        <v>48</v>
      </c>
      <c r="O523">
        <v>5</v>
      </c>
      <c r="P523" t="s">
        <v>12</v>
      </c>
      <c r="Q523">
        <v>12.8</v>
      </c>
    </row>
    <row r="524" spans="1:17">
      <c r="A524">
        <v>2458</v>
      </c>
      <c r="B524" t="s">
        <v>75</v>
      </c>
      <c r="C524">
        <v>0.25</v>
      </c>
      <c r="D524">
        <v>0.185</v>
      </c>
      <c r="E524">
        <v>6.5000000000000002E-2</v>
      </c>
      <c r="F524">
        <v>7.0999999999999994E-2</v>
      </c>
      <c r="G524">
        <v>2.7E-2</v>
      </c>
      <c r="H524">
        <v>1.8499999999999999E-2</v>
      </c>
      <c r="I524">
        <v>2.2499999999999999E-2</v>
      </c>
      <c r="J524">
        <v>5</v>
      </c>
      <c r="K524">
        <v>6</v>
      </c>
      <c r="L524" t="s">
        <v>46</v>
      </c>
      <c r="M524" t="s">
        <v>47</v>
      </c>
      <c r="N524" t="s">
        <v>48</v>
      </c>
      <c r="O524">
        <v>2</v>
      </c>
      <c r="P524" t="s">
        <v>5</v>
      </c>
      <c r="Q524">
        <v>18</v>
      </c>
    </row>
    <row r="525" spans="1:17">
      <c r="A525">
        <v>330</v>
      </c>
      <c r="B525" t="s">
        <v>75</v>
      </c>
      <c r="C525">
        <v>0.36</v>
      </c>
      <c r="D525">
        <v>0.28000000000000003</v>
      </c>
      <c r="E525">
        <v>0.09</v>
      </c>
      <c r="F525">
        <v>0.22550000000000001</v>
      </c>
      <c r="G525">
        <v>8.8499999999999995E-2</v>
      </c>
      <c r="H525">
        <v>0.04</v>
      </c>
      <c r="I525">
        <v>0.09</v>
      </c>
      <c r="J525">
        <v>8</v>
      </c>
      <c r="K525">
        <v>7</v>
      </c>
      <c r="L525" t="s">
        <v>62</v>
      </c>
      <c r="M525" t="s">
        <v>63</v>
      </c>
      <c r="N525" t="s">
        <v>64</v>
      </c>
      <c r="O525">
        <v>6</v>
      </c>
      <c r="P525" t="s">
        <v>7</v>
      </c>
      <c r="Q525">
        <v>14.1</v>
      </c>
    </row>
    <row r="526" spans="1:17">
      <c r="A526">
        <v>180</v>
      </c>
      <c r="B526" t="s">
        <v>75</v>
      </c>
      <c r="C526">
        <v>0.57999999999999996</v>
      </c>
      <c r="D526">
        <v>0.47499999999999998</v>
      </c>
      <c r="E526">
        <v>0.15</v>
      </c>
      <c r="F526">
        <v>0.97</v>
      </c>
      <c r="G526">
        <v>0.38500000000000001</v>
      </c>
      <c r="H526">
        <v>0.2165</v>
      </c>
      <c r="I526">
        <v>0.35</v>
      </c>
      <c r="J526">
        <v>11</v>
      </c>
      <c r="K526">
        <v>12</v>
      </c>
      <c r="L526" t="s">
        <v>58</v>
      </c>
      <c r="M526" t="s">
        <v>59</v>
      </c>
      <c r="N526" t="s">
        <v>45</v>
      </c>
      <c r="O526">
        <v>4</v>
      </c>
      <c r="P526" t="s">
        <v>8</v>
      </c>
      <c r="Q526">
        <v>6.1</v>
      </c>
    </row>
    <row r="527" spans="1:17">
      <c r="A527">
        <v>354</v>
      </c>
      <c r="B527" t="s">
        <v>75</v>
      </c>
      <c r="C527">
        <v>0.57999999999999996</v>
      </c>
      <c r="D527">
        <v>0.45500000000000002</v>
      </c>
      <c r="E527">
        <v>0.17</v>
      </c>
      <c r="F527">
        <v>0.93</v>
      </c>
      <c r="G527">
        <v>0.40799999999999997</v>
      </c>
      <c r="H527">
        <v>0.25900000000000001</v>
      </c>
      <c r="I527">
        <v>0.22</v>
      </c>
      <c r="J527">
        <v>9</v>
      </c>
      <c r="K527">
        <v>2</v>
      </c>
      <c r="L527" t="s">
        <v>49</v>
      </c>
      <c r="M527" t="s">
        <v>50</v>
      </c>
      <c r="N527" t="s">
        <v>51</v>
      </c>
      <c r="O527">
        <v>1</v>
      </c>
      <c r="P527" t="s">
        <v>4</v>
      </c>
      <c r="Q527">
        <v>22.1</v>
      </c>
    </row>
    <row r="528" spans="1:17">
      <c r="A528">
        <v>4080</v>
      </c>
      <c r="B528" t="s">
        <v>75</v>
      </c>
      <c r="C528">
        <v>0.55000000000000004</v>
      </c>
      <c r="D528">
        <v>0.38500000000000001</v>
      </c>
      <c r="E528">
        <v>0.13</v>
      </c>
      <c r="F528">
        <v>0.72750000000000004</v>
      </c>
      <c r="G528">
        <v>0.34300000000000003</v>
      </c>
      <c r="H528">
        <v>0.16250000000000001</v>
      </c>
      <c r="I528">
        <v>0.19</v>
      </c>
      <c r="J528">
        <v>8</v>
      </c>
      <c r="K528">
        <v>6</v>
      </c>
      <c r="L528" t="s">
        <v>46</v>
      </c>
      <c r="M528" t="s">
        <v>47</v>
      </c>
      <c r="N528" t="s">
        <v>48</v>
      </c>
      <c r="O528">
        <v>1</v>
      </c>
      <c r="P528" t="s">
        <v>4</v>
      </c>
      <c r="Q528">
        <v>22.1</v>
      </c>
    </row>
    <row r="529" spans="1:17">
      <c r="A529">
        <v>187</v>
      </c>
      <c r="B529" t="s">
        <v>75</v>
      </c>
      <c r="C529">
        <v>0.63</v>
      </c>
      <c r="D529">
        <v>0.48</v>
      </c>
      <c r="E529">
        <v>0.15</v>
      </c>
      <c r="F529">
        <v>1.0525</v>
      </c>
      <c r="G529">
        <v>0.39200000000000002</v>
      </c>
      <c r="H529">
        <v>0.33600000000000002</v>
      </c>
      <c r="I529">
        <v>0.28499999999999998</v>
      </c>
      <c r="J529">
        <v>12</v>
      </c>
      <c r="K529">
        <v>15</v>
      </c>
      <c r="L529" t="s">
        <v>60</v>
      </c>
      <c r="M529" t="s">
        <v>61</v>
      </c>
      <c r="N529" t="s">
        <v>45</v>
      </c>
      <c r="O529">
        <v>9</v>
      </c>
      <c r="P529" t="s">
        <v>9</v>
      </c>
      <c r="Q529">
        <v>1.9</v>
      </c>
    </row>
    <row r="530" spans="1:17">
      <c r="A530">
        <v>1604</v>
      </c>
      <c r="B530" t="s">
        <v>75</v>
      </c>
      <c r="C530">
        <v>0.54</v>
      </c>
      <c r="D530">
        <v>0.43</v>
      </c>
      <c r="E530">
        <v>0.14000000000000001</v>
      </c>
      <c r="F530">
        <v>0.81950000000000001</v>
      </c>
      <c r="G530">
        <v>0.39350000000000002</v>
      </c>
      <c r="H530">
        <v>0.17249999999999999</v>
      </c>
      <c r="I530">
        <v>0.22950000000000001</v>
      </c>
      <c r="J530">
        <v>9</v>
      </c>
      <c r="K530">
        <v>1</v>
      </c>
      <c r="L530" t="s">
        <v>70</v>
      </c>
      <c r="M530" t="s">
        <v>71</v>
      </c>
      <c r="N530" t="s">
        <v>45</v>
      </c>
      <c r="O530">
        <v>3</v>
      </c>
      <c r="P530" t="s">
        <v>10</v>
      </c>
      <c r="Q530">
        <v>3.6</v>
      </c>
    </row>
    <row r="531" spans="1:17">
      <c r="A531">
        <v>1853</v>
      </c>
      <c r="B531" t="s">
        <v>75</v>
      </c>
      <c r="C531">
        <v>0.495</v>
      </c>
      <c r="D531">
        <v>0.38</v>
      </c>
      <c r="E531">
        <v>0.13500000000000001</v>
      </c>
      <c r="F531">
        <v>0.50949999999999995</v>
      </c>
      <c r="G531">
        <v>0.20649999999999999</v>
      </c>
      <c r="H531">
        <v>0.11650000000000001</v>
      </c>
      <c r="I531">
        <v>0.16500000000000001</v>
      </c>
      <c r="J531">
        <v>8</v>
      </c>
      <c r="K531">
        <v>10</v>
      </c>
      <c r="L531" t="s">
        <v>37</v>
      </c>
      <c r="M531" t="s">
        <v>38</v>
      </c>
      <c r="N531" t="s">
        <v>39</v>
      </c>
      <c r="O531">
        <v>7</v>
      </c>
      <c r="P531" t="s">
        <v>6</v>
      </c>
      <c r="Q531">
        <v>2.5</v>
      </c>
    </row>
    <row r="532" spans="1:17">
      <c r="A532">
        <v>414</v>
      </c>
      <c r="B532" t="s">
        <v>75</v>
      </c>
      <c r="C532">
        <v>0.54500000000000004</v>
      </c>
      <c r="D532">
        <v>0.44</v>
      </c>
      <c r="E532">
        <v>0.12</v>
      </c>
      <c r="F532">
        <v>0.85650000000000004</v>
      </c>
      <c r="G532">
        <v>0.34749999999999998</v>
      </c>
      <c r="H532">
        <v>0.17150000000000001</v>
      </c>
      <c r="I532">
        <v>0.24</v>
      </c>
      <c r="J532">
        <v>12</v>
      </c>
      <c r="K532">
        <v>14</v>
      </c>
      <c r="L532" t="s">
        <v>72</v>
      </c>
      <c r="M532" t="s">
        <v>73</v>
      </c>
      <c r="N532" t="s">
        <v>74</v>
      </c>
      <c r="O532">
        <v>6</v>
      </c>
      <c r="P532" t="s">
        <v>7</v>
      </c>
      <c r="Q532">
        <v>14.1</v>
      </c>
    </row>
    <row r="533" spans="1:17">
      <c r="A533">
        <v>4164</v>
      </c>
      <c r="B533" t="s">
        <v>75</v>
      </c>
      <c r="C533">
        <v>0.39</v>
      </c>
      <c r="D533">
        <v>0.31</v>
      </c>
      <c r="E533">
        <v>8.5000000000000006E-2</v>
      </c>
      <c r="F533">
        <v>0.34399999999999997</v>
      </c>
      <c r="G533">
        <v>0.18099999999999999</v>
      </c>
      <c r="H533">
        <v>6.9500000000000006E-2</v>
      </c>
      <c r="I533">
        <v>7.9000000000000001E-2</v>
      </c>
      <c r="J533">
        <v>7</v>
      </c>
      <c r="K533">
        <v>15</v>
      </c>
      <c r="L533" t="s">
        <v>60</v>
      </c>
      <c r="M533" t="s">
        <v>61</v>
      </c>
      <c r="N533" t="s">
        <v>45</v>
      </c>
      <c r="O533">
        <v>1</v>
      </c>
      <c r="P533" t="s">
        <v>4</v>
      </c>
      <c r="Q533">
        <v>22.1</v>
      </c>
    </row>
    <row r="534" spans="1:17">
      <c r="A534">
        <v>1058</v>
      </c>
      <c r="B534" t="s">
        <v>75</v>
      </c>
      <c r="C534">
        <v>0.22500000000000001</v>
      </c>
      <c r="D534">
        <v>0.16500000000000001</v>
      </c>
      <c r="E534">
        <v>5.5E-2</v>
      </c>
      <c r="F534">
        <v>5.8999999999999997E-2</v>
      </c>
      <c r="G534">
        <v>2.7E-2</v>
      </c>
      <c r="H534">
        <v>1.2500000000000001E-2</v>
      </c>
      <c r="I534">
        <v>1.4999999999999999E-2</v>
      </c>
      <c r="J534">
        <v>4</v>
      </c>
      <c r="K534">
        <v>14</v>
      </c>
      <c r="L534" t="s">
        <v>72</v>
      </c>
      <c r="M534" t="s">
        <v>73</v>
      </c>
      <c r="N534" t="s">
        <v>74</v>
      </c>
      <c r="O534">
        <v>4</v>
      </c>
      <c r="P534" t="s">
        <v>8</v>
      </c>
      <c r="Q534">
        <v>6.1</v>
      </c>
    </row>
    <row r="535" spans="1:17">
      <c r="A535">
        <v>3724</v>
      </c>
      <c r="B535" t="s">
        <v>75</v>
      </c>
      <c r="C535">
        <v>0.47</v>
      </c>
      <c r="D535">
        <v>0.35499999999999998</v>
      </c>
      <c r="E535">
        <v>0.12</v>
      </c>
      <c r="F535">
        <v>0.49149999999999999</v>
      </c>
      <c r="G535">
        <v>0.17649999999999999</v>
      </c>
      <c r="H535">
        <v>0.1125</v>
      </c>
      <c r="I535">
        <v>0.13250000000000001</v>
      </c>
      <c r="J535">
        <v>9</v>
      </c>
      <c r="K535">
        <v>8</v>
      </c>
      <c r="L535" t="s">
        <v>55</v>
      </c>
      <c r="M535" t="s">
        <v>56</v>
      </c>
      <c r="N535" t="s">
        <v>57</v>
      </c>
      <c r="O535">
        <v>8</v>
      </c>
      <c r="P535" t="s">
        <v>13</v>
      </c>
      <c r="Q535">
        <v>12.3</v>
      </c>
    </row>
    <row r="536" spans="1:17">
      <c r="A536">
        <v>3329</v>
      </c>
      <c r="B536" t="s">
        <v>75</v>
      </c>
      <c r="C536">
        <v>0.57499999999999996</v>
      </c>
      <c r="D536">
        <v>0.47499999999999998</v>
      </c>
      <c r="E536">
        <v>0.17</v>
      </c>
      <c r="F536">
        <v>0.96699999999999997</v>
      </c>
      <c r="G536">
        <v>0.3775</v>
      </c>
      <c r="H536">
        <v>0.28399999999999997</v>
      </c>
      <c r="I536">
        <v>0.27500000000000002</v>
      </c>
      <c r="J536">
        <v>13</v>
      </c>
      <c r="K536">
        <v>9</v>
      </c>
      <c r="L536" t="s">
        <v>34</v>
      </c>
      <c r="M536" t="s">
        <v>35</v>
      </c>
      <c r="N536" t="s">
        <v>36</v>
      </c>
      <c r="O536">
        <v>8</v>
      </c>
      <c r="P536" t="s">
        <v>13</v>
      </c>
      <c r="Q536">
        <v>12.3</v>
      </c>
    </row>
    <row r="537" spans="1:17">
      <c r="A537">
        <v>2880</v>
      </c>
      <c r="B537" t="s">
        <v>75</v>
      </c>
      <c r="C537">
        <v>0.47</v>
      </c>
      <c r="D537">
        <v>0.38500000000000001</v>
      </c>
      <c r="E537">
        <v>0.13</v>
      </c>
      <c r="F537">
        <v>0.58699999999999997</v>
      </c>
      <c r="G537">
        <v>0.26400000000000001</v>
      </c>
      <c r="H537">
        <v>0.11700000000000001</v>
      </c>
      <c r="I537">
        <v>0.17399999999999999</v>
      </c>
      <c r="J537">
        <v>8</v>
      </c>
      <c r="K537">
        <v>2</v>
      </c>
      <c r="L537" t="s">
        <v>49</v>
      </c>
      <c r="M537" t="s">
        <v>50</v>
      </c>
      <c r="N537" t="s">
        <v>51</v>
      </c>
      <c r="O537">
        <v>10</v>
      </c>
      <c r="P537" t="s">
        <v>11</v>
      </c>
      <c r="Q537">
        <v>24.1</v>
      </c>
    </row>
    <row r="538" spans="1:17">
      <c r="A538">
        <v>3504</v>
      </c>
      <c r="B538" t="s">
        <v>75</v>
      </c>
      <c r="C538">
        <v>0.61499999999999999</v>
      </c>
      <c r="D538">
        <v>0.49</v>
      </c>
      <c r="E538">
        <v>0.19</v>
      </c>
      <c r="F538">
        <v>1.1345000000000001</v>
      </c>
      <c r="G538">
        <v>0.46949999999999997</v>
      </c>
      <c r="H538">
        <v>0.25700000000000001</v>
      </c>
      <c r="I538">
        <v>0.34799999999999998</v>
      </c>
      <c r="J538">
        <v>11</v>
      </c>
      <c r="K538">
        <v>15</v>
      </c>
      <c r="L538" t="s">
        <v>60</v>
      </c>
      <c r="M538" t="s">
        <v>61</v>
      </c>
      <c r="N538" t="s">
        <v>45</v>
      </c>
      <c r="O538">
        <v>4</v>
      </c>
      <c r="P538" t="s">
        <v>8</v>
      </c>
      <c r="Q538">
        <v>6.1</v>
      </c>
    </row>
    <row r="539" spans="1:17">
      <c r="A539">
        <v>589</v>
      </c>
      <c r="B539" t="s">
        <v>75</v>
      </c>
      <c r="C539">
        <v>0.45</v>
      </c>
      <c r="D539">
        <v>0.33500000000000002</v>
      </c>
      <c r="E539">
        <v>0.14000000000000001</v>
      </c>
      <c r="F539">
        <v>0.46250000000000002</v>
      </c>
      <c r="G539">
        <v>0.16400000000000001</v>
      </c>
      <c r="H539">
        <v>7.5999999999999998E-2</v>
      </c>
      <c r="I539">
        <v>0.15</v>
      </c>
      <c r="J539">
        <v>14</v>
      </c>
      <c r="K539">
        <v>15</v>
      </c>
      <c r="L539" t="s">
        <v>60</v>
      </c>
      <c r="M539" t="s">
        <v>61</v>
      </c>
      <c r="N539" t="s">
        <v>45</v>
      </c>
      <c r="O539">
        <v>5</v>
      </c>
      <c r="P539" t="s">
        <v>12</v>
      </c>
      <c r="Q539">
        <v>12.8</v>
      </c>
    </row>
    <row r="540" spans="1:17">
      <c r="A540">
        <v>191</v>
      </c>
      <c r="B540" t="s">
        <v>75</v>
      </c>
      <c r="C540">
        <v>0.61499999999999999</v>
      </c>
      <c r="D540">
        <v>0.48</v>
      </c>
      <c r="E540">
        <v>0.18</v>
      </c>
      <c r="F540">
        <v>1.1595</v>
      </c>
      <c r="G540">
        <v>0.48449999999999999</v>
      </c>
      <c r="H540">
        <v>0.2165</v>
      </c>
      <c r="I540">
        <v>0.32500000000000001</v>
      </c>
      <c r="J540">
        <v>13</v>
      </c>
      <c r="K540">
        <v>6</v>
      </c>
      <c r="L540" t="s">
        <v>46</v>
      </c>
      <c r="M540" t="s">
        <v>47</v>
      </c>
      <c r="N540" t="s">
        <v>48</v>
      </c>
      <c r="O540">
        <v>10</v>
      </c>
      <c r="P540" t="s">
        <v>11</v>
      </c>
      <c r="Q540">
        <v>24.1</v>
      </c>
    </row>
    <row r="541" spans="1:17">
      <c r="A541">
        <v>1</v>
      </c>
      <c r="B541" t="s">
        <v>75</v>
      </c>
      <c r="C541">
        <v>0.45500000000000002</v>
      </c>
      <c r="D541">
        <v>0.36499999999999999</v>
      </c>
      <c r="E541">
        <v>9.5000000000000001E-2</v>
      </c>
      <c r="F541">
        <v>0.51400000000000001</v>
      </c>
      <c r="G541">
        <v>0.22450000000000001</v>
      </c>
      <c r="H541">
        <v>0.10100000000000001</v>
      </c>
      <c r="I541">
        <v>0.15</v>
      </c>
      <c r="J541">
        <v>15</v>
      </c>
      <c r="K541">
        <v>5</v>
      </c>
      <c r="L541" t="s">
        <v>67</v>
      </c>
      <c r="M541" t="s">
        <v>68</v>
      </c>
      <c r="N541" t="s">
        <v>69</v>
      </c>
      <c r="O541">
        <v>2</v>
      </c>
      <c r="P541" t="s">
        <v>5</v>
      </c>
      <c r="Q541">
        <v>18</v>
      </c>
    </row>
    <row r="542" spans="1:17">
      <c r="A542">
        <v>104</v>
      </c>
      <c r="B542" t="s">
        <v>75</v>
      </c>
      <c r="C542">
        <v>0.53</v>
      </c>
      <c r="D542">
        <v>0.41499999999999998</v>
      </c>
      <c r="E542">
        <v>0.14000000000000001</v>
      </c>
      <c r="F542">
        <v>0.72399999999999998</v>
      </c>
      <c r="G542">
        <v>0.3105</v>
      </c>
      <c r="H542">
        <v>0.16750000000000001</v>
      </c>
      <c r="I542">
        <v>0.20499999999999999</v>
      </c>
      <c r="J542">
        <v>10</v>
      </c>
      <c r="K542">
        <v>11</v>
      </c>
      <c r="L542" t="s">
        <v>65</v>
      </c>
      <c r="M542" t="s">
        <v>66</v>
      </c>
      <c r="N542" t="s">
        <v>45</v>
      </c>
      <c r="O542">
        <v>9</v>
      </c>
      <c r="P542" t="s">
        <v>9</v>
      </c>
      <c r="Q542">
        <v>1.9</v>
      </c>
    </row>
    <row r="543" spans="1:17">
      <c r="A543">
        <v>783</v>
      </c>
      <c r="B543" t="s">
        <v>75</v>
      </c>
      <c r="C543">
        <v>0.51500000000000001</v>
      </c>
      <c r="D543">
        <v>0.435</v>
      </c>
      <c r="E543">
        <v>0.14499999999999999</v>
      </c>
      <c r="F543">
        <v>0.88149999999999995</v>
      </c>
      <c r="G543">
        <v>0.29199999999999998</v>
      </c>
      <c r="H543">
        <v>0.20599999999999999</v>
      </c>
      <c r="I543">
        <v>0.255</v>
      </c>
      <c r="J543">
        <v>10</v>
      </c>
      <c r="K543">
        <v>14</v>
      </c>
      <c r="L543" t="s">
        <v>72</v>
      </c>
      <c r="M543" t="s">
        <v>73</v>
      </c>
      <c r="N543" t="s">
        <v>74</v>
      </c>
      <c r="O543">
        <v>5</v>
      </c>
      <c r="P543" t="s">
        <v>12</v>
      </c>
      <c r="Q543">
        <v>12.8</v>
      </c>
    </row>
    <row r="544" spans="1:17">
      <c r="A544">
        <v>235</v>
      </c>
      <c r="B544" t="s">
        <v>75</v>
      </c>
      <c r="C544">
        <v>0.44</v>
      </c>
      <c r="D544">
        <v>0.35</v>
      </c>
      <c r="E544">
        <v>0.13500000000000001</v>
      </c>
      <c r="F544">
        <v>0.435</v>
      </c>
      <c r="G544">
        <v>0.18149999999999999</v>
      </c>
      <c r="H544">
        <v>8.3000000000000004E-2</v>
      </c>
      <c r="I544">
        <v>0.125</v>
      </c>
      <c r="J544">
        <v>12</v>
      </c>
      <c r="K544">
        <v>5</v>
      </c>
      <c r="L544" t="s">
        <v>67</v>
      </c>
      <c r="M544" t="s">
        <v>68</v>
      </c>
      <c r="N544" t="s">
        <v>69</v>
      </c>
      <c r="O544">
        <v>5</v>
      </c>
      <c r="P544" t="s">
        <v>12</v>
      </c>
      <c r="Q544">
        <v>12.8</v>
      </c>
    </row>
    <row r="545" spans="1:17">
      <c r="A545">
        <v>56</v>
      </c>
      <c r="B545" t="s">
        <v>75</v>
      </c>
      <c r="C545">
        <v>0.5</v>
      </c>
      <c r="D545">
        <v>0.4</v>
      </c>
      <c r="E545">
        <v>0.14000000000000001</v>
      </c>
      <c r="F545">
        <v>0.66149999999999998</v>
      </c>
      <c r="G545">
        <v>0.25650000000000001</v>
      </c>
      <c r="H545">
        <v>0.17549999999999999</v>
      </c>
      <c r="I545">
        <v>0.22</v>
      </c>
      <c r="J545">
        <v>8</v>
      </c>
      <c r="K545">
        <v>1</v>
      </c>
      <c r="L545" t="s">
        <v>70</v>
      </c>
      <c r="M545" t="s">
        <v>71</v>
      </c>
      <c r="N545" t="s">
        <v>45</v>
      </c>
      <c r="O545">
        <v>8</v>
      </c>
      <c r="P545" t="s">
        <v>13</v>
      </c>
      <c r="Q545">
        <v>12.3</v>
      </c>
    </row>
    <row r="546" spans="1:17">
      <c r="A546">
        <v>846</v>
      </c>
      <c r="B546" t="s">
        <v>75</v>
      </c>
      <c r="C546">
        <v>0.54</v>
      </c>
      <c r="D546">
        <v>0.40500000000000003</v>
      </c>
      <c r="E546">
        <v>0.125</v>
      </c>
      <c r="F546">
        <v>0.89100000000000001</v>
      </c>
      <c r="G546">
        <v>0.48149999999999998</v>
      </c>
      <c r="H546">
        <v>0.1915</v>
      </c>
      <c r="I546">
        <v>0.20200000000000001</v>
      </c>
      <c r="J546">
        <v>9</v>
      </c>
      <c r="K546">
        <v>1</v>
      </c>
      <c r="L546" t="s">
        <v>70</v>
      </c>
      <c r="M546" t="s">
        <v>71</v>
      </c>
      <c r="N546" t="s">
        <v>45</v>
      </c>
      <c r="O546">
        <v>9</v>
      </c>
      <c r="P546" t="s">
        <v>9</v>
      </c>
      <c r="Q546">
        <v>1.9</v>
      </c>
    </row>
    <row r="547" spans="1:17">
      <c r="A547">
        <v>1250</v>
      </c>
      <c r="B547" t="s">
        <v>75</v>
      </c>
      <c r="C547">
        <v>0.39500000000000002</v>
      </c>
      <c r="D547">
        <v>0.27</v>
      </c>
      <c r="E547">
        <v>0.1</v>
      </c>
      <c r="F547">
        <v>0.29849999999999999</v>
      </c>
      <c r="G547">
        <v>0.14449999999999999</v>
      </c>
      <c r="H547">
        <v>6.0999999999999999E-2</v>
      </c>
      <c r="I547">
        <v>8.2000000000000003E-2</v>
      </c>
      <c r="J547">
        <v>5</v>
      </c>
      <c r="K547">
        <v>1</v>
      </c>
      <c r="L547" t="s">
        <v>70</v>
      </c>
      <c r="M547" t="s">
        <v>71</v>
      </c>
      <c r="N547" t="s">
        <v>45</v>
      </c>
      <c r="O547">
        <v>6</v>
      </c>
      <c r="P547" t="s">
        <v>7</v>
      </c>
      <c r="Q547">
        <v>14.1</v>
      </c>
    </row>
    <row r="548" spans="1:17">
      <c r="A548">
        <v>349</v>
      </c>
      <c r="B548" t="s">
        <v>75</v>
      </c>
      <c r="C548">
        <v>0.375</v>
      </c>
      <c r="D548">
        <v>0.30499999999999999</v>
      </c>
      <c r="E548">
        <v>0.115</v>
      </c>
      <c r="F548">
        <v>0.27150000000000002</v>
      </c>
      <c r="G548">
        <v>9.1999999999999998E-2</v>
      </c>
      <c r="H548">
        <v>7.3999999999999996E-2</v>
      </c>
      <c r="I548">
        <v>0.09</v>
      </c>
      <c r="J548">
        <v>8</v>
      </c>
      <c r="K548">
        <v>8</v>
      </c>
      <c r="L548" t="s">
        <v>55</v>
      </c>
      <c r="M548" t="s">
        <v>56</v>
      </c>
      <c r="N548" t="s">
        <v>57</v>
      </c>
      <c r="O548">
        <v>5</v>
      </c>
      <c r="P548" t="s">
        <v>12</v>
      </c>
      <c r="Q548">
        <v>12.8</v>
      </c>
    </row>
    <row r="549" spans="1:17">
      <c r="A549">
        <v>2020</v>
      </c>
      <c r="B549" t="s">
        <v>75</v>
      </c>
      <c r="C549">
        <v>0.51</v>
      </c>
      <c r="D549">
        <v>0.45500000000000002</v>
      </c>
      <c r="E549">
        <v>0.13500000000000001</v>
      </c>
      <c r="F549">
        <v>0.6855</v>
      </c>
      <c r="G549">
        <v>0.28749999999999998</v>
      </c>
      <c r="H549">
        <v>0.154</v>
      </c>
      <c r="I549">
        <v>0.20349999999999999</v>
      </c>
      <c r="J549">
        <v>9</v>
      </c>
      <c r="K549">
        <v>2</v>
      </c>
      <c r="L549" t="s">
        <v>49</v>
      </c>
      <c r="M549" t="s">
        <v>50</v>
      </c>
      <c r="N549" t="s">
        <v>51</v>
      </c>
      <c r="O549">
        <v>7</v>
      </c>
      <c r="P549" t="s">
        <v>6</v>
      </c>
      <c r="Q549">
        <v>2.5</v>
      </c>
    </row>
    <row r="550" spans="1:17">
      <c r="A550">
        <v>2665</v>
      </c>
      <c r="B550" t="s">
        <v>75</v>
      </c>
      <c r="C550">
        <v>0.56999999999999995</v>
      </c>
      <c r="D550">
        <v>0.43</v>
      </c>
      <c r="E550">
        <v>0.16</v>
      </c>
      <c r="F550">
        <v>0.81100000000000005</v>
      </c>
      <c r="G550">
        <v>0.38750000000000001</v>
      </c>
      <c r="H550">
        <v>0.159</v>
      </c>
      <c r="I550">
        <v>0.22850000000000001</v>
      </c>
      <c r="J550">
        <v>9</v>
      </c>
      <c r="K550">
        <v>7</v>
      </c>
      <c r="L550" t="s">
        <v>62</v>
      </c>
      <c r="M550" t="s">
        <v>63</v>
      </c>
      <c r="N550" t="s">
        <v>64</v>
      </c>
      <c r="O550">
        <v>2</v>
      </c>
      <c r="P550" t="s">
        <v>5</v>
      </c>
      <c r="Q550">
        <v>18</v>
      </c>
    </row>
    <row r="551" spans="1:17">
      <c r="A551">
        <v>2425</v>
      </c>
      <c r="B551" t="s">
        <v>75</v>
      </c>
      <c r="C551">
        <v>0.26</v>
      </c>
      <c r="D551">
        <v>0.2</v>
      </c>
      <c r="E551">
        <v>6.5000000000000002E-2</v>
      </c>
      <c r="F551">
        <v>9.6000000000000002E-2</v>
      </c>
      <c r="G551">
        <v>4.3999999999999997E-2</v>
      </c>
      <c r="H551">
        <v>2.7E-2</v>
      </c>
      <c r="I551">
        <v>0.03</v>
      </c>
      <c r="J551">
        <v>6</v>
      </c>
      <c r="K551">
        <v>11</v>
      </c>
      <c r="L551" t="s">
        <v>65</v>
      </c>
      <c r="M551" t="s">
        <v>66</v>
      </c>
      <c r="N551" t="s">
        <v>45</v>
      </c>
      <c r="O551">
        <v>1</v>
      </c>
      <c r="P551" t="s">
        <v>4</v>
      </c>
      <c r="Q551">
        <v>22.1</v>
      </c>
    </row>
    <row r="552" spans="1:17">
      <c r="A552">
        <v>2270</v>
      </c>
      <c r="B552" t="s">
        <v>75</v>
      </c>
      <c r="C552">
        <v>0.56999999999999995</v>
      </c>
      <c r="D552">
        <v>0.45</v>
      </c>
      <c r="E552">
        <v>0.16</v>
      </c>
      <c r="F552">
        <v>0.86150000000000004</v>
      </c>
      <c r="G552">
        <v>0.3725</v>
      </c>
      <c r="H552">
        <v>0.2175</v>
      </c>
      <c r="I552">
        <v>0.255</v>
      </c>
      <c r="J552">
        <v>12</v>
      </c>
      <c r="K552">
        <v>4</v>
      </c>
      <c r="L552" t="s">
        <v>40</v>
      </c>
      <c r="M552" t="s">
        <v>41</v>
      </c>
      <c r="N552" t="s">
        <v>42</v>
      </c>
      <c r="O552">
        <v>10</v>
      </c>
      <c r="P552" t="s">
        <v>11</v>
      </c>
      <c r="Q552">
        <v>24.1</v>
      </c>
    </row>
    <row r="553" spans="1:17">
      <c r="A553">
        <v>2800</v>
      </c>
      <c r="B553" t="s">
        <v>75</v>
      </c>
      <c r="C553">
        <v>0.64</v>
      </c>
      <c r="D553">
        <v>0.495</v>
      </c>
      <c r="E553">
        <v>0.17</v>
      </c>
      <c r="F553">
        <v>1.139</v>
      </c>
      <c r="G553">
        <v>0.53949999999999998</v>
      </c>
      <c r="H553">
        <v>0.28199999999999997</v>
      </c>
      <c r="I553">
        <v>0.28499999999999998</v>
      </c>
      <c r="J553">
        <v>10</v>
      </c>
      <c r="K553">
        <v>5</v>
      </c>
      <c r="L553" t="s">
        <v>67</v>
      </c>
      <c r="M553" t="s">
        <v>68</v>
      </c>
      <c r="N553" t="s">
        <v>69</v>
      </c>
      <c r="O553">
        <v>8</v>
      </c>
      <c r="P553" t="s">
        <v>13</v>
      </c>
      <c r="Q553">
        <v>12.3</v>
      </c>
    </row>
    <row r="554" spans="1:17">
      <c r="A554">
        <v>2232</v>
      </c>
      <c r="B554" t="s">
        <v>75</v>
      </c>
      <c r="C554">
        <v>0.505</v>
      </c>
      <c r="D554">
        <v>0.4</v>
      </c>
      <c r="E554">
        <v>0.16500000000000001</v>
      </c>
      <c r="F554">
        <v>0.72899999999999998</v>
      </c>
      <c r="G554">
        <v>0.26750000000000002</v>
      </c>
      <c r="H554">
        <v>0.155</v>
      </c>
      <c r="I554">
        <v>0.25</v>
      </c>
      <c r="J554">
        <v>9</v>
      </c>
      <c r="K554">
        <v>11</v>
      </c>
      <c r="L554" t="s">
        <v>65</v>
      </c>
      <c r="M554" t="s">
        <v>66</v>
      </c>
      <c r="N554" t="s">
        <v>45</v>
      </c>
      <c r="O554">
        <v>9</v>
      </c>
      <c r="P554" t="s">
        <v>9</v>
      </c>
      <c r="Q554">
        <v>1.9</v>
      </c>
    </row>
    <row r="555" spans="1:17">
      <c r="A555">
        <v>2609</v>
      </c>
      <c r="B555" t="s">
        <v>75</v>
      </c>
      <c r="C555">
        <v>0.625</v>
      </c>
      <c r="D555">
        <v>0.49</v>
      </c>
      <c r="E555">
        <v>0.17499999999999999</v>
      </c>
      <c r="F555">
        <v>1.1074999999999999</v>
      </c>
      <c r="G555">
        <v>0.44850000000000001</v>
      </c>
      <c r="H555">
        <v>0.2165</v>
      </c>
      <c r="I555">
        <v>0.35949999999999999</v>
      </c>
      <c r="J555">
        <v>8</v>
      </c>
      <c r="K555">
        <v>11</v>
      </c>
      <c r="L555" t="s">
        <v>65</v>
      </c>
      <c r="M555" t="s">
        <v>66</v>
      </c>
      <c r="N555" t="s">
        <v>45</v>
      </c>
      <c r="O555">
        <v>9</v>
      </c>
      <c r="P555" t="s">
        <v>9</v>
      </c>
      <c r="Q555">
        <v>1.9</v>
      </c>
    </row>
    <row r="556" spans="1:17">
      <c r="A556">
        <v>1117</v>
      </c>
      <c r="B556" t="s">
        <v>75</v>
      </c>
      <c r="C556">
        <v>0.52500000000000002</v>
      </c>
      <c r="D556">
        <v>0.39500000000000002</v>
      </c>
      <c r="E556">
        <v>0.12</v>
      </c>
      <c r="F556">
        <v>0.60799999999999998</v>
      </c>
      <c r="G556">
        <v>0.29699999999999999</v>
      </c>
      <c r="H556">
        <v>0.13950000000000001</v>
      </c>
      <c r="I556">
        <v>0.14050000000000001</v>
      </c>
      <c r="J556">
        <v>8</v>
      </c>
      <c r="K556">
        <v>4</v>
      </c>
      <c r="L556" t="s">
        <v>40</v>
      </c>
      <c r="M556" t="s">
        <v>41</v>
      </c>
      <c r="N556" t="s">
        <v>42</v>
      </c>
      <c r="O556">
        <v>1</v>
      </c>
      <c r="P556" t="s">
        <v>4</v>
      </c>
      <c r="Q556">
        <v>22.1</v>
      </c>
    </row>
    <row r="557" spans="1:17">
      <c r="A557">
        <v>1779</v>
      </c>
      <c r="B557" t="s">
        <v>75</v>
      </c>
      <c r="C557">
        <v>0.49</v>
      </c>
      <c r="D557">
        <v>0.35499999999999998</v>
      </c>
      <c r="E557">
        <v>0.16</v>
      </c>
      <c r="F557">
        <v>0.87949999999999995</v>
      </c>
      <c r="G557">
        <v>0.34849999999999998</v>
      </c>
      <c r="H557">
        <v>0.215</v>
      </c>
      <c r="I557">
        <v>0.28249999999999997</v>
      </c>
      <c r="J557">
        <v>8</v>
      </c>
      <c r="K557">
        <v>3</v>
      </c>
      <c r="L557" t="s">
        <v>52</v>
      </c>
      <c r="M557" t="s">
        <v>53</v>
      </c>
      <c r="N557" t="s">
        <v>54</v>
      </c>
      <c r="O557">
        <v>10</v>
      </c>
      <c r="P557" t="s">
        <v>11</v>
      </c>
      <c r="Q557">
        <v>24.1</v>
      </c>
    </row>
    <row r="558" spans="1:17">
      <c r="A558">
        <v>3191</v>
      </c>
      <c r="B558" t="s">
        <v>75</v>
      </c>
      <c r="C558">
        <v>0.2</v>
      </c>
      <c r="D558">
        <v>0.14499999999999999</v>
      </c>
      <c r="E558">
        <v>2.5000000000000001E-2</v>
      </c>
      <c r="F558">
        <v>3.4500000000000003E-2</v>
      </c>
      <c r="G558">
        <v>1.0999999999999999E-2</v>
      </c>
      <c r="H558">
        <v>7.4999999999999997E-3</v>
      </c>
      <c r="I558">
        <v>0.01</v>
      </c>
      <c r="J558">
        <v>5</v>
      </c>
      <c r="K558">
        <v>3</v>
      </c>
      <c r="L558" t="s">
        <v>52</v>
      </c>
      <c r="M558" t="s">
        <v>53</v>
      </c>
      <c r="N558" t="s">
        <v>54</v>
      </c>
      <c r="O558">
        <v>5</v>
      </c>
      <c r="P558" t="s">
        <v>12</v>
      </c>
      <c r="Q558">
        <v>12.8</v>
      </c>
    </row>
    <row r="559" spans="1:17">
      <c r="A559">
        <v>793</v>
      </c>
      <c r="B559" t="s">
        <v>75</v>
      </c>
      <c r="C559">
        <v>0.47</v>
      </c>
      <c r="D559">
        <v>0.37</v>
      </c>
      <c r="E559">
        <v>0.18</v>
      </c>
      <c r="F559">
        <v>0.51</v>
      </c>
      <c r="G559">
        <v>0.1915</v>
      </c>
      <c r="H559">
        <v>0.1285</v>
      </c>
      <c r="I559">
        <v>0.16250000000000001</v>
      </c>
      <c r="J559">
        <v>9</v>
      </c>
      <c r="K559">
        <v>15</v>
      </c>
      <c r="L559" t="s">
        <v>60</v>
      </c>
      <c r="M559" t="s">
        <v>61</v>
      </c>
      <c r="N559" t="s">
        <v>45</v>
      </c>
      <c r="O559">
        <v>6</v>
      </c>
      <c r="P559" t="s">
        <v>7</v>
      </c>
      <c r="Q559">
        <v>14.1</v>
      </c>
    </row>
    <row r="560" spans="1:17">
      <c r="A560">
        <v>1553</v>
      </c>
      <c r="B560" t="s">
        <v>75</v>
      </c>
      <c r="C560">
        <v>0.39</v>
      </c>
      <c r="D560">
        <v>0.28499999999999998</v>
      </c>
      <c r="E560">
        <v>0.1</v>
      </c>
      <c r="F560">
        <v>0.28100000000000003</v>
      </c>
      <c r="G560">
        <v>0.1275</v>
      </c>
      <c r="H560">
        <v>6.2E-2</v>
      </c>
      <c r="I560">
        <v>7.6999999999999999E-2</v>
      </c>
      <c r="J560">
        <v>7</v>
      </c>
      <c r="K560">
        <v>14</v>
      </c>
      <c r="L560" t="s">
        <v>72</v>
      </c>
      <c r="M560" t="s">
        <v>73</v>
      </c>
      <c r="N560" t="s">
        <v>74</v>
      </c>
      <c r="O560">
        <v>3</v>
      </c>
      <c r="P560" t="s">
        <v>10</v>
      </c>
      <c r="Q560">
        <v>3.6</v>
      </c>
    </row>
    <row r="561" spans="1:17">
      <c r="A561">
        <v>85</v>
      </c>
      <c r="B561" t="s">
        <v>75</v>
      </c>
      <c r="C561">
        <v>0.57999999999999996</v>
      </c>
      <c r="D561">
        <v>0.45</v>
      </c>
      <c r="E561">
        <v>0.14000000000000001</v>
      </c>
      <c r="F561">
        <v>1.0129999999999999</v>
      </c>
      <c r="G561">
        <v>0.38</v>
      </c>
      <c r="H561">
        <v>0.216</v>
      </c>
      <c r="I561">
        <v>0.36</v>
      </c>
      <c r="J561">
        <v>14</v>
      </c>
      <c r="K561">
        <v>14</v>
      </c>
      <c r="L561" t="s">
        <v>72</v>
      </c>
      <c r="M561" t="s">
        <v>73</v>
      </c>
      <c r="N561" t="s">
        <v>74</v>
      </c>
      <c r="O561">
        <v>4</v>
      </c>
      <c r="P561" t="s">
        <v>8</v>
      </c>
      <c r="Q561">
        <v>6.1</v>
      </c>
    </row>
    <row r="562" spans="1:17">
      <c r="A562">
        <v>743</v>
      </c>
      <c r="B562" t="s">
        <v>75</v>
      </c>
      <c r="C562">
        <v>0.53500000000000003</v>
      </c>
      <c r="D562">
        <v>0.42</v>
      </c>
      <c r="E562">
        <v>0.15</v>
      </c>
      <c r="F562">
        <v>0.73650000000000004</v>
      </c>
      <c r="G562">
        <v>0.27850000000000003</v>
      </c>
      <c r="H562">
        <v>0.186</v>
      </c>
      <c r="I562">
        <v>0.215</v>
      </c>
      <c r="J562">
        <v>14</v>
      </c>
      <c r="K562">
        <v>13</v>
      </c>
      <c r="L562" t="s">
        <v>43</v>
      </c>
      <c r="M562" t="s">
        <v>44</v>
      </c>
      <c r="N562" t="s">
        <v>45</v>
      </c>
      <c r="O562">
        <v>1</v>
      </c>
      <c r="P562" t="s">
        <v>4</v>
      </c>
      <c r="Q562">
        <v>22.1</v>
      </c>
    </row>
    <row r="563" spans="1:17">
      <c r="A563">
        <v>3466</v>
      </c>
      <c r="B563" t="s">
        <v>75</v>
      </c>
      <c r="C563">
        <v>0.64</v>
      </c>
      <c r="D563">
        <v>0.48</v>
      </c>
      <c r="E563">
        <v>0.19500000000000001</v>
      </c>
      <c r="F563">
        <v>1.1435</v>
      </c>
      <c r="G563">
        <v>0.49149999999999999</v>
      </c>
      <c r="H563">
        <v>0.23449999999999999</v>
      </c>
      <c r="I563">
        <v>0.35299999999999998</v>
      </c>
      <c r="J563">
        <v>9</v>
      </c>
      <c r="K563">
        <v>2</v>
      </c>
      <c r="L563" t="s">
        <v>49</v>
      </c>
      <c r="M563" t="s">
        <v>50</v>
      </c>
      <c r="N563" t="s">
        <v>51</v>
      </c>
      <c r="O563">
        <v>10</v>
      </c>
      <c r="P563" t="s">
        <v>11</v>
      </c>
      <c r="Q563">
        <v>24.1</v>
      </c>
    </row>
    <row r="564" spans="1:17">
      <c r="A564">
        <v>2415</v>
      </c>
      <c r="B564" t="s">
        <v>75</v>
      </c>
      <c r="C564">
        <v>0.42</v>
      </c>
      <c r="D564">
        <v>0.30499999999999999</v>
      </c>
      <c r="E564">
        <v>0.11</v>
      </c>
      <c r="F564">
        <v>0.28000000000000003</v>
      </c>
      <c r="G564">
        <v>9.4E-2</v>
      </c>
      <c r="H564">
        <v>7.85E-2</v>
      </c>
      <c r="I564">
        <v>9.5500000000000002E-2</v>
      </c>
      <c r="J564">
        <v>9</v>
      </c>
      <c r="K564">
        <v>12</v>
      </c>
      <c r="L564" t="s">
        <v>58</v>
      </c>
      <c r="M564" t="s">
        <v>59</v>
      </c>
      <c r="N564" t="s">
        <v>45</v>
      </c>
      <c r="O564">
        <v>9</v>
      </c>
      <c r="P564" t="s">
        <v>9</v>
      </c>
      <c r="Q564">
        <v>1.9</v>
      </c>
    </row>
    <row r="565" spans="1:17">
      <c r="A565">
        <v>2779</v>
      </c>
      <c r="B565" t="s">
        <v>75</v>
      </c>
      <c r="C565">
        <v>0.58499999999999996</v>
      </c>
      <c r="D565">
        <v>0.45500000000000002</v>
      </c>
      <c r="E565">
        <v>0.13</v>
      </c>
      <c r="F565">
        <v>0.87549999999999994</v>
      </c>
      <c r="G565">
        <v>0.41099999999999998</v>
      </c>
      <c r="H565">
        <v>0.20649999999999999</v>
      </c>
      <c r="I565">
        <v>0.22500000000000001</v>
      </c>
      <c r="J565">
        <v>8</v>
      </c>
      <c r="K565">
        <v>3</v>
      </c>
      <c r="L565" t="s">
        <v>52</v>
      </c>
      <c r="M565" t="s">
        <v>53</v>
      </c>
      <c r="N565" t="s">
        <v>54</v>
      </c>
      <c r="O565">
        <v>6</v>
      </c>
      <c r="P565" t="s">
        <v>7</v>
      </c>
      <c r="Q565">
        <v>14.1</v>
      </c>
    </row>
    <row r="566" spans="1:17">
      <c r="A566">
        <v>4151</v>
      </c>
      <c r="B566" t="s">
        <v>75</v>
      </c>
      <c r="C566">
        <v>0.33</v>
      </c>
      <c r="D566">
        <v>0.23</v>
      </c>
      <c r="E566">
        <v>0.08</v>
      </c>
      <c r="F566">
        <v>0.14000000000000001</v>
      </c>
      <c r="G566">
        <v>5.6500000000000002E-2</v>
      </c>
      <c r="H566">
        <v>3.6499999999999998E-2</v>
      </c>
      <c r="I566">
        <v>4.5999999999999999E-2</v>
      </c>
      <c r="J566">
        <v>7</v>
      </c>
      <c r="K566">
        <v>1</v>
      </c>
      <c r="L566" t="s">
        <v>70</v>
      </c>
      <c r="M566" t="s">
        <v>71</v>
      </c>
      <c r="N566" t="s">
        <v>45</v>
      </c>
      <c r="O566">
        <v>2</v>
      </c>
      <c r="P566" t="s">
        <v>5</v>
      </c>
      <c r="Q566">
        <v>18</v>
      </c>
    </row>
    <row r="567" spans="1:17">
      <c r="A567">
        <v>2293</v>
      </c>
      <c r="B567" t="s">
        <v>75</v>
      </c>
      <c r="C567">
        <v>0.38</v>
      </c>
      <c r="D567">
        <v>0.3</v>
      </c>
      <c r="E567">
        <v>0.09</v>
      </c>
      <c r="F567">
        <v>0.32150000000000001</v>
      </c>
      <c r="G567">
        <v>0.1545</v>
      </c>
      <c r="H567">
        <v>7.4999999999999997E-2</v>
      </c>
      <c r="I567">
        <v>9.5000000000000001E-2</v>
      </c>
      <c r="J567">
        <v>9</v>
      </c>
      <c r="K567">
        <v>8</v>
      </c>
      <c r="L567" t="s">
        <v>55</v>
      </c>
      <c r="M567" t="s">
        <v>56</v>
      </c>
      <c r="N567" t="s">
        <v>57</v>
      </c>
      <c r="O567">
        <v>2</v>
      </c>
      <c r="P567" t="s">
        <v>5</v>
      </c>
      <c r="Q567">
        <v>18</v>
      </c>
    </row>
    <row r="568" spans="1:17">
      <c r="A568">
        <v>2443</v>
      </c>
      <c r="B568" t="s">
        <v>75</v>
      </c>
      <c r="C568">
        <v>0.47499999999999998</v>
      </c>
      <c r="D568">
        <v>0.35499999999999998</v>
      </c>
      <c r="E568">
        <v>0.125</v>
      </c>
      <c r="F568">
        <v>0.46250000000000002</v>
      </c>
      <c r="G568">
        <v>0.186</v>
      </c>
      <c r="H568">
        <v>0.107</v>
      </c>
      <c r="I568">
        <v>0.14499999999999999</v>
      </c>
      <c r="J568">
        <v>9</v>
      </c>
      <c r="K568">
        <v>1</v>
      </c>
      <c r="L568" t="s">
        <v>70</v>
      </c>
      <c r="M568" t="s">
        <v>71</v>
      </c>
      <c r="N568" t="s">
        <v>45</v>
      </c>
      <c r="O568">
        <v>4</v>
      </c>
      <c r="P568" t="s">
        <v>8</v>
      </c>
      <c r="Q568">
        <v>6.1</v>
      </c>
    </row>
    <row r="569" spans="1:17">
      <c r="A569">
        <v>3538</v>
      </c>
      <c r="B569" t="s">
        <v>75</v>
      </c>
      <c r="C569">
        <v>0.43</v>
      </c>
      <c r="D569">
        <v>0.32500000000000001</v>
      </c>
      <c r="E569">
        <v>0.105</v>
      </c>
      <c r="F569">
        <v>0.309</v>
      </c>
      <c r="G569">
        <v>0.11899999999999999</v>
      </c>
      <c r="H569">
        <v>0.08</v>
      </c>
      <c r="I569">
        <v>9.8000000000000004E-2</v>
      </c>
      <c r="J569">
        <v>6</v>
      </c>
      <c r="K569">
        <v>9</v>
      </c>
      <c r="L569" t="s">
        <v>34</v>
      </c>
      <c r="M569" t="s">
        <v>35</v>
      </c>
      <c r="N569" t="s">
        <v>36</v>
      </c>
      <c r="O569">
        <v>4</v>
      </c>
      <c r="P569" t="s">
        <v>8</v>
      </c>
      <c r="Q569">
        <v>6.1</v>
      </c>
    </row>
    <row r="570" spans="1:17">
      <c r="A570">
        <v>3365</v>
      </c>
      <c r="B570" t="s">
        <v>75</v>
      </c>
      <c r="C570">
        <v>0.33</v>
      </c>
      <c r="D570">
        <v>0.245</v>
      </c>
      <c r="E570">
        <v>8.5000000000000006E-2</v>
      </c>
      <c r="F570">
        <v>0.17100000000000001</v>
      </c>
      <c r="G570">
        <v>6.5500000000000003E-2</v>
      </c>
      <c r="H570">
        <v>3.6499999999999998E-2</v>
      </c>
      <c r="I570">
        <v>5.5E-2</v>
      </c>
      <c r="J570">
        <v>11</v>
      </c>
      <c r="K570">
        <v>8</v>
      </c>
      <c r="L570" t="s">
        <v>55</v>
      </c>
      <c r="M570" t="s">
        <v>56</v>
      </c>
      <c r="N570" t="s">
        <v>57</v>
      </c>
      <c r="O570">
        <v>4</v>
      </c>
      <c r="P570" t="s">
        <v>8</v>
      </c>
      <c r="Q570">
        <v>6.1</v>
      </c>
    </row>
    <row r="571" spans="1:17">
      <c r="A571">
        <v>3115</v>
      </c>
      <c r="B571" t="s">
        <v>75</v>
      </c>
      <c r="C571">
        <v>0.44</v>
      </c>
      <c r="D571">
        <v>0.34</v>
      </c>
      <c r="E571">
        <v>0.1</v>
      </c>
      <c r="F571">
        <v>0.379</v>
      </c>
      <c r="G571">
        <v>0.17249999999999999</v>
      </c>
      <c r="H571">
        <v>8.1500000000000003E-2</v>
      </c>
      <c r="I571">
        <v>0.10100000000000001</v>
      </c>
      <c r="J571">
        <v>7</v>
      </c>
      <c r="K571">
        <v>3</v>
      </c>
      <c r="L571" t="s">
        <v>52</v>
      </c>
      <c r="M571" t="s">
        <v>53</v>
      </c>
      <c r="N571" t="s">
        <v>54</v>
      </c>
      <c r="O571">
        <v>4</v>
      </c>
      <c r="P571" t="s">
        <v>8</v>
      </c>
      <c r="Q571">
        <v>6.1</v>
      </c>
    </row>
    <row r="572" spans="1:17">
      <c r="A572">
        <v>3615</v>
      </c>
      <c r="B572" t="s">
        <v>75</v>
      </c>
      <c r="C572">
        <v>0.61499999999999999</v>
      </c>
      <c r="D572">
        <v>0.47499999999999998</v>
      </c>
      <c r="E572">
        <v>0.155</v>
      </c>
      <c r="F572">
        <v>1.0734999999999999</v>
      </c>
      <c r="G572">
        <v>0.4375</v>
      </c>
      <c r="H572">
        <v>0.25850000000000001</v>
      </c>
      <c r="I572">
        <v>0.31</v>
      </c>
      <c r="J572">
        <v>11</v>
      </c>
      <c r="K572">
        <v>5</v>
      </c>
      <c r="L572" t="s">
        <v>67</v>
      </c>
      <c r="M572" t="s">
        <v>68</v>
      </c>
      <c r="N572" t="s">
        <v>69</v>
      </c>
      <c r="O572">
        <v>6</v>
      </c>
      <c r="P572" t="s">
        <v>7</v>
      </c>
      <c r="Q572">
        <v>14.1</v>
      </c>
    </row>
    <row r="573" spans="1:17">
      <c r="A573">
        <v>2650</v>
      </c>
      <c r="B573" t="s">
        <v>75</v>
      </c>
      <c r="C573">
        <v>0.505</v>
      </c>
      <c r="D573">
        <v>0.4</v>
      </c>
      <c r="E573">
        <v>0.13500000000000001</v>
      </c>
      <c r="F573">
        <v>0.72299999999999998</v>
      </c>
      <c r="G573">
        <v>0.377</v>
      </c>
      <c r="H573">
        <v>0.14899999999999999</v>
      </c>
      <c r="I573">
        <v>0.17799999999999999</v>
      </c>
      <c r="J573">
        <v>7</v>
      </c>
      <c r="K573">
        <v>12</v>
      </c>
      <c r="L573" t="s">
        <v>58</v>
      </c>
      <c r="M573" t="s">
        <v>59</v>
      </c>
      <c r="N573" t="s">
        <v>45</v>
      </c>
      <c r="O573">
        <v>2</v>
      </c>
      <c r="P573" t="s">
        <v>5</v>
      </c>
      <c r="Q573">
        <v>18</v>
      </c>
    </row>
    <row r="574" spans="1:17">
      <c r="A574">
        <v>2838</v>
      </c>
      <c r="B574" t="s">
        <v>75</v>
      </c>
      <c r="C574">
        <v>0.57999999999999996</v>
      </c>
      <c r="D574">
        <v>0.44500000000000001</v>
      </c>
      <c r="E574">
        <v>0.13500000000000001</v>
      </c>
      <c r="F574">
        <v>0.95</v>
      </c>
      <c r="G574">
        <v>0.48399999999999999</v>
      </c>
      <c r="H574">
        <v>0.182</v>
      </c>
      <c r="I574">
        <v>0.23250000000000001</v>
      </c>
      <c r="J574">
        <v>8</v>
      </c>
      <c r="K574">
        <v>10</v>
      </c>
      <c r="L574" t="s">
        <v>37</v>
      </c>
      <c r="M574" t="s">
        <v>38</v>
      </c>
      <c r="N574" t="s">
        <v>39</v>
      </c>
      <c r="O574">
        <v>6</v>
      </c>
      <c r="P574" t="s">
        <v>7</v>
      </c>
      <c r="Q574">
        <v>14.1</v>
      </c>
    </row>
    <row r="575" spans="1:17">
      <c r="A575">
        <v>2309</v>
      </c>
      <c r="B575" t="s">
        <v>75</v>
      </c>
      <c r="C575">
        <v>0.45500000000000002</v>
      </c>
      <c r="D575">
        <v>0.35499999999999998</v>
      </c>
      <c r="E575">
        <v>0.13</v>
      </c>
      <c r="F575">
        <v>0.51500000000000001</v>
      </c>
      <c r="G575">
        <v>0.2</v>
      </c>
      <c r="H575">
        <v>0.1275</v>
      </c>
      <c r="I575">
        <v>0.17499999999999999</v>
      </c>
      <c r="J575">
        <v>11</v>
      </c>
      <c r="K575">
        <v>4</v>
      </c>
      <c r="L575" t="s">
        <v>40</v>
      </c>
      <c r="M575" t="s">
        <v>41</v>
      </c>
      <c r="N575" t="s">
        <v>42</v>
      </c>
      <c r="O575">
        <v>8</v>
      </c>
      <c r="P575" t="s">
        <v>13</v>
      </c>
      <c r="Q575">
        <v>12.3</v>
      </c>
    </row>
    <row r="576" spans="1:17">
      <c r="A576">
        <v>2658</v>
      </c>
      <c r="B576" t="s">
        <v>75</v>
      </c>
      <c r="C576">
        <v>0.54500000000000004</v>
      </c>
      <c r="D576">
        <v>0.4</v>
      </c>
      <c r="E576">
        <v>0.14000000000000001</v>
      </c>
      <c r="F576">
        <v>0.77800000000000002</v>
      </c>
      <c r="G576">
        <v>0.36799999999999999</v>
      </c>
      <c r="H576">
        <v>0.215</v>
      </c>
      <c r="I576">
        <v>0.18</v>
      </c>
      <c r="J576">
        <v>9</v>
      </c>
      <c r="K576">
        <v>1</v>
      </c>
      <c r="L576" t="s">
        <v>70</v>
      </c>
      <c r="M576" t="s">
        <v>71</v>
      </c>
      <c r="N576" t="s">
        <v>45</v>
      </c>
      <c r="O576">
        <v>5</v>
      </c>
      <c r="P576" t="s">
        <v>12</v>
      </c>
      <c r="Q576">
        <v>12.8</v>
      </c>
    </row>
    <row r="577" spans="1:17">
      <c r="A577">
        <v>1014</v>
      </c>
      <c r="B577" t="s">
        <v>75</v>
      </c>
      <c r="C577">
        <v>0.625</v>
      </c>
      <c r="D577">
        <v>0.47499999999999998</v>
      </c>
      <c r="E577">
        <v>0.17499999999999999</v>
      </c>
      <c r="F577">
        <v>1.1435</v>
      </c>
      <c r="G577">
        <v>0.47549999999999998</v>
      </c>
      <c r="H577">
        <v>0.2475</v>
      </c>
      <c r="I577">
        <v>0.34899999999999998</v>
      </c>
      <c r="J577">
        <v>10</v>
      </c>
      <c r="K577">
        <v>13</v>
      </c>
      <c r="L577" t="s">
        <v>43</v>
      </c>
      <c r="M577" t="s">
        <v>44</v>
      </c>
      <c r="N577" t="s">
        <v>45</v>
      </c>
      <c r="O577">
        <v>3</v>
      </c>
      <c r="P577" t="s">
        <v>10</v>
      </c>
      <c r="Q577">
        <v>3.6</v>
      </c>
    </row>
    <row r="578" spans="1:17">
      <c r="A578">
        <v>1795</v>
      </c>
      <c r="B578" t="s">
        <v>75</v>
      </c>
      <c r="C578">
        <v>0.57499999999999996</v>
      </c>
      <c r="D578">
        <v>0.45</v>
      </c>
      <c r="E578">
        <v>0.13</v>
      </c>
      <c r="F578">
        <v>0.8145</v>
      </c>
      <c r="G578">
        <v>0.40300000000000002</v>
      </c>
      <c r="H578">
        <v>0.17150000000000001</v>
      </c>
      <c r="I578">
        <v>0.21299999999999999</v>
      </c>
      <c r="J578">
        <v>10</v>
      </c>
      <c r="K578">
        <v>8</v>
      </c>
      <c r="L578" t="s">
        <v>55</v>
      </c>
      <c r="M578" t="s">
        <v>56</v>
      </c>
      <c r="N578" t="s">
        <v>57</v>
      </c>
      <c r="O578">
        <v>1</v>
      </c>
      <c r="P578" t="s">
        <v>4</v>
      </c>
      <c r="Q578">
        <v>22.1</v>
      </c>
    </row>
    <row r="579" spans="1:17">
      <c r="A579">
        <v>3479</v>
      </c>
      <c r="B579" t="s">
        <v>75</v>
      </c>
      <c r="C579">
        <v>0.435</v>
      </c>
      <c r="D579">
        <v>0.33500000000000002</v>
      </c>
      <c r="E579">
        <v>0.11</v>
      </c>
      <c r="F579">
        <v>0.41099999999999998</v>
      </c>
      <c r="G579">
        <v>0.20250000000000001</v>
      </c>
      <c r="H579">
        <v>9.4500000000000001E-2</v>
      </c>
      <c r="I579">
        <v>0.1</v>
      </c>
      <c r="J579">
        <v>7</v>
      </c>
      <c r="K579">
        <v>12</v>
      </c>
      <c r="L579" t="s">
        <v>58</v>
      </c>
      <c r="M579" t="s">
        <v>59</v>
      </c>
      <c r="N579" t="s">
        <v>45</v>
      </c>
      <c r="O579">
        <v>9</v>
      </c>
      <c r="P579" t="s">
        <v>9</v>
      </c>
      <c r="Q579">
        <v>1.9</v>
      </c>
    </row>
    <row r="580" spans="1:17">
      <c r="A580">
        <v>3345</v>
      </c>
      <c r="B580" t="s">
        <v>75</v>
      </c>
      <c r="C580">
        <v>0.495</v>
      </c>
      <c r="D580">
        <v>0.38</v>
      </c>
      <c r="E580">
        <v>0.14499999999999999</v>
      </c>
      <c r="F580">
        <v>0.51500000000000001</v>
      </c>
      <c r="G580">
        <v>0.17499999999999999</v>
      </c>
      <c r="H580">
        <v>9.8000000000000004E-2</v>
      </c>
      <c r="I580">
        <v>0.21199999999999999</v>
      </c>
      <c r="J580">
        <v>13</v>
      </c>
      <c r="K580">
        <v>15</v>
      </c>
      <c r="L580" t="s">
        <v>60</v>
      </c>
      <c r="M580" t="s">
        <v>61</v>
      </c>
      <c r="N580" t="s">
        <v>45</v>
      </c>
      <c r="O580">
        <v>8</v>
      </c>
      <c r="P580" t="s">
        <v>13</v>
      </c>
      <c r="Q580">
        <v>12.3</v>
      </c>
    </row>
    <row r="581" spans="1:17">
      <c r="A581">
        <v>2668</v>
      </c>
      <c r="B581" t="s">
        <v>75</v>
      </c>
      <c r="C581">
        <v>0.58499999999999996</v>
      </c>
      <c r="D581">
        <v>0.45</v>
      </c>
      <c r="E581">
        <v>0.15</v>
      </c>
      <c r="F581">
        <v>0.93799999999999994</v>
      </c>
      <c r="G581">
        <v>0.46700000000000003</v>
      </c>
      <c r="H581">
        <v>0.20300000000000001</v>
      </c>
      <c r="I581">
        <v>0.22500000000000001</v>
      </c>
      <c r="J581">
        <v>7</v>
      </c>
      <c r="K581">
        <v>5</v>
      </c>
      <c r="L581" t="s">
        <v>67</v>
      </c>
      <c r="M581" t="s">
        <v>68</v>
      </c>
      <c r="N581" t="s">
        <v>69</v>
      </c>
      <c r="O581">
        <v>9</v>
      </c>
      <c r="P581" t="s">
        <v>9</v>
      </c>
      <c r="Q581">
        <v>1.9</v>
      </c>
    </row>
    <row r="582" spans="1:17">
      <c r="A582">
        <v>58</v>
      </c>
      <c r="B582" t="s">
        <v>75</v>
      </c>
      <c r="C582">
        <v>0.47</v>
      </c>
      <c r="D582">
        <v>0.38500000000000001</v>
      </c>
      <c r="E582">
        <v>0.13500000000000001</v>
      </c>
      <c r="F582">
        <v>0.58950000000000002</v>
      </c>
      <c r="G582">
        <v>0.27650000000000002</v>
      </c>
      <c r="H582">
        <v>0.12</v>
      </c>
      <c r="I582">
        <v>0.17</v>
      </c>
      <c r="J582">
        <v>8</v>
      </c>
      <c r="K582">
        <v>14</v>
      </c>
      <c r="L582" t="s">
        <v>72</v>
      </c>
      <c r="M582" t="s">
        <v>73</v>
      </c>
      <c r="N582" t="s">
        <v>74</v>
      </c>
      <c r="O582">
        <v>5</v>
      </c>
      <c r="P582" t="s">
        <v>12</v>
      </c>
      <c r="Q582">
        <v>12.8</v>
      </c>
    </row>
    <row r="583" spans="1:17">
      <c r="A583">
        <v>3927</v>
      </c>
      <c r="B583" t="s">
        <v>75</v>
      </c>
      <c r="C583">
        <v>0.57999999999999996</v>
      </c>
      <c r="D583">
        <v>0.42</v>
      </c>
      <c r="E583">
        <v>0.16</v>
      </c>
      <c r="F583">
        <v>0.72799999999999998</v>
      </c>
      <c r="G583">
        <v>0.27250000000000002</v>
      </c>
      <c r="H583">
        <v>0.19</v>
      </c>
      <c r="I583">
        <v>0.19</v>
      </c>
      <c r="J583">
        <v>14</v>
      </c>
      <c r="K583">
        <v>1</v>
      </c>
      <c r="L583" t="s">
        <v>70</v>
      </c>
      <c r="M583" t="s">
        <v>71</v>
      </c>
      <c r="N583" t="s">
        <v>45</v>
      </c>
      <c r="O583">
        <v>3</v>
      </c>
      <c r="P583" t="s">
        <v>10</v>
      </c>
      <c r="Q583">
        <v>3.6</v>
      </c>
    </row>
    <row r="584" spans="1:17">
      <c r="A584">
        <v>280</v>
      </c>
      <c r="B584" t="s">
        <v>75</v>
      </c>
      <c r="C584">
        <v>0.51500000000000001</v>
      </c>
      <c r="D584">
        <v>0.42499999999999999</v>
      </c>
      <c r="E584">
        <v>0.13500000000000001</v>
      </c>
      <c r="F584">
        <v>0.71199999999999997</v>
      </c>
      <c r="G584">
        <v>0.26650000000000001</v>
      </c>
      <c r="H584">
        <v>0.1605</v>
      </c>
      <c r="I584">
        <v>0.25</v>
      </c>
      <c r="J584">
        <v>11</v>
      </c>
      <c r="K584">
        <v>15</v>
      </c>
      <c r="L584" t="s">
        <v>60</v>
      </c>
      <c r="M584" t="s">
        <v>61</v>
      </c>
      <c r="N584" t="s">
        <v>45</v>
      </c>
      <c r="O584">
        <v>8</v>
      </c>
      <c r="P584" t="s">
        <v>13</v>
      </c>
      <c r="Q584">
        <v>12.3</v>
      </c>
    </row>
    <row r="585" spans="1:17">
      <c r="A585">
        <v>1242</v>
      </c>
      <c r="B585" t="s">
        <v>75</v>
      </c>
      <c r="C585">
        <v>0.38</v>
      </c>
      <c r="D585">
        <v>0.27</v>
      </c>
      <c r="E585">
        <v>0.08</v>
      </c>
      <c r="F585">
        <v>0.21049999999999999</v>
      </c>
      <c r="G585">
        <v>8.6499999999999994E-2</v>
      </c>
      <c r="H585">
        <v>4.2000000000000003E-2</v>
      </c>
      <c r="I585">
        <v>7.0000000000000007E-2</v>
      </c>
      <c r="J585">
        <v>8</v>
      </c>
      <c r="K585">
        <v>2</v>
      </c>
      <c r="L585" t="s">
        <v>49</v>
      </c>
      <c r="M585" t="s">
        <v>50</v>
      </c>
      <c r="N585" t="s">
        <v>51</v>
      </c>
      <c r="O585">
        <v>9</v>
      </c>
      <c r="P585" t="s">
        <v>9</v>
      </c>
      <c r="Q585">
        <v>1.9</v>
      </c>
    </row>
    <row r="586" spans="1:17">
      <c r="A586">
        <v>2137</v>
      </c>
      <c r="B586" t="s">
        <v>75</v>
      </c>
      <c r="C586">
        <v>0.56000000000000005</v>
      </c>
      <c r="D586">
        <v>0.42499999999999999</v>
      </c>
      <c r="E586">
        <v>0.125</v>
      </c>
      <c r="F586">
        <v>0.93200000000000005</v>
      </c>
      <c r="G586">
        <v>0.36099999999999999</v>
      </c>
      <c r="H586">
        <v>0.21299999999999999</v>
      </c>
      <c r="I586">
        <v>0.33500000000000002</v>
      </c>
      <c r="J586">
        <v>9</v>
      </c>
      <c r="K586">
        <v>12</v>
      </c>
      <c r="L586" t="s">
        <v>58</v>
      </c>
      <c r="M586" t="s">
        <v>59</v>
      </c>
      <c r="N586" t="s">
        <v>45</v>
      </c>
      <c r="O586">
        <v>9</v>
      </c>
      <c r="P586" t="s">
        <v>9</v>
      </c>
      <c r="Q586">
        <v>1.9</v>
      </c>
    </row>
    <row r="587" spans="1:17">
      <c r="A587">
        <v>516</v>
      </c>
      <c r="B587" t="s">
        <v>75</v>
      </c>
      <c r="C587">
        <v>0.27</v>
      </c>
      <c r="D587">
        <v>0.19500000000000001</v>
      </c>
      <c r="E587">
        <v>0.08</v>
      </c>
      <c r="F587">
        <v>0.1</v>
      </c>
      <c r="G587">
        <v>3.85E-2</v>
      </c>
      <c r="H587">
        <v>1.95E-2</v>
      </c>
      <c r="I587">
        <v>0.03</v>
      </c>
      <c r="J587">
        <v>6</v>
      </c>
      <c r="K587">
        <v>9</v>
      </c>
      <c r="L587" t="s">
        <v>34</v>
      </c>
      <c r="M587" t="s">
        <v>35</v>
      </c>
      <c r="N587" t="s">
        <v>36</v>
      </c>
      <c r="O587">
        <v>3</v>
      </c>
      <c r="P587" t="s">
        <v>10</v>
      </c>
      <c r="Q587">
        <v>3.6</v>
      </c>
    </row>
    <row r="588" spans="1:17">
      <c r="A588">
        <v>3841</v>
      </c>
      <c r="B588" t="s">
        <v>75</v>
      </c>
      <c r="C588">
        <v>0.53</v>
      </c>
      <c r="D588">
        <v>0.41</v>
      </c>
      <c r="E588">
        <v>0.14499999999999999</v>
      </c>
      <c r="F588">
        <v>0.82550000000000001</v>
      </c>
      <c r="G588">
        <v>0.375</v>
      </c>
      <c r="H588">
        <v>0.20399999999999999</v>
      </c>
      <c r="I588">
        <v>0.245</v>
      </c>
      <c r="J588">
        <v>9</v>
      </c>
      <c r="K588">
        <v>3</v>
      </c>
      <c r="L588" t="s">
        <v>52</v>
      </c>
      <c r="M588" t="s">
        <v>53</v>
      </c>
      <c r="N588" t="s">
        <v>54</v>
      </c>
      <c r="O588">
        <v>1</v>
      </c>
      <c r="P588" t="s">
        <v>4</v>
      </c>
      <c r="Q588">
        <v>22.1</v>
      </c>
    </row>
    <row r="589" spans="1:17">
      <c r="A589">
        <v>2358</v>
      </c>
      <c r="B589" t="s">
        <v>75</v>
      </c>
      <c r="C589">
        <v>0.58499999999999996</v>
      </c>
      <c r="D589">
        <v>0.45500000000000002</v>
      </c>
      <c r="E589">
        <v>0.125</v>
      </c>
      <c r="F589">
        <v>1.0269999999999999</v>
      </c>
      <c r="G589">
        <v>0.39100000000000001</v>
      </c>
      <c r="H589">
        <v>0.21199999999999999</v>
      </c>
      <c r="I589">
        <v>0.25</v>
      </c>
      <c r="J589">
        <v>17</v>
      </c>
      <c r="K589">
        <v>1</v>
      </c>
      <c r="L589" t="s">
        <v>70</v>
      </c>
      <c r="M589" t="s">
        <v>71</v>
      </c>
      <c r="N589" t="s">
        <v>45</v>
      </c>
      <c r="O589">
        <v>1</v>
      </c>
      <c r="P589" t="s">
        <v>4</v>
      </c>
      <c r="Q589">
        <v>22.1</v>
      </c>
    </row>
    <row r="590" spans="1:17">
      <c r="A590">
        <v>3851</v>
      </c>
      <c r="B590" t="s">
        <v>75</v>
      </c>
      <c r="C590">
        <v>0.375</v>
      </c>
      <c r="D590">
        <v>0.29499999999999998</v>
      </c>
      <c r="E590">
        <v>0.11</v>
      </c>
      <c r="F590">
        <v>0.30049999999999999</v>
      </c>
      <c r="G590">
        <v>0.1255</v>
      </c>
      <c r="H590">
        <v>5.7500000000000002E-2</v>
      </c>
      <c r="I590">
        <v>0.10349999999999999</v>
      </c>
      <c r="J590">
        <v>7</v>
      </c>
      <c r="K590">
        <v>13</v>
      </c>
      <c r="L590" t="s">
        <v>43</v>
      </c>
      <c r="M590" t="s">
        <v>44</v>
      </c>
      <c r="N590" t="s">
        <v>45</v>
      </c>
      <c r="O590">
        <v>4</v>
      </c>
      <c r="P590" t="s">
        <v>8</v>
      </c>
      <c r="Q590">
        <v>6.1</v>
      </c>
    </row>
    <row r="591" spans="1:17">
      <c r="A591">
        <v>707</v>
      </c>
      <c r="B591" t="s">
        <v>75</v>
      </c>
      <c r="C591">
        <v>0.315</v>
      </c>
      <c r="D591">
        <v>0.25</v>
      </c>
      <c r="E591">
        <v>0.09</v>
      </c>
      <c r="F591">
        <v>0.20300000000000001</v>
      </c>
      <c r="G591">
        <v>6.1499999999999999E-2</v>
      </c>
      <c r="H591">
        <v>3.6999999999999998E-2</v>
      </c>
      <c r="I591">
        <v>7.9500000000000001E-2</v>
      </c>
      <c r="J591">
        <v>11</v>
      </c>
      <c r="K591">
        <v>9</v>
      </c>
      <c r="L591" t="s">
        <v>34</v>
      </c>
      <c r="M591" t="s">
        <v>35</v>
      </c>
      <c r="N591" t="s">
        <v>36</v>
      </c>
      <c r="O591">
        <v>8</v>
      </c>
      <c r="P591" t="s">
        <v>13</v>
      </c>
      <c r="Q591">
        <v>12.3</v>
      </c>
    </row>
    <row r="592" spans="1:17">
      <c r="A592">
        <v>3140</v>
      </c>
      <c r="B592" t="s">
        <v>75</v>
      </c>
      <c r="C592">
        <v>0.33500000000000002</v>
      </c>
      <c r="D592">
        <v>0.26</v>
      </c>
      <c r="E592">
        <v>0.09</v>
      </c>
      <c r="F592">
        <v>0.1835</v>
      </c>
      <c r="G592">
        <v>7.8E-2</v>
      </c>
      <c r="H592">
        <v>2.4E-2</v>
      </c>
      <c r="I592">
        <v>6.5000000000000002E-2</v>
      </c>
      <c r="J592">
        <v>11</v>
      </c>
      <c r="K592">
        <v>4</v>
      </c>
      <c r="L592" t="s">
        <v>40</v>
      </c>
      <c r="M592" t="s">
        <v>41</v>
      </c>
      <c r="N592" t="s">
        <v>42</v>
      </c>
      <c r="O592">
        <v>2</v>
      </c>
      <c r="P592" t="s">
        <v>5</v>
      </c>
      <c r="Q592">
        <v>18</v>
      </c>
    </row>
    <row r="593" spans="1:17">
      <c r="A593">
        <v>472</v>
      </c>
      <c r="B593" t="s">
        <v>75</v>
      </c>
      <c r="C593">
        <v>0.51500000000000001</v>
      </c>
      <c r="D593">
        <v>0.40500000000000003</v>
      </c>
      <c r="E593">
        <v>0.12</v>
      </c>
      <c r="F593">
        <v>0.64600000000000002</v>
      </c>
      <c r="G593">
        <v>0.28949999999999998</v>
      </c>
      <c r="H593">
        <v>0.14050000000000001</v>
      </c>
      <c r="I593">
        <v>0.17699999999999999</v>
      </c>
      <c r="J593">
        <v>10</v>
      </c>
      <c r="K593">
        <v>7</v>
      </c>
      <c r="L593" t="s">
        <v>62</v>
      </c>
      <c r="M593" t="s">
        <v>63</v>
      </c>
      <c r="N593" t="s">
        <v>64</v>
      </c>
      <c r="O593">
        <v>10</v>
      </c>
      <c r="P593" t="s">
        <v>11</v>
      </c>
      <c r="Q593">
        <v>24.1</v>
      </c>
    </row>
    <row r="594" spans="1:17">
      <c r="A594">
        <v>2277</v>
      </c>
      <c r="B594" t="s">
        <v>75</v>
      </c>
      <c r="C594">
        <v>0.62</v>
      </c>
      <c r="D594">
        <v>0.48</v>
      </c>
      <c r="E594">
        <v>0.23</v>
      </c>
      <c r="F594">
        <v>1.0934999999999999</v>
      </c>
      <c r="G594">
        <v>0.40300000000000002</v>
      </c>
      <c r="H594">
        <v>0.245</v>
      </c>
      <c r="I594">
        <v>0.35499999999999998</v>
      </c>
      <c r="J594">
        <v>14</v>
      </c>
      <c r="K594">
        <v>12</v>
      </c>
      <c r="L594" t="s">
        <v>58</v>
      </c>
      <c r="M594" t="s">
        <v>59</v>
      </c>
      <c r="N594" t="s">
        <v>45</v>
      </c>
      <c r="O594">
        <v>1</v>
      </c>
      <c r="P594" t="s">
        <v>4</v>
      </c>
      <c r="Q594">
        <v>22.1</v>
      </c>
    </row>
    <row r="595" spans="1:17">
      <c r="A595">
        <v>1159</v>
      </c>
      <c r="B595" t="s">
        <v>75</v>
      </c>
      <c r="C595">
        <v>0.60499999999999998</v>
      </c>
      <c r="D595">
        <v>0.47499999999999998</v>
      </c>
      <c r="E595">
        <v>0.14000000000000001</v>
      </c>
      <c r="F595">
        <v>1.1174999999999999</v>
      </c>
      <c r="G595">
        <v>0.55500000000000005</v>
      </c>
      <c r="H595">
        <v>0.25700000000000001</v>
      </c>
      <c r="I595">
        <v>0.27400000000000002</v>
      </c>
      <c r="J595">
        <v>9</v>
      </c>
      <c r="K595">
        <v>7</v>
      </c>
      <c r="L595" t="s">
        <v>62</v>
      </c>
      <c r="M595" t="s">
        <v>63</v>
      </c>
      <c r="N595" t="s">
        <v>64</v>
      </c>
      <c r="O595">
        <v>5</v>
      </c>
      <c r="P595" t="s">
        <v>12</v>
      </c>
      <c r="Q595">
        <v>12.8</v>
      </c>
    </row>
    <row r="596" spans="1:17">
      <c r="A596">
        <v>2111</v>
      </c>
      <c r="B596" t="s">
        <v>75</v>
      </c>
      <c r="C596">
        <v>0.32500000000000001</v>
      </c>
      <c r="D596">
        <v>0.25</v>
      </c>
      <c r="E596">
        <v>5.5E-2</v>
      </c>
      <c r="F596">
        <v>0.16600000000000001</v>
      </c>
      <c r="G596">
        <v>7.5999999999999998E-2</v>
      </c>
      <c r="H596">
        <v>5.0999999999999997E-2</v>
      </c>
      <c r="I596">
        <v>4.4999999999999998E-2</v>
      </c>
      <c r="J596">
        <v>5</v>
      </c>
      <c r="K596">
        <v>13</v>
      </c>
      <c r="L596" t="s">
        <v>43</v>
      </c>
      <c r="M596" t="s">
        <v>44</v>
      </c>
      <c r="N596" t="s">
        <v>45</v>
      </c>
      <c r="O596">
        <v>2</v>
      </c>
      <c r="P596" t="s">
        <v>5</v>
      </c>
      <c r="Q596">
        <v>18</v>
      </c>
    </row>
    <row r="597" spans="1:17">
      <c r="A597">
        <v>3541</v>
      </c>
      <c r="B597" t="s">
        <v>75</v>
      </c>
      <c r="C597">
        <v>0.44500000000000001</v>
      </c>
      <c r="D597">
        <v>0.35499999999999998</v>
      </c>
      <c r="E597">
        <v>9.5000000000000001E-2</v>
      </c>
      <c r="F597">
        <v>0.36149999999999999</v>
      </c>
      <c r="G597">
        <v>0.14149999999999999</v>
      </c>
      <c r="H597">
        <v>7.85E-2</v>
      </c>
      <c r="I597">
        <v>0.12</v>
      </c>
      <c r="J597">
        <v>8</v>
      </c>
      <c r="K597">
        <v>5</v>
      </c>
      <c r="L597" t="s">
        <v>67</v>
      </c>
      <c r="M597" t="s">
        <v>68</v>
      </c>
      <c r="N597" t="s">
        <v>69</v>
      </c>
      <c r="O597">
        <v>10</v>
      </c>
      <c r="P597" t="s">
        <v>11</v>
      </c>
      <c r="Q597">
        <v>24.1</v>
      </c>
    </row>
    <row r="598" spans="1:17">
      <c r="A598">
        <v>3354</v>
      </c>
      <c r="B598" t="s">
        <v>75</v>
      </c>
      <c r="C598">
        <v>0.47499999999999998</v>
      </c>
      <c r="D598">
        <v>0.36499999999999999</v>
      </c>
      <c r="E598">
        <v>0.14000000000000001</v>
      </c>
      <c r="F598">
        <v>0.45450000000000002</v>
      </c>
      <c r="G598">
        <v>0.17100000000000001</v>
      </c>
      <c r="H598">
        <v>0.11799999999999999</v>
      </c>
      <c r="I598">
        <v>0.158</v>
      </c>
      <c r="J598">
        <v>8</v>
      </c>
      <c r="K598">
        <v>14</v>
      </c>
      <c r="L598" t="s">
        <v>72</v>
      </c>
      <c r="M598" t="s">
        <v>73</v>
      </c>
      <c r="N598" t="s">
        <v>74</v>
      </c>
      <c r="O598">
        <v>6</v>
      </c>
      <c r="P598" t="s">
        <v>7</v>
      </c>
      <c r="Q598">
        <v>14.1</v>
      </c>
    </row>
    <row r="599" spans="1:17">
      <c r="A599">
        <v>931</v>
      </c>
      <c r="B599" t="s">
        <v>75</v>
      </c>
      <c r="C599">
        <v>0.44</v>
      </c>
      <c r="D599">
        <v>0.32500000000000001</v>
      </c>
      <c r="E599">
        <v>0.09</v>
      </c>
      <c r="F599">
        <v>0.35</v>
      </c>
      <c r="G599">
        <v>0.14799999999999999</v>
      </c>
      <c r="H599">
        <v>6.7000000000000004E-2</v>
      </c>
      <c r="I599">
        <v>0.105</v>
      </c>
      <c r="J599">
        <v>7</v>
      </c>
      <c r="K599">
        <v>15</v>
      </c>
      <c r="L599" t="s">
        <v>60</v>
      </c>
      <c r="M599" t="s">
        <v>61</v>
      </c>
      <c r="N599" t="s">
        <v>45</v>
      </c>
      <c r="O599">
        <v>7</v>
      </c>
      <c r="P599" t="s">
        <v>6</v>
      </c>
      <c r="Q599">
        <v>2.5</v>
      </c>
    </row>
    <row r="600" spans="1:17">
      <c r="A600">
        <v>2512</v>
      </c>
      <c r="B600" t="s">
        <v>75</v>
      </c>
      <c r="C600">
        <v>0.42499999999999999</v>
      </c>
      <c r="D600">
        <v>0.31</v>
      </c>
      <c r="E600">
        <v>0.105</v>
      </c>
      <c r="F600">
        <v>0.36499999999999999</v>
      </c>
      <c r="G600">
        <v>0.159</v>
      </c>
      <c r="H600">
        <v>8.2500000000000004E-2</v>
      </c>
      <c r="I600">
        <v>0.105</v>
      </c>
      <c r="J600">
        <v>6</v>
      </c>
      <c r="K600">
        <v>11</v>
      </c>
      <c r="L600" t="s">
        <v>65</v>
      </c>
      <c r="M600" t="s">
        <v>66</v>
      </c>
      <c r="N600" t="s">
        <v>45</v>
      </c>
      <c r="O600">
        <v>2</v>
      </c>
      <c r="P600" t="s">
        <v>5</v>
      </c>
      <c r="Q600">
        <v>18</v>
      </c>
    </row>
    <row r="601" spans="1:17">
      <c r="A601">
        <v>225</v>
      </c>
      <c r="B601" t="s">
        <v>75</v>
      </c>
      <c r="C601">
        <v>0.42499999999999999</v>
      </c>
      <c r="D601">
        <v>0.38</v>
      </c>
      <c r="E601">
        <v>0.105</v>
      </c>
      <c r="F601">
        <v>0.32650000000000001</v>
      </c>
      <c r="G601">
        <v>0.1285</v>
      </c>
      <c r="H601">
        <v>7.85E-2</v>
      </c>
      <c r="I601">
        <v>0.1</v>
      </c>
      <c r="J601">
        <v>10</v>
      </c>
      <c r="K601">
        <v>15</v>
      </c>
      <c r="L601" t="s">
        <v>60</v>
      </c>
      <c r="M601" t="s">
        <v>61</v>
      </c>
      <c r="N601" t="s">
        <v>45</v>
      </c>
      <c r="O601">
        <v>6</v>
      </c>
      <c r="P601" t="s">
        <v>7</v>
      </c>
      <c r="Q601">
        <v>14.1</v>
      </c>
    </row>
    <row r="602" spans="1:17">
      <c r="A602">
        <v>1541</v>
      </c>
      <c r="B602" t="s">
        <v>75</v>
      </c>
      <c r="C602">
        <v>0.36</v>
      </c>
      <c r="D602">
        <v>0.27</v>
      </c>
      <c r="E602">
        <v>9.5000000000000001E-2</v>
      </c>
      <c r="F602">
        <v>0.2</v>
      </c>
      <c r="G602">
        <v>7.2999999999999995E-2</v>
      </c>
      <c r="H602">
        <v>5.6000000000000001E-2</v>
      </c>
      <c r="I602">
        <v>6.0999999999999999E-2</v>
      </c>
      <c r="J602">
        <v>8</v>
      </c>
      <c r="K602">
        <v>14</v>
      </c>
      <c r="L602" t="s">
        <v>72</v>
      </c>
      <c r="M602" t="s">
        <v>73</v>
      </c>
      <c r="N602" t="s">
        <v>74</v>
      </c>
      <c r="O602">
        <v>3</v>
      </c>
      <c r="P602" t="s">
        <v>10</v>
      </c>
      <c r="Q602">
        <v>3.6</v>
      </c>
    </row>
    <row r="603" spans="1:17">
      <c r="A603">
        <v>3114</v>
      </c>
      <c r="B603" t="s">
        <v>75</v>
      </c>
      <c r="C603">
        <v>0.42499999999999999</v>
      </c>
      <c r="D603">
        <v>0.32500000000000001</v>
      </c>
      <c r="E603">
        <v>0.105</v>
      </c>
      <c r="F603">
        <v>0.39750000000000002</v>
      </c>
      <c r="G603">
        <v>0.18149999999999999</v>
      </c>
      <c r="H603">
        <v>8.1000000000000003E-2</v>
      </c>
      <c r="I603">
        <v>0.11749999999999999</v>
      </c>
      <c r="J603">
        <v>7</v>
      </c>
      <c r="K603">
        <v>12</v>
      </c>
      <c r="L603" t="s">
        <v>58</v>
      </c>
      <c r="M603" t="s">
        <v>59</v>
      </c>
      <c r="N603" t="s">
        <v>45</v>
      </c>
      <c r="O603">
        <v>5</v>
      </c>
      <c r="P603" t="s">
        <v>12</v>
      </c>
      <c r="Q603">
        <v>12.8</v>
      </c>
    </row>
    <row r="604" spans="1:17">
      <c r="A604">
        <v>3973</v>
      </c>
      <c r="B604" t="s">
        <v>75</v>
      </c>
      <c r="C604">
        <v>0.41499999999999998</v>
      </c>
      <c r="D604">
        <v>0.315</v>
      </c>
      <c r="E604">
        <v>0.12</v>
      </c>
      <c r="F604">
        <v>0.40150000000000002</v>
      </c>
      <c r="G604">
        <v>0.19900000000000001</v>
      </c>
      <c r="H604">
        <v>8.6999999999999994E-2</v>
      </c>
      <c r="I604">
        <v>9.7000000000000003E-2</v>
      </c>
      <c r="J604">
        <v>8</v>
      </c>
      <c r="K604">
        <v>2</v>
      </c>
      <c r="L604" t="s">
        <v>49</v>
      </c>
      <c r="M604" t="s">
        <v>50</v>
      </c>
      <c r="N604" t="s">
        <v>51</v>
      </c>
      <c r="O604">
        <v>9</v>
      </c>
      <c r="P604" t="s">
        <v>9</v>
      </c>
      <c r="Q604">
        <v>1.9</v>
      </c>
    </row>
    <row r="605" spans="1:17">
      <c r="A605">
        <v>348</v>
      </c>
      <c r="B605" t="s">
        <v>75</v>
      </c>
      <c r="C605">
        <v>0.34</v>
      </c>
      <c r="D605">
        <v>0.26</v>
      </c>
      <c r="E605">
        <v>0.08</v>
      </c>
      <c r="F605">
        <v>0.2</v>
      </c>
      <c r="G605">
        <v>0.08</v>
      </c>
      <c r="H605">
        <v>5.5500000000000001E-2</v>
      </c>
      <c r="I605">
        <v>5.5E-2</v>
      </c>
      <c r="J605">
        <v>6</v>
      </c>
      <c r="K605">
        <v>13</v>
      </c>
      <c r="L605" t="s">
        <v>43</v>
      </c>
      <c r="M605" t="s">
        <v>44</v>
      </c>
      <c r="N605" t="s">
        <v>45</v>
      </c>
      <c r="O605">
        <v>5</v>
      </c>
      <c r="P605" t="s">
        <v>12</v>
      </c>
      <c r="Q605">
        <v>12.8</v>
      </c>
    </row>
    <row r="606" spans="1:17">
      <c r="A606">
        <v>602</v>
      </c>
      <c r="B606" t="s">
        <v>75</v>
      </c>
      <c r="C606">
        <v>0.38500000000000001</v>
      </c>
      <c r="D606">
        <v>0.315</v>
      </c>
      <c r="E606">
        <v>0.11</v>
      </c>
      <c r="F606">
        <v>0.28599999999999998</v>
      </c>
      <c r="G606">
        <v>0.1225</v>
      </c>
      <c r="H606">
        <v>6.3500000000000001E-2</v>
      </c>
      <c r="I606">
        <v>8.3500000000000005E-2</v>
      </c>
      <c r="J606">
        <v>10</v>
      </c>
      <c r="K606">
        <v>15</v>
      </c>
      <c r="L606" t="s">
        <v>60</v>
      </c>
      <c r="M606" t="s">
        <v>61</v>
      </c>
      <c r="N606" t="s">
        <v>45</v>
      </c>
      <c r="O606">
        <v>8</v>
      </c>
      <c r="P606" t="s">
        <v>13</v>
      </c>
      <c r="Q606">
        <v>12.3</v>
      </c>
    </row>
    <row r="607" spans="1:17">
      <c r="A607">
        <v>1359</v>
      </c>
      <c r="B607" t="s">
        <v>75</v>
      </c>
      <c r="C607">
        <v>0.60499999999999998</v>
      </c>
      <c r="D607">
        <v>0.48499999999999999</v>
      </c>
      <c r="E607">
        <v>0.15</v>
      </c>
      <c r="F607">
        <v>1.238</v>
      </c>
      <c r="G607">
        <v>0.63149999999999995</v>
      </c>
      <c r="H607">
        <v>0.22600000000000001</v>
      </c>
      <c r="I607">
        <v>0.33</v>
      </c>
      <c r="J607">
        <v>11</v>
      </c>
      <c r="K607">
        <v>15</v>
      </c>
      <c r="L607" t="s">
        <v>60</v>
      </c>
      <c r="M607" t="s">
        <v>61</v>
      </c>
      <c r="N607" t="s">
        <v>45</v>
      </c>
      <c r="O607">
        <v>7</v>
      </c>
      <c r="P607" t="s">
        <v>6</v>
      </c>
      <c r="Q607">
        <v>2.5</v>
      </c>
    </row>
    <row r="608" spans="1:17">
      <c r="A608">
        <v>2564</v>
      </c>
      <c r="B608" t="s">
        <v>75</v>
      </c>
      <c r="C608">
        <v>0.44</v>
      </c>
      <c r="D608">
        <v>0.35499999999999998</v>
      </c>
      <c r="E608">
        <v>0.12</v>
      </c>
      <c r="F608">
        <v>0.495</v>
      </c>
      <c r="G608">
        <v>0.23100000000000001</v>
      </c>
      <c r="H608">
        <v>0.11</v>
      </c>
      <c r="I608">
        <v>0.125</v>
      </c>
      <c r="J608">
        <v>7</v>
      </c>
      <c r="K608">
        <v>4</v>
      </c>
      <c r="L608" t="s">
        <v>40</v>
      </c>
      <c r="M608" t="s">
        <v>41</v>
      </c>
      <c r="N608" t="s">
        <v>42</v>
      </c>
      <c r="O608">
        <v>9</v>
      </c>
      <c r="P608" t="s">
        <v>9</v>
      </c>
      <c r="Q608">
        <v>1.9</v>
      </c>
    </row>
    <row r="609" spans="1:17">
      <c r="A609">
        <v>1865</v>
      </c>
      <c r="B609" t="s">
        <v>75</v>
      </c>
      <c r="C609">
        <v>0.52</v>
      </c>
      <c r="D609">
        <v>0.39500000000000002</v>
      </c>
      <c r="E609">
        <v>0.125</v>
      </c>
      <c r="F609">
        <v>0.58050000000000002</v>
      </c>
      <c r="G609">
        <v>0.2445</v>
      </c>
      <c r="H609">
        <v>0.14599999999999999</v>
      </c>
      <c r="I609">
        <v>0.16500000000000001</v>
      </c>
      <c r="J609">
        <v>9</v>
      </c>
      <c r="K609">
        <v>2</v>
      </c>
      <c r="L609" t="s">
        <v>49</v>
      </c>
      <c r="M609" t="s">
        <v>50</v>
      </c>
      <c r="N609" t="s">
        <v>51</v>
      </c>
      <c r="O609">
        <v>1</v>
      </c>
      <c r="P609" t="s">
        <v>4</v>
      </c>
      <c r="Q609">
        <v>22.1</v>
      </c>
    </row>
    <row r="610" spans="1:17">
      <c r="A610">
        <v>2167</v>
      </c>
      <c r="B610" t="s">
        <v>75</v>
      </c>
      <c r="C610">
        <v>0.38</v>
      </c>
      <c r="D610">
        <v>0.28000000000000003</v>
      </c>
      <c r="E610">
        <v>8.5000000000000006E-2</v>
      </c>
      <c r="F610">
        <v>0.27350000000000002</v>
      </c>
      <c r="G610">
        <v>0.115</v>
      </c>
      <c r="H610">
        <v>6.0999999999999999E-2</v>
      </c>
      <c r="I610">
        <v>8.5000000000000006E-2</v>
      </c>
      <c r="J610">
        <v>6</v>
      </c>
      <c r="K610">
        <v>6</v>
      </c>
      <c r="L610" t="s">
        <v>46</v>
      </c>
      <c r="M610" t="s">
        <v>47</v>
      </c>
      <c r="N610" t="s">
        <v>48</v>
      </c>
      <c r="O610">
        <v>4</v>
      </c>
      <c r="P610" t="s">
        <v>8</v>
      </c>
      <c r="Q610">
        <v>6.1</v>
      </c>
    </row>
    <row r="611" spans="1:17">
      <c r="A611">
        <v>3636</v>
      </c>
      <c r="B611" t="s">
        <v>75</v>
      </c>
      <c r="C611">
        <v>0.37</v>
      </c>
      <c r="D611">
        <v>0.27500000000000002</v>
      </c>
      <c r="E611">
        <v>9.5000000000000001E-2</v>
      </c>
      <c r="F611">
        <v>0.25700000000000001</v>
      </c>
      <c r="G611">
        <v>0.10150000000000001</v>
      </c>
      <c r="H611">
        <v>5.5E-2</v>
      </c>
      <c r="I611">
        <v>8.2500000000000004E-2</v>
      </c>
      <c r="J611">
        <v>6</v>
      </c>
      <c r="K611">
        <v>12</v>
      </c>
      <c r="L611" t="s">
        <v>58</v>
      </c>
      <c r="M611" t="s">
        <v>59</v>
      </c>
      <c r="N611" t="s">
        <v>45</v>
      </c>
      <c r="O611">
        <v>2</v>
      </c>
      <c r="P611" t="s">
        <v>5</v>
      </c>
      <c r="Q611">
        <v>18</v>
      </c>
    </row>
    <row r="612" spans="1:17">
      <c r="A612">
        <v>3853</v>
      </c>
      <c r="B612" t="s">
        <v>75</v>
      </c>
      <c r="C612">
        <v>0.55000000000000004</v>
      </c>
      <c r="D612">
        <v>0.41</v>
      </c>
      <c r="E612">
        <v>0.15</v>
      </c>
      <c r="F612">
        <v>0.78500000000000003</v>
      </c>
      <c r="G612">
        <v>0.28199999999999997</v>
      </c>
      <c r="H612">
        <v>0.186</v>
      </c>
      <c r="I612">
        <v>0.27500000000000002</v>
      </c>
      <c r="J612">
        <v>12</v>
      </c>
      <c r="K612">
        <v>7</v>
      </c>
      <c r="L612" t="s">
        <v>62</v>
      </c>
      <c r="M612" t="s">
        <v>63</v>
      </c>
      <c r="N612" t="s">
        <v>64</v>
      </c>
      <c r="O612">
        <v>2</v>
      </c>
      <c r="P612" t="s">
        <v>5</v>
      </c>
      <c r="Q612">
        <v>18</v>
      </c>
    </row>
    <row r="613" spans="1:17">
      <c r="A613">
        <v>1624</v>
      </c>
      <c r="B613" t="s">
        <v>75</v>
      </c>
      <c r="C613">
        <v>0.56499999999999995</v>
      </c>
      <c r="D613">
        <v>0.44</v>
      </c>
      <c r="E613">
        <v>0.15</v>
      </c>
      <c r="F613">
        <v>0.86299999999999999</v>
      </c>
      <c r="G613">
        <v>0.435</v>
      </c>
      <c r="H613">
        <v>0.14899999999999999</v>
      </c>
      <c r="I613">
        <v>0.27</v>
      </c>
      <c r="J613">
        <v>9</v>
      </c>
      <c r="K613">
        <v>5</v>
      </c>
      <c r="L613" t="s">
        <v>67</v>
      </c>
      <c r="M613" t="s">
        <v>68</v>
      </c>
      <c r="N613" t="s">
        <v>69</v>
      </c>
      <c r="O613">
        <v>8</v>
      </c>
      <c r="P613" t="s">
        <v>13</v>
      </c>
      <c r="Q613">
        <v>12.3</v>
      </c>
    </row>
    <row r="614" spans="1:17">
      <c r="A614">
        <v>811</v>
      </c>
      <c r="B614" t="s">
        <v>75</v>
      </c>
      <c r="C614">
        <v>0.505</v>
      </c>
      <c r="D614">
        <v>0.40500000000000003</v>
      </c>
      <c r="E614">
        <v>0.14000000000000001</v>
      </c>
      <c r="F614">
        <v>0.875</v>
      </c>
      <c r="G614">
        <v>0.26650000000000001</v>
      </c>
      <c r="H614">
        <v>0.17399999999999999</v>
      </c>
      <c r="I614">
        <v>0.28499999999999998</v>
      </c>
      <c r="J614">
        <v>12</v>
      </c>
      <c r="K614">
        <v>4</v>
      </c>
      <c r="L614" t="s">
        <v>40</v>
      </c>
      <c r="M614" t="s">
        <v>41</v>
      </c>
      <c r="N614" t="s">
        <v>42</v>
      </c>
      <c r="O614">
        <v>3</v>
      </c>
      <c r="P614" t="s">
        <v>10</v>
      </c>
      <c r="Q614">
        <v>3.6</v>
      </c>
    </row>
    <row r="615" spans="1:17">
      <c r="A615">
        <v>1964</v>
      </c>
      <c r="B615" t="s">
        <v>75</v>
      </c>
      <c r="C615">
        <v>0.65500000000000003</v>
      </c>
      <c r="D615">
        <v>0.52</v>
      </c>
      <c r="E615">
        <v>0.17</v>
      </c>
      <c r="F615">
        <v>1.1445000000000001</v>
      </c>
      <c r="G615">
        <v>0.53</v>
      </c>
      <c r="H615">
        <v>0.223</v>
      </c>
      <c r="I615">
        <v>0.34799999999999998</v>
      </c>
      <c r="J615">
        <v>9</v>
      </c>
      <c r="K615">
        <v>2</v>
      </c>
      <c r="L615" t="s">
        <v>49</v>
      </c>
      <c r="M615" t="s">
        <v>50</v>
      </c>
      <c r="N615" t="s">
        <v>51</v>
      </c>
      <c r="O615">
        <v>3</v>
      </c>
      <c r="P615" t="s">
        <v>10</v>
      </c>
      <c r="Q615">
        <v>3.6</v>
      </c>
    </row>
    <row r="616" spans="1:17">
      <c r="A616">
        <v>3315</v>
      </c>
      <c r="B616" t="s">
        <v>75</v>
      </c>
      <c r="C616">
        <v>0.45</v>
      </c>
      <c r="D616">
        <v>0.35499999999999998</v>
      </c>
      <c r="E616">
        <v>0.115</v>
      </c>
      <c r="F616">
        <v>0.4385</v>
      </c>
      <c r="G616">
        <v>0.184</v>
      </c>
      <c r="H616">
        <v>0.108</v>
      </c>
      <c r="I616">
        <v>0.1125</v>
      </c>
      <c r="J616">
        <v>11</v>
      </c>
      <c r="K616">
        <v>4</v>
      </c>
      <c r="L616" t="s">
        <v>40</v>
      </c>
      <c r="M616" t="s">
        <v>41</v>
      </c>
      <c r="N616" t="s">
        <v>42</v>
      </c>
      <c r="O616">
        <v>9</v>
      </c>
      <c r="P616" t="s">
        <v>9</v>
      </c>
      <c r="Q616">
        <v>1.9</v>
      </c>
    </row>
    <row r="617" spans="1:17">
      <c r="A617">
        <v>1482</v>
      </c>
      <c r="B617" t="s">
        <v>75</v>
      </c>
      <c r="C617">
        <v>0.57999999999999996</v>
      </c>
      <c r="D617">
        <v>0.435</v>
      </c>
      <c r="E617">
        <v>0.14000000000000001</v>
      </c>
      <c r="F617">
        <v>0.95299999999999996</v>
      </c>
      <c r="G617">
        <v>0.47499999999999998</v>
      </c>
      <c r="H617">
        <v>0.2165</v>
      </c>
      <c r="I617">
        <v>0.20949999999999999</v>
      </c>
      <c r="J617">
        <v>9</v>
      </c>
      <c r="K617">
        <v>12</v>
      </c>
      <c r="L617" t="s">
        <v>58</v>
      </c>
      <c r="M617" t="s">
        <v>59</v>
      </c>
      <c r="N617" t="s">
        <v>45</v>
      </c>
      <c r="O617">
        <v>5</v>
      </c>
      <c r="P617" t="s">
        <v>12</v>
      </c>
      <c r="Q617">
        <v>12.8</v>
      </c>
    </row>
    <row r="618" spans="1:17">
      <c r="A618">
        <v>754</v>
      </c>
      <c r="B618" t="s">
        <v>75</v>
      </c>
      <c r="C618">
        <v>0.57999999999999996</v>
      </c>
      <c r="D618">
        <v>0.45500000000000002</v>
      </c>
      <c r="E618">
        <v>0.16500000000000001</v>
      </c>
      <c r="F618">
        <v>1.1365000000000001</v>
      </c>
      <c r="G618">
        <v>0.36899999999999999</v>
      </c>
      <c r="H618">
        <v>0.30049999999999999</v>
      </c>
      <c r="I618">
        <v>0.27500000000000002</v>
      </c>
      <c r="J618">
        <v>13</v>
      </c>
      <c r="K618">
        <v>9</v>
      </c>
      <c r="L618" t="s">
        <v>34</v>
      </c>
      <c r="M618" t="s">
        <v>35</v>
      </c>
      <c r="N618" t="s">
        <v>36</v>
      </c>
      <c r="O618">
        <v>6</v>
      </c>
      <c r="P618" t="s">
        <v>7</v>
      </c>
      <c r="Q618">
        <v>14.1</v>
      </c>
    </row>
    <row r="619" spans="1:17">
      <c r="A619">
        <v>1066</v>
      </c>
      <c r="B619" t="s">
        <v>75</v>
      </c>
      <c r="C619">
        <v>0.315</v>
      </c>
      <c r="D619">
        <v>0.23499999999999999</v>
      </c>
      <c r="E619">
        <v>5.5E-2</v>
      </c>
      <c r="F619">
        <v>0.151</v>
      </c>
      <c r="G619">
        <v>6.5000000000000002E-2</v>
      </c>
      <c r="H619">
        <v>2.7E-2</v>
      </c>
      <c r="I619">
        <v>3.9E-2</v>
      </c>
      <c r="J619">
        <v>6</v>
      </c>
      <c r="K619">
        <v>6</v>
      </c>
      <c r="L619" t="s">
        <v>46</v>
      </c>
      <c r="M619" t="s">
        <v>47</v>
      </c>
      <c r="N619" t="s">
        <v>48</v>
      </c>
      <c r="O619">
        <v>2</v>
      </c>
      <c r="P619" t="s">
        <v>5</v>
      </c>
      <c r="Q619">
        <v>18</v>
      </c>
    </row>
    <row r="620" spans="1:17">
      <c r="A620">
        <v>239</v>
      </c>
      <c r="B620" t="s">
        <v>75</v>
      </c>
      <c r="C620">
        <v>0.11</v>
      </c>
      <c r="D620">
        <v>0.09</v>
      </c>
      <c r="E620">
        <v>0.03</v>
      </c>
      <c r="F620">
        <v>8.0000000000000002E-3</v>
      </c>
      <c r="G620">
        <v>2.5000000000000001E-3</v>
      </c>
      <c r="H620">
        <v>2E-3</v>
      </c>
      <c r="I620">
        <v>3.0000000000000001E-3</v>
      </c>
      <c r="J620">
        <v>3</v>
      </c>
      <c r="K620">
        <v>4</v>
      </c>
      <c r="L620" t="s">
        <v>40</v>
      </c>
      <c r="M620" t="s">
        <v>41</v>
      </c>
      <c r="N620" t="s">
        <v>42</v>
      </c>
      <c r="O620">
        <v>6</v>
      </c>
      <c r="P620" t="s">
        <v>7</v>
      </c>
      <c r="Q620">
        <v>14.1</v>
      </c>
    </row>
    <row r="621" spans="1:17">
      <c r="A621">
        <v>3932</v>
      </c>
      <c r="B621" t="s">
        <v>75</v>
      </c>
      <c r="C621">
        <v>0.55000000000000004</v>
      </c>
      <c r="D621">
        <v>0.44</v>
      </c>
      <c r="E621">
        <v>0.16500000000000001</v>
      </c>
      <c r="F621">
        <v>0.86050000000000004</v>
      </c>
      <c r="G621">
        <v>0.312</v>
      </c>
      <c r="H621">
        <v>0.16900000000000001</v>
      </c>
      <c r="I621">
        <v>0.3</v>
      </c>
      <c r="J621">
        <v>17</v>
      </c>
      <c r="K621">
        <v>13</v>
      </c>
      <c r="L621" t="s">
        <v>43</v>
      </c>
      <c r="M621" t="s">
        <v>44</v>
      </c>
      <c r="N621" t="s">
        <v>45</v>
      </c>
      <c r="O621">
        <v>8</v>
      </c>
      <c r="P621" t="s">
        <v>13</v>
      </c>
      <c r="Q621">
        <v>12.3</v>
      </c>
    </row>
    <row r="622" spans="1:17">
      <c r="A622">
        <v>900</v>
      </c>
      <c r="B622" t="s">
        <v>75</v>
      </c>
      <c r="C622">
        <v>0.29499999999999998</v>
      </c>
      <c r="D622">
        <v>0.23</v>
      </c>
      <c r="E622">
        <v>0.08</v>
      </c>
      <c r="F622">
        <v>0.16250000000000001</v>
      </c>
      <c r="G622">
        <v>6.5000000000000002E-2</v>
      </c>
      <c r="H622">
        <v>0.05</v>
      </c>
      <c r="I622">
        <v>3.85E-2</v>
      </c>
      <c r="J622">
        <v>5</v>
      </c>
      <c r="K622">
        <v>3</v>
      </c>
      <c r="L622" t="s">
        <v>52</v>
      </c>
      <c r="M622" t="s">
        <v>53</v>
      </c>
      <c r="N622" t="s">
        <v>54</v>
      </c>
      <c r="O622">
        <v>2</v>
      </c>
      <c r="P622" t="s">
        <v>5</v>
      </c>
      <c r="Q622">
        <v>18</v>
      </c>
    </row>
    <row r="623" spans="1:17">
      <c r="A623">
        <v>711</v>
      </c>
      <c r="B623" t="s">
        <v>75</v>
      </c>
      <c r="C623">
        <v>0.32500000000000001</v>
      </c>
      <c r="D623">
        <v>0.25</v>
      </c>
      <c r="E623">
        <v>0.08</v>
      </c>
      <c r="F623">
        <v>0.17599999999999999</v>
      </c>
      <c r="G623">
        <v>5.9499999999999997E-2</v>
      </c>
      <c r="H623">
        <v>3.5499999999999997E-2</v>
      </c>
      <c r="I623">
        <v>6.3E-2</v>
      </c>
      <c r="J623">
        <v>7</v>
      </c>
      <c r="K623">
        <v>4</v>
      </c>
      <c r="L623" t="s">
        <v>40</v>
      </c>
      <c r="M623" t="s">
        <v>41</v>
      </c>
      <c r="N623" t="s">
        <v>42</v>
      </c>
      <c r="O623">
        <v>8</v>
      </c>
      <c r="P623" t="s">
        <v>13</v>
      </c>
      <c r="Q623">
        <v>12.3</v>
      </c>
    </row>
    <row r="624" spans="1:17">
      <c r="A624">
        <v>3100</v>
      </c>
      <c r="B624" t="s">
        <v>75</v>
      </c>
      <c r="C624">
        <v>0.57499999999999996</v>
      </c>
      <c r="D624">
        <v>0.48</v>
      </c>
      <c r="E624">
        <v>0.15</v>
      </c>
      <c r="F624">
        <v>0.94650000000000001</v>
      </c>
      <c r="G624">
        <v>0.4355</v>
      </c>
      <c r="H624">
        <v>0.26050000000000001</v>
      </c>
      <c r="I624">
        <v>0.2505</v>
      </c>
      <c r="J624">
        <v>9</v>
      </c>
      <c r="K624">
        <v>12</v>
      </c>
      <c r="L624" t="s">
        <v>58</v>
      </c>
      <c r="M624" t="s">
        <v>59</v>
      </c>
      <c r="N624" t="s">
        <v>45</v>
      </c>
      <c r="O624">
        <v>4</v>
      </c>
      <c r="P624" t="s">
        <v>8</v>
      </c>
      <c r="Q624">
        <v>6.1</v>
      </c>
    </row>
    <row r="625" spans="1:17">
      <c r="A625">
        <v>1918</v>
      </c>
      <c r="B625" t="s">
        <v>75</v>
      </c>
      <c r="C625">
        <v>0.6</v>
      </c>
      <c r="D625">
        <v>0.47499999999999998</v>
      </c>
      <c r="E625">
        <v>0.15</v>
      </c>
      <c r="F625">
        <v>0.99</v>
      </c>
      <c r="G625">
        <v>0.38600000000000001</v>
      </c>
      <c r="H625">
        <v>0.2195</v>
      </c>
      <c r="I625">
        <v>0.3105</v>
      </c>
      <c r="J625">
        <v>10</v>
      </c>
      <c r="K625">
        <v>9</v>
      </c>
      <c r="L625" t="s">
        <v>34</v>
      </c>
      <c r="M625" t="s">
        <v>35</v>
      </c>
      <c r="N625" t="s">
        <v>36</v>
      </c>
      <c r="O625">
        <v>5</v>
      </c>
      <c r="P625" t="s">
        <v>12</v>
      </c>
      <c r="Q625">
        <v>12.8</v>
      </c>
    </row>
    <row r="626" spans="1:17">
      <c r="A626">
        <v>781</v>
      </c>
      <c r="B626" t="s">
        <v>75</v>
      </c>
      <c r="C626">
        <v>0.56000000000000005</v>
      </c>
      <c r="D626">
        <v>0.41</v>
      </c>
      <c r="E626">
        <v>0.16500000000000001</v>
      </c>
      <c r="F626">
        <v>0.93</v>
      </c>
      <c r="G626">
        <v>0.35049999999999998</v>
      </c>
      <c r="H626">
        <v>0.23699999999999999</v>
      </c>
      <c r="I626">
        <v>0.3</v>
      </c>
      <c r="J626">
        <v>13</v>
      </c>
      <c r="K626">
        <v>12</v>
      </c>
      <c r="L626" t="s">
        <v>58</v>
      </c>
      <c r="M626" t="s">
        <v>59</v>
      </c>
      <c r="N626" t="s">
        <v>45</v>
      </c>
      <c r="O626">
        <v>1</v>
      </c>
      <c r="P626" t="s">
        <v>4</v>
      </c>
      <c r="Q626">
        <v>22.1</v>
      </c>
    </row>
    <row r="627" spans="1:17">
      <c r="A627">
        <v>2025</v>
      </c>
      <c r="B627" t="s">
        <v>75</v>
      </c>
      <c r="C627">
        <v>0.54500000000000004</v>
      </c>
      <c r="D627">
        <v>0.44</v>
      </c>
      <c r="E627">
        <v>0.14000000000000001</v>
      </c>
      <c r="F627">
        <v>0.83950000000000002</v>
      </c>
      <c r="G627">
        <v>0.35599999999999998</v>
      </c>
      <c r="H627">
        <v>0.1905</v>
      </c>
      <c r="I627">
        <v>0.23849999999999999</v>
      </c>
      <c r="J627">
        <v>11</v>
      </c>
      <c r="K627">
        <v>13</v>
      </c>
      <c r="L627" t="s">
        <v>43</v>
      </c>
      <c r="M627" t="s">
        <v>44</v>
      </c>
      <c r="N627" t="s">
        <v>45</v>
      </c>
      <c r="O627">
        <v>6</v>
      </c>
      <c r="P627" t="s">
        <v>7</v>
      </c>
      <c r="Q627">
        <v>14.1</v>
      </c>
    </row>
    <row r="628" spans="1:17">
      <c r="A628">
        <v>1173</v>
      </c>
      <c r="B628" t="s">
        <v>75</v>
      </c>
      <c r="C628">
        <v>0.63</v>
      </c>
      <c r="D628">
        <v>0.47</v>
      </c>
      <c r="E628">
        <v>0.155</v>
      </c>
      <c r="F628">
        <v>1.1325000000000001</v>
      </c>
      <c r="G628">
        <v>0.58899999999999997</v>
      </c>
      <c r="H628">
        <v>0.21099999999999999</v>
      </c>
      <c r="I628">
        <v>0.28699999999999998</v>
      </c>
      <c r="J628">
        <v>8</v>
      </c>
      <c r="K628">
        <v>3</v>
      </c>
      <c r="L628" t="s">
        <v>52</v>
      </c>
      <c r="M628" t="s">
        <v>53</v>
      </c>
      <c r="N628" t="s">
        <v>54</v>
      </c>
      <c r="O628">
        <v>7</v>
      </c>
      <c r="P628" t="s">
        <v>6</v>
      </c>
      <c r="Q628">
        <v>2.5</v>
      </c>
    </row>
    <row r="629" spans="1:17">
      <c r="A629">
        <v>1109</v>
      </c>
      <c r="B629" t="s">
        <v>75</v>
      </c>
      <c r="C629">
        <v>0.51500000000000001</v>
      </c>
      <c r="D629">
        <v>0.38500000000000001</v>
      </c>
      <c r="E629">
        <v>0.125</v>
      </c>
      <c r="F629">
        <v>0.61150000000000004</v>
      </c>
      <c r="G629">
        <v>0.3175</v>
      </c>
      <c r="H629">
        <v>0.1265</v>
      </c>
      <c r="I629">
        <v>0.15</v>
      </c>
      <c r="J629">
        <v>8</v>
      </c>
      <c r="K629">
        <v>12</v>
      </c>
      <c r="L629" t="s">
        <v>58</v>
      </c>
      <c r="M629" t="s">
        <v>59</v>
      </c>
      <c r="N629" t="s">
        <v>45</v>
      </c>
      <c r="O629">
        <v>9</v>
      </c>
      <c r="P629" t="s">
        <v>9</v>
      </c>
      <c r="Q629">
        <v>1.9</v>
      </c>
    </row>
    <row r="630" spans="1:17">
      <c r="A630">
        <v>655</v>
      </c>
      <c r="B630" t="s">
        <v>75</v>
      </c>
      <c r="C630">
        <v>0.37</v>
      </c>
      <c r="D630">
        <v>0.28000000000000003</v>
      </c>
      <c r="E630">
        <v>0.11</v>
      </c>
      <c r="F630">
        <v>0.23050000000000001</v>
      </c>
      <c r="G630">
        <v>9.4500000000000001E-2</v>
      </c>
      <c r="H630">
        <v>4.65E-2</v>
      </c>
      <c r="I630">
        <v>7.4999999999999997E-2</v>
      </c>
      <c r="J630">
        <v>10</v>
      </c>
      <c r="K630">
        <v>5</v>
      </c>
      <c r="L630" t="s">
        <v>67</v>
      </c>
      <c r="M630" t="s">
        <v>68</v>
      </c>
      <c r="N630" t="s">
        <v>69</v>
      </c>
      <c r="O630">
        <v>1</v>
      </c>
      <c r="P630" t="s">
        <v>4</v>
      </c>
      <c r="Q630">
        <v>22.1</v>
      </c>
    </row>
    <row r="631" spans="1:17">
      <c r="A631">
        <v>1240</v>
      </c>
      <c r="B631" t="s">
        <v>75</v>
      </c>
      <c r="C631">
        <v>0.375</v>
      </c>
      <c r="D631">
        <v>0.27</v>
      </c>
      <c r="E631">
        <v>8.5000000000000006E-2</v>
      </c>
      <c r="F631">
        <v>0.218</v>
      </c>
      <c r="G631">
        <v>9.4500000000000001E-2</v>
      </c>
      <c r="H631">
        <v>3.9E-2</v>
      </c>
      <c r="I631">
        <v>7.0000000000000007E-2</v>
      </c>
      <c r="J631">
        <v>7</v>
      </c>
      <c r="K631">
        <v>5</v>
      </c>
      <c r="L631" t="s">
        <v>67</v>
      </c>
      <c r="M631" t="s">
        <v>68</v>
      </c>
      <c r="N631" t="s">
        <v>69</v>
      </c>
      <c r="O631">
        <v>1</v>
      </c>
      <c r="P631" t="s">
        <v>4</v>
      </c>
      <c r="Q631">
        <v>22.1</v>
      </c>
    </row>
    <row r="632" spans="1:17">
      <c r="A632">
        <v>2479</v>
      </c>
      <c r="B632" t="s">
        <v>75</v>
      </c>
      <c r="C632">
        <v>0.47</v>
      </c>
      <c r="D632">
        <v>0.35499999999999998</v>
      </c>
      <c r="E632">
        <v>0.18</v>
      </c>
      <c r="F632">
        <v>0.441</v>
      </c>
      <c r="G632">
        <v>0.1525</v>
      </c>
      <c r="H632">
        <v>0.11650000000000001</v>
      </c>
      <c r="I632">
        <v>0.13500000000000001</v>
      </c>
      <c r="J632">
        <v>8</v>
      </c>
      <c r="K632">
        <v>9</v>
      </c>
      <c r="L632" t="s">
        <v>34</v>
      </c>
      <c r="M632" t="s">
        <v>35</v>
      </c>
      <c r="N632" t="s">
        <v>36</v>
      </c>
      <c r="O632">
        <v>10</v>
      </c>
      <c r="P632" t="s">
        <v>11</v>
      </c>
      <c r="Q632">
        <v>24.1</v>
      </c>
    </row>
    <row r="633" spans="1:17">
      <c r="A633">
        <v>1685</v>
      </c>
      <c r="B633" t="s">
        <v>75</v>
      </c>
      <c r="C633">
        <v>0.62</v>
      </c>
      <c r="D633">
        <v>0.47</v>
      </c>
      <c r="E633">
        <v>0.14000000000000001</v>
      </c>
      <c r="F633">
        <v>0.85650000000000004</v>
      </c>
      <c r="G633">
        <v>0.35949999999999999</v>
      </c>
      <c r="H633">
        <v>0.16</v>
      </c>
      <c r="I633">
        <v>0.29499999999999998</v>
      </c>
      <c r="J633">
        <v>9</v>
      </c>
      <c r="K633">
        <v>8</v>
      </c>
      <c r="L633" t="s">
        <v>55</v>
      </c>
      <c r="M633" t="s">
        <v>56</v>
      </c>
      <c r="N633" t="s">
        <v>57</v>
      </c>
      <c r="O633">
        <v>6</v>
      </c>
      <c r="P633" t="s">
        <v>7</v>
      </c>
      <c r="Q633">
        <v>14.1</v>
      </c>
    </row>
    <row r="634" spans="1:17">
      <c r="A634">
        <v>675</v>
      </c>
      <c r="B634" t="s">
        <v>75</v>
      </c>
      <c r="C634">
        <v>0.49</v>
      </c>
      <c r="D634">
        <v>0.38500000000000001</v>
      </c>
      <c r="E634">
        <v>0.15</v>
      </c>
      <c r="F634">
        <v>0.78649999999999998</v>
      </c>
      <c r="G634">
        <v>0.24099999999999999</v>
      </c>
      <c r="H634">
        <v>0.14000000000000001</v>
      </c>
      <c r="I634">
        <v>0.24</v>
      </c>
      <c r="J634">
        <v>23</v>
      </c>
      <c r="K634">
        <v>13</v>
      </c>
      <c r="L634" t="s">
        <v>43</v>
      </c>
      <c r="M634" t="s">
        <v>44</v>
      </c>
      <c r="N634" t="s">
        <v>45</v>
      </c>
      <c r="O634">
        <v>10</v>
      </c>
      <c r="P634" t="s">
        <v>11</v>
      </c>
      <c r="Q634">
        <v>24.1</v>
      </c>
    </row>
    <row r="635" spans="1:17">
      <c r="A635">
        <v>156</v>
      </c>
      <c r="B635" t="s">
        <v>75</v>
      </c>
      <c r="C635">
        <v>0.51500000000000001</v>
      </c>
      <c r="D635">
        <v>0.40500000000000003</v>
      </c>
      <c r="E635">
        <v>0.13</v>
      </c>
      <c r="F635">
        <v>0.72199999999999998</v>
      </c>
      <c r="G635">
        <v>0.32</v>
      </c>
      <c r="H635">
        <v>0.13100000000000001</v>
      </c>
      <c r="I635">
        <v>0.21</v>
      </c>
      <c r="J635">
        <v>10</v>
      </c>
      <c r="K635">
        <v>15</v>
      </c>
      <c r="L635" t="s">
        <v>60</v>
      </c>
      <c r="M635" t="s">
        <v>61</v>
      </c>
      <c r="N635" t="s">
        <v>45</v>
      </c>
      <c r="O635">
        <v>2</v>
      </c>
      <c r="P635" t="s">
        <v>5</v>
      </c>
      <c r="Q635">
        <v>18</v>
      </c>
    </row>
    <row r="636" spans="1:17">
      <c r="A636">
        <v>1153</v>
      </c>
      <c r="B636" t="s">
        <v>75</v>
      </c>
      <c r="C636">
        <v>0.59</v>
      </c>
      <c r="D636">
        <v>0.47</v>
      </c>
      <c r="E636">
        <v>0.15</v>
      </c>
      <c r="F636">
        <v>0.99550000000000005</v>
      </c>
      <c r="G636">
        <v>0.48099999999999998</v>
      </c>
      <c r="H636">
        <v>0.23200000000000001</v>
      </c>
      <c r="I636">
        <v>0.24</v>
      </c>
      <c r="J636">
        <v>8</v>
      </c>
      <c r="K636">
        <v>14</v>
      </c>
      <c r="L636" t="s">
        <v>72</v>
      </c>
      <c r="M636" t="s">
        <v>73</v>
      </c>
      <c r="N636" t="s">
        <v>74</v>
      </c>
      <c r="O636">
        <v>10</v>
      </c>
      <c r="P636" t="s">
        <v>11</v>
      </c>
      <c r="Q636">
        <v>24.1</v>
      </c>
    </row>
    <row r="637" spans="1:17">
      <c r="A637">
        <v>2519</v>
      </c>
      <c r="B637" t="s">
        <v>75</v>
      </c>
      <c r="C637">
        <v>0.5</v>
      </c>
      <c r="D637">
        <v>0.4</v>
      </c>
      <c r="E637">
        <v>0.13</v>
      </c>
      <c r="F637">
        <v>0.77149999999999996</v>
      </c>
      <c r="G637">
        <v>0.37</v>
      </c>
      <c r="H637">
        <v>0.16</v>
      </c>
      <c r="I637">
        <v>0.21099999999999999</v>
      </c>
      <c r="J637">
        <v>8</v>
      </c>
      <c r="K637">
        <v>10</v>
      </c>
      <c r="L637" t="s">
        <v>37</v>
      </c>
      <c r="M637" t="s">
        <v>38</v>
      </c>
      <c r="N637" t="s">
        <v>39</v>
      </c>
      <c r="O637">
        <v>7</v>
      </c>
      <c r="P637" t="s">
        <v>6</v>
      </c>
      <c r="Q637">
        <v>2.5</v>
      </c>
    </row>
    <row r="638" spans="1:17">
      <c r="A638">
        <v>3580</v>
      </c>
      <c r="B638" t="s">
        <v>75</v>
      </c>
      <c r="C638">
        <v>0.6</v>
      </c>
      <c r="D638">
        <v>0.48499999999999999</v>
      </c>
      <c r="E638">
        <v>0.14499999999999999</v>
      </c>
      <c r="F638">
        <v>0.77600000000000002</v>
      </c>
      <c r="G638">
        <v>0.35449999999999998</v>
      </c>
      <c r="H638">
        <v>0.1585</v>
      </c>
      <c r="I638">
        <v>0.23899999999999999</v>
      </c>
      <c r="J638">
        <v>9</v>
      </c>
      <c r="K638">
        <v>13</v>
      </c>
      <c r="L638" t="s">
        <v>43</v>
      </c>
      <c r="M638" t="s">
        <v>44</v>
      </c>
      <c r="N638" t="s">
        <v>45</v>
      </c>
      <c r="O638">
        <v>3</v>
      </c>
      <c r="P638" t="s">
        <v>10</v>
      </c>
      <c r="Q638">
        <v>3.6</v>
      </c>
    </row>
    <row r="639" spans="1:17">
      <c r="A639">
        <v>2898</v>
      </c>
      <c r="B639" t="s">
        <v>75</v>
      </c>
      <c r="C639">
        <v>0.54500000000000004</v>
      </c>
      <c r="D639">
        <v>0.43</v>
      </c>
      <c r="E639">
        <v>0.15</v>
      </c>
      <c r="F639">
        <v>0.74199999999999999</v>
      </c>
      <c r="G639">
        <v>0.35249999999999998</v>
      </c>
      <c r="H639">
        <v>0.158</v>
      </c>
      <c r="I639">
        <v>0.20799999999999999</v>
      </c>
      <c r="J639">
        <v>10</v>
      </c>
      <c r="K639">
        <v>12</v>
      </c>
      <c r="L639" t="s">
        <v>58</v>
      </c>
      <c r="M639" t="s">
        <v>59</v>
      </c>
      <c r="N639" t="s">
        <v>45</v>
      </c>
      <c r="O639">
        <v>7</v>
      </c>
      <c r="P639" t="s">
        <v>6</v>
      </c>
      <c r="Q639">
        <v>2.5</v>
      </c>
    </row>
    <row r="640" spans="1:17">
      <c r="A640">
        <v>1772</v>
      </c>
      <c r="B640" t="s">
        <v>75</v>
      </c>
      <c r="C640">
        <v>0.45500000000000002</v>
      </c>
      <c r="D640">
        <v>0.32500000000000001</v>
      </c>
      <c r="E640">
        <v>0.13500000000000001</v>
      </c>
      <c r="F640">
        <v>0.82</v>
      </c>
      <c r="G640">
        <v>0.40050000000000002</v>
      </c>
      <c r="H640">
        <v>0.17150000000000001</v>
      </c>
      <c r="I640">
        <v>0.21099999999999999</v>
      </c>
      <c r="J640">
        <v>8</v>
      </c>
      <c r="K640">
        <v>12</v>
      </c>
      <c r="L640" t="s">
        <v>58</v>
      </c>
      <c r="M640" t="s">
        <v>59</v>
      </c>
      <c r="N640" t="s">
        <v>45</v>
      </c>
      <c r="O640">
        <v>3</v>
      </c>
      <c r="P640" t="s">
        <v>10</v>
      </c>
      <c r="Q640">
        <v>3.6</v>
      </c>
    </row>
    <row r="641" spans="1:17">
      <c r="A641">
        <v>3899</v>
      </c>
      <c r="B641" t="s">
        <v>75</v>
      </c>
      <c r="C641">
        <v>0.56499999999999995</v>
      </c>
      <c r="D641">
        <v>0.46</v>
      </c>
      <c r="E641">
        <v>0.15</v>
      </c>
      <c r="F641">
        <v>0.87649999999999995</v>
      </c>
      <c r="G641">
        <v>0.34549999999999997</v>
      </c>
      <c r="H641">
        <v>0.1925</v>
      </c>
      <c r="I641">
        <v>0.27500000000000002</v>
      </c>
      <c r="J641">
        <v>10</v>
      </c>
      <c r="K641">
        <v>7</v>
      </c>
      <c r="L641" t="s">
        <v>62</v>
      </c>
      <c r="M641" t="s">
        <v>63</v>
      </c>
      <c r="N641" t="s">
        <v>64</v>
      </c>
      <c r="O641">
        <v>9</v>
      </c>
      <c r="P641" t="s">
        <v>9</v>
      </c>
      <c r="Q641">
        <v>1.9</v>
      </c>
    </row>
    <row r="642" spans="1:17">
      <c r="A642">
        <v>686</v>
      </c>
      <c r="B642" t="s">
        <v>75</v>
      </c>
      <c r="C642">
        <v>0.56499999999999995</v>
      </c>
      <c r="D642">
        <v>0.44</v>
      </c>
      <c r="E642">
        <v>0.185</v>
      </c>
      <c r="F642">
        <v>0.90900000000000003</v>
      </c>
      <c r="G642">
        <v>0.34399999999999997</v>
      </c>
      <c r="H642">
        <v>0.23250000000000001</v>
      </c>
      <c r="I642">
        <v>0.255</v>
      </c>
      <c r="J642">
        <v>15</v>
      </c>
      <c r="K642">
        <v>9</v>
      </c>
      <c r="L642" t="s">
        <v>34</v>
      </c>
      <c r="M642" t="s">
        <v>35</v>
      </c>
      <c r="N642" t="s">
        <v>36</v>
      </c>
      <c r="O642">
        <v>7</v>
      </c>
      <c r="P642" t="s">
        <v>6</v>
      </c>
      <c r="Q642">
        <v>2.5</v>
      </c>
    </row>
    <row r="643" spans="1:17">
      <c r="A643">
        <v>1316</v>
      </c>
      <c r="B643" t="s">
        <v>75</v>
      </c>
      <c r="C643">
        <v>0.55000000000000004</v>
      </c>
      <c r="D643">
        <v>0.42499999999999999</v>
      </c>
      <c r="E643">
        <v>0.13500000000000001</v>
      </c>
      <c r="F643">
        <v>0.73050000000000004</v>
      </c>
      <c r="G643">
        <v>0.33250000000000002</v>
      </c>
      <c r="H643">
        <v>0.1545</v>
      </c>
      <c r="I643">
        <v>0.215</v>
      </c>
      <c r="J643">
        <v>9</v>
      </c>
      <c r="K643">
        <v>4</v>
      </c>
      <c r="L643" t="s">
        <v>40</v>
      </c>
      <c r="M643" t="s">
        <v>41</v>
      </c>
      <c r="N643" t="s">
        <v>42</v>
      </c>
      <c r="O643">
        <v>8</v>
      </c>
      <c r="P643" t="s">
        <v>13</v>
      </c>
      <c r="Q643">
        <v>12.3</v>
      </c>
    </row>
    <row r="644" spans="1:17">
      <c r="A644">
        <v>3900</v>
      </c>
      <c r="B644" t="s">
        <v>75</v>
      </c>
      <c r="C644">
        <v>0.14000000000000001</v>
      </c>
      <c r="D644">
        <v>0.105</v>
      </c>
      <c r="E644">
        <v>3.5000000000000003E-2</v>
      </c>
      <c r="F644">
        <v>1.4500000000000001E-2</v>
      </c>
      <c r="G644">
        <v>5.0000000000000001E-3</v>
      </c>
      <c r="H644">
        <v>3.5000000000000001E-3</v>
      </c>
      <c r="I644">
        <v>5.0000000000000001E-3</v>
      </c>
      <c r="J644">
        <v>4</v>
      </c>
      <c r="K644">
        <v>12</v>
      </c>
      <c r="L644" t="s">
        <v>58</v>
      </c>
      <c r="M644" t="s">
        <v>59</v>
      </c>
      <c r="N644" t="s">
        <v>45</v>
      </c>
      <c r="O644">
        <v>5</v>
      </c>
      <c r="P644" t="s">
        <v>12</v>
      </c>
      <c r="Q644">
        <v>12.8</v>
      </c>
    </row>
    <row r="645" spans="1:17">
      <c r="A645">
        <v>2550</v>
      </c>
      <c r="B645" t="s">
        <v>75</v>
      </c>
      <c r="C645">
        <v>0.28000000000000003</v>
      </c>
      <c r="D645">
        <v>0.21</v>
      </c>
      <c r="E645">
        <v>5.5E-2</v>
      </c>
      <c r="F645">
        <v>0.106</v>
      </c>
      <c r="G645">
        <v>4.1500000000000002E-2</v>
      </c>
      <c r="H645">
        <v>2.6499999999999999E-2</v>
      </c>
      <c r="I645">
        <v>3.1E-2</v>
      </c>
      <c r="J645">
        <v>5</v>
      </c>
      <c r="K645">
        <v>6</v>
      </c>
      <c r="L645" t="s">
        <v>46</v>
      </c>
      <c r="M645" t="s">
        <v>47</v>
      </c>
      <c r="N645" t="s">
        <v>48</v>
      </c>
      <c r="O645">
        <v>6</v>
      </c>
      <c r="P645" t="s">
        <v>7</v>
      </c>
      <c r="Q645">
        <v>14.1</v>
      </c>
    </row>
    <row r="646" spans="1:17">
      <c r="A646">
        <v>1128</v>
      </c>
      <c r="B646" t="s">
        <v>75</v>
      </c>
      <c r="C646">
        <v>0.56000000000000005</v>
      </c>
      <c r="D646">
        <v>0.44500000000000001</v>
      </c>
      <c r="E646">
        <v>0.16</v>
      </c>
      <c r="F646">
        <v>0.89649999999999996</v>
      </c>
      <c r="G646">
        <v>0.42</v>
      </c>
      <c r="H646">
        <v>0.2175</v>
      </c>
      <c r="I646">
        <v>0.2215</v>
      </c>
      <c r="J646">
        <v>8</v>
      </c>
      <c r="K646">
        <v>11</v>
      </c>
      <c r="L646" t="s">
        <v>65</v>
      </c>
      <c r="M646" t="s">
        <v>66</v>
      </c>
      <c r="N646" t="s">
        <v>45</v>
      </c>
      <c r="O646">
        <v>3</v>
      </c>
      <c r="P646" t="s">
        <v>10</v>
      </c>
      <c r="Q646">
        <v>3.6</v>
      </c>
    </row>
    <row r="647" spans="1:17">
      <c r="A647">
        <v>1264</v>
      </c>
      <c r="B647" t="s">
        <v>75</v>
      </c>
      <c r="C647">
        <v>0.45500000000000002</v>
      </c>
      <c r="D647">
        <v>0.36499999999999999</v>
      </c>
      <c r="E647">
        <v>0.115</v>
      </c>
      <c r="F647">
        <v>0.43049999999999999</v>
      </c>
      <c r="G647">
        <v>0.184</v>
      </c>
      <c r="H647">
        <v>0.108</v>
      </c>
      <c r="I647">
        <v>0.1245</v>
      </c>
      <c r="J647">
        <v>8</v>
      </c>
      <c r="K647">
        <v>3</v>
      </c>
      <c r="L647" t="s">
        <v>52</v>
      </c>
      <c r="M647" t="s">
        <v>53</v>
      </c>
      <c r="N647" t="s">
        <v>54</v>
      </c>
      <c r="O647">
        <v>1</v>
      </c>
      <c r="P647" t="s">
        <v>4</v>
      </c>
      <c r="Q647">
        <v>22.1</v>
      </c>
    </row>
    <row r="648" spans="1:17">
      <c r="A648">
        <v>506</v>
      </c>
      <c r="B648" t="s">
        <v>75</v>
      </c>
      <c r="C648">
        <v>0.6</v>
      </c>
      <c r="D648">
        <v>0.47</v>
      </c>
      <c r="E648">
        <v>0.17499999999999999</v>
      </c>
      <c r="F648">
        <v>1.105</v>
      </c>
      <c r="G648">
        <v>0.48649999999999999</v>
      </c>
      <c r="H648">
        <v>0.247</v>
      </c>
      <c r="I648">
        <v>0.315</v>
      </c>
      <c r="J648">
        <v>15</v>
      </c>
      <c r="K648">
        <v>2</v>
      </c>
      <c r="L648" t="s">
        <v>49</v>
      </c>
      <c r="M648" t="s">
        <v>50</v>
      </c>
      <c r="N648" t="s">
        <v>51</v>
      </c>
      <c r="O648">
        <v>1</v>
      </c>
      <c r="P648" t="s">
        <v>4</v>
      </c>
      <c r="Q648">
        <v>22.1</v>
      </c>
    </row>
    <row r="649" spans="1:17">
      <c r="A649">
        <v>2174</v>
      </c>
      <c r="B649" t="s">
        <v>75</v>
      </c>
      <c r="C649">
        <v>0.59499999999999997</v>
      </c>
      <c r="D649">
        <v>0.46500000000000002</v>
      </c>
      <c r="E649">
        <v>0.125</v>
      </c>
      <c r="F649">
        <v>0.79900000000000004</v>
      </c>
      <c r="G649">
        <v>0.32450000000000001</v>
      </c>
      <c r="H649">
        <v>0.2</v>
      </c>
      <c r="I649">
        <v>0.23</v>
      </c>
      <c r="J649">
        <v>10</v>
      </c>
      <c r="K649">
        <v>8</v>
      </c>
      <c r="L649" t="s">
        <v>55</v>
      </c>
      <c r="M649" t="s">
        <v>56</v>
      </c>
      <c r="N649" t="s">
        <v>57</v>
      </c>
      <c r="O649">
        <v>9</v>
      </c>
      <c r="P649" t="s">
        <v>9</v>
      </c>
      <c r="Q649">
        <v>1.9</v>
      </c>
    </row>
    <row r="650" spans="1:17">
      <c r="A650">
        <v>438</v>
      </c>
      <c r="B650" t="s">
        <v>75</v>
      </c>
      <c r="C650">
        <v>0.38500000000000001</v>
      </c>
      <c r="D650">
        <v>0.30499999999999999</v>
      </c>
      <c r="E650">
        <v>9.5000000000000001E-2</v>
      </c>
      <c r="F650">
        <v>0.252</v>
      </c>
      <c r="G650">
        <v>9.1499999999999998E-2</v>
      </c>
      <c r="H650">
        <v>5.5E-2</v>
      </c>
      <c r="I650">
        <v>0.09</v>
      </c>
      <c r="J650">
        <v>14</v>
      </c>
      <c r="K650">
        <v>2</v>
      </c>
      <c r="L650" t="s">
        <v>49</v>
      </c>
      <c r="M650" t="s">
        <v>50</v>
      </c>
      <c r="N650" t="s">
        <v>51</v>
      </c>
      <c r="O650">
        <v>6</v>
      </c>
      <c r="P650" t="s">
        <v>7</v>
      </c>
      <c r="Q650">
        <v>14.1</v>
      </c>
    </row>
    <row r="651" spans="1:17">
      <c r="A651">
        <v>3321</v>
      </c>
      <c r="B651" t="s">
        <v>75</v>
      </c>
      <c r="C651">
        <v>0.53500000000000003</v>
      </c>
      <c r="D651">
        <v>0.42499999999999999</v>
      </c>
      <c r="E651">
        <v>0.155</v>
      </c>
      <c r="F651">
        <v>0.77649999999999997</v>
      </c>
      <c r="G651">
        <v>0.30199999999999999</v>
      </c>
      <c r="H651">
        <v>0.1565</v>
      </c>
      <c r="I651">
        <v>0.25</v>
      </c>
      <c r="J651">
        <v>16</v>
      </c>
      <c r="K651">
        <v>7</v>
      </c>
      <c r="L651" t="s">
        <v>62</v>
      </c>
      <c r="M651" t="s">
        <v>63</v>
      </c>
      <c r="N651" t="s">
        <v>64</v>
      </c>
      <c r="O651">
        <v>9</v>
      </c>
      <c r="P651" t="s">
        <v>9</v>
      </c>
      <c r="Q651">
        <v>1.9</v>
      </c>
    </row>
    <row r="652" spans="1:17">
      <c r="A652">
        <v>2005</v>
      </c>
      <c r="B652" t="s">
        <v>75</v>
      </c>
      <c r="C652">
        <v>0.375</v>
      </c>
      <c r="D652">
        <v>0.27500000000000002</v>
      </c>
      <c r="E652">
        <v>8.5000000000000006E-2</v>
      </c>
      <c r="F652">
        <v>0.22</v>
      </c>
      <c r="G652">
        <v>0.109</v>
      </c>
      <c r="H652">
        <v>0.05</v>
      </c>
      <c r="I652">
        <v>6.0499999999999998E-2</v>
      </c>
      <c r="J652">
        <v>7</v>
      </c>
      <c r="K652">
        <v>15</v>
      </c>
      <c r="L652" t="s">
        <v>60</v>
      </c>
      <c r="M652" t="s">
        <v>61</v>
      </c>
      <c r="N652" t="s">
        <v>45</v>
      </c>
      <c r="O652">
        <v>9</v>
      </c>
      <c r="P652" t="s">
        <v>9</v>
      </c>
      <c r="Q652">
        <v>1.9</v>
      </c>
    </row>
    <row r="653" spans="1:17">
      <c r="A653">
        <v>1288</v>
      </c>
      <c r="B653" t="s">
        <v>75</v>
      </c>
      <c r="C653">
        <v>0.505</v>
      </c>
      <c r="D653">
        <v>0.40500000000000003</v>
      </c>
      <c r="E653">
        <v>0.13</v>
      </c>
      <c r="F653">
        <v>0.60150000000000003</v>
      </c>
      <c r="G653">
        <v>0.30149999999999999</v>
      </c>
      <c r="H653">
        <v>0.11</v>
      </c>
      <c r="I653">
        <v>0.18</v>
      </c>
      <c r="J653">
        <v>8</v>
      </c>
      <c r="K653">
        <v>4</v>
      </c>
      <c r="L653" t="s">
        <v>40</v>
      </c>
      <c r="M653" t="s">
        <v>41</v>
      </c>
      <c r="N653" t="s">
        <v>42</v>
      </c>
      <c r="O653">
        <v>5</v>
      </c>
      <c r="P653" t="s">
        <v>12</v>
      </c>
      <c r="Q653">
        <v>12.8</v>
      </c>
    </row>
    <row r="654" spans="1:17">
      <c r="A654">
        <v>1224</v>
      </c>
      <c r="B654" t="s">
        <v>75</v>
      </c>
      <c r="C654">
        <v>0.34</v>
      </c>
      <c r="D654">
        <v>0.25</v>
      </c>
      <c r="E654">
        <v>0.09</v>
      </c>
      <c r="F654">
        <v>0.17899999999999999</v>
      </c>
      <c r="G654">
        <v>7.7499999999999999E-2</v>
      </c>
      <c r="H654">
        <v>3.3000000000000002E-2</v>
      </c>
      <c r="I654">
        <v>5.5E-2</v>
      </c>
      <c r="J654">
        <v>6</v>
      </c>
      <c r="K654">
        <v>14</v>
      </c>
      <c r="L654" t="s">
        <v>72</v>
      </c>
      <c r="M654" t="s">
        <v>73</v>
      </c>
      <c r="N654" t="s">
        <v>74</v>
      </c>
      <c r="O654">
        <v>8</v>
      </c>
      <c r="P654" t="s">
        <v>13</v>
      </c>
      <c r="Q654">
        <v>12.3</v>
      </c>
    </row>
    <row r="655" spans="1:17">
      <c r="A655">
        <v>3868</v>
      </c>
      <c r="B655" t="s">
        <v>75</v>
      </c>
      <c r="C655">
        <v>0.5</v>
      </c>
      <c r="D655">
        <v>0.39</v>
      </c>
      <c r="E655">
        <v>0.13</v>
      </c>
      <c r="F655">
        <v>0.63549999999999995</v>
      </c>
      <c r="G655">
        <v>0.2505</v>
      </c>
      <c r="H655">
        <v>0.16350000000000001</v>
      </c>
      <c r="I655">
        <v>0.19500000000000001</v>
      </c>
      <c r="J655">
        <v>15</v>
      </c>
      <c r="K655">
        <v>6</v>
      </c>
      <c r="L655" t="s">
        <v>46</v>
      </c>
      <c r="M655" t="s">
        <v>47</v>
      </c>
      <c r="N655" t="s">
        <v>48</v>
      </c>
      <c r="O655">
        <v>10</v>
      </c>
      <c r="P655" t="s">
        <v>11</v>
      </c>
      <c r="Q655">
        <v>24.1</v>
      </c>
    </row>
    <row r="656" spans="1:17">
      <c r="A656">
        <v>301</v>
      </c>
      <c r="B656" t="s">
        <v>75</v>
      </c>
      <c r="C656">
        <v>0.40500000000000003</v>
      </c>
      <c r="D656">
        <v>0.30499999999999999</v>
      </c>
      <c r="E656">
        <v>9.5000000000000001E-2</v>
      </c>
      <c r="F656">
        <v>0.34849999999999998</v>
      </c>
      <c r="G656">
        <v>0.14549999999999999</v>
      </c>
      <c r="H656">
        <v>8.9499999999999996E-2</v>
      </c>
      <c r="I656">
        <v>0.1</v>
      </c>
      <c r="J656">
        <v>9</v>
      </c>
      <c r="K656">
        <v>1</v>
      </c>
      <c r="L656" t="s">
        <v>70</v>
      </c>
      <c r="M656" t="s">
        <v>71</v>
      </c>
      <c r="N656" t="s">
        <v>45</v>
      </c>
      <c r="O656">
        <v>5</v>
      </c>
      <c r="P656" t="s">
        <v>12</v>
      </c>
      <c r="Q656">
        <v>12.8</v>
      </c>
    </row>
    <row r="657" spans="1:17">
      <c r="A657">
        <v>3038</v>
      </c>
      <c r="B657" t="s">
        <v>75</v>
      </c>
      <c r="C657">
        <v>0.56000000000000005</v>
      </c>
      <c r="D657">
        <v>0.45</v>
      </c>
      <c r="E657">
        <v>0.14499999999999999</v>
      </c>
      <c r="F657">
        <v>0.89400000000000002</v>
      </c>
      <c r="G657">
        <v>0.38850000000000001</v>
      </c>
      <c r="H657">
        <v>0.20949999999999999</v>
      </c>
      <c r="I657">
        <v>0.26400000000000001</v>
      </c>
      <c r="J657">
        <v>9</v>
      </c>
      <c r="K657">
        <v>8</v>
      </c>
      <c r="L657" t="s">
        <v>55</v>
      </c>
      <c r="M657" t="s">
        <v>56</v>
      </c>
      <c r="N657" t="s">
        <v>57</v>
      </c>
      <c r="O657">
        <v>4</v>
      </c>
      <c r="P657" t="s">
        <v>8</v>
      </c>
      <c r="Q657">
        <v>6.1</v>
      </c>
    </row>
    <row r="658" spans="1:17">
      <c r="A658">
        <v>38</v>
      </c>
      <c r="B658" t="s">
        <v>75</v>
      </c>
      <c r="C658">
        <v>0.45</v>
      </c>
      <c r="D658">
        <v>0.35499999999999998</v>
      </c>
      <c r="E658">
        <v>0.105</v>
      </c>
      <c r="F658">
        <v>0.52249999999999996</v>
      </c>
      <c r="G658">
        <v>0.23699999999999999</v>
      </c>
      <c r="H658">
        <v>0.11650000000000001</v>
      </c>
      <c r="I658">
        <v>0.14499999999999999</v>
      </c>
      <c r="J658">
        <v>8</v>
      </c>
      <c r="K658">
        <v>13</v>
      </c>
      <c r="L658" t="s">
        <v>43</v>
      </c>
      <c r="M658" t="s">
        <v>44</v>
      </c>
      <c r="N658" t="s">
        <v>45</v>
      </c>
      <c r="O658">
        <v>5</v>
      </c>
      <c r="P658" t="s">
        <v>12</v>
      </c>
      <c r="Q658">
        <v>12.8</v>
      </c>
    </row>
    <row r="659" spans="1:17">
      <c r="A659">
        <v>80</v>
      </c>
      <c r="B659" t="s">
        <v>75</v>
      </c>
      <c r="C659">
        <v>0.61499999999999999</v>
      </c>
      <c r="D659">
        <v>0.47499999999999998</v>
      </c>
      <c r="E659">
        <v>0.17</v>
      </c>
      <c r="F659">
        <v>1.1025</v>
      </c>
      <c r="G659">
        <v>0.46949999999999997</v>
      </c>
      <c r="H659">
        <v>0.23549999999999999</v>
      </c>
      <c r="I659">
        <v>0.34499999999999997</v>
      </c>
      <c r="J659">
        <v>14</v>
      </c>
      <c r="K659">
        <v>15</v>
      </c>
      <c r="L659" t="s">
        <v>60</v>
      </c>
      <c r="M659" t="s">
        <v>61</v>
      </c>
      <c r="N659" t="s">
        <v>45</v>
      </c>
      <c r="O659">
        <v>8</v>
      </c>
      <c r="P659" t="s">
        <v>13</v>
      </c>
      <c r="Q659">
        <v>12.3</v>
      </c>
    </row>
    <row r="660" spans="1:17">
      <c r="A660">
        <v>3811</v>
      </c>
      <c r="B660" t="s">
        <v>75</v>
      </c>
      <c r="C660">
        <v>0.52500000000000002</v>
      </c>
      <c r="D660">
        <v>0.4</v>
      </c>
      <c r="E660">
        <v>0.125</v>
      </c>
      <c r="F660">
        <v>0.5655</v>
      </c>
      <c r="G660">
        <v>0.24349999999999999</v>
      </c>
      <c r="H660">
        <v>0.11899999999999999</v>
      </c>
      <c r="I660">
        <v>0.17499999999999999</v>
      </c>
      <c r="J660">
        <v>8</v>
      </c>
      <c r="K660">
        <v>1</v>
      </c>
      <c r="L660" t="s">
        <v>70</v>
      </c>
      <c r="M660" t="s">
        <v>71</v>
      </c>
      <c r="N660" t="s">
        <v>45</v>
      </c>
      <c r="O660">
        <v>8</v>
      </c>
      <c r="P660" t="s">
        <v>13</v>
      </c>
      <c r="Q660">
        <v>12.3</v>
      </c>
    </row>
    <row r="661" spans="1:17">
      <c r="A661">
        <v>1582</v>
      </c>
      <c r="B661" t="s">
        <v>75</v>
      </c>
      <c r="C661">
        <v>0.5</v>
      </c>
      <c r="D661">
        <v>0.39</v>
      </c>
      <c r="E661">
        <v>0.12</v>
      </c>
      <c r="F661">
        <v>0.59550000000000003</v>
      </c>
      <c r="G661">
        <v>0.2455</v>
      </c>
      <c r="H661">
        <v>0.14699999999999999</v>
      </c>
      <c r="I661">
        <v>0.17299999999999999</v>
      </c>
      <c r="J661">
        <v>8</v>
      </c>
      <c r="K661">
        <v>2</v>
      </c>
      <c r="L661" t="s">
        <v>49</v>
      </c>
      <c r="M661" t="s">
        <v>50</v>
      </c>
      <c r="N661" t="s">
        <v>51</v>
      </c>
      <c r="O661">
        <v>9</v>
      </c>
      <c r="P661" t="s">
        <v>9</v>
      </c>
      <c r="Q661">
        <v>1.9</v>
      </c>
    </row>
    <row r="662" spans="1:17">
      <c r="A662">
        <v>1092</v>
      </c>
      <c r="B662" t="s">
        <v>75</v>
      </c>
      <c r="C662">
        <v>0.45</v>
      </c>
      <c r="D662">
        <v>0.33</v>
      </c>
      <c r="E662">
        <v>0.11</v>
      </c>
      <c r="F662">
        <v>0.36849999999999999</v>
      </c>
      <c r="G662">
        <v>0.16</v>
      </c>
      <c r="H662">
        <v>8.8499999999999995E-2</v>
      </c>
      <c r="I662">
        <v>0.10199999999999999</v>
      </c>
      <c r="J662">
        <v>6</v>
      </c>
      <c r="K662">
        <v>2</v>
      </c>
      <c r="L662" t="s">
        <v>49</v>
      </c>
      <c r="M662" t="s">
        <v>50</v>
      </c>
      <c r="N662" t="s">
        <v>51</v>
      </c>
      <c r="O662">
        <v>3</v>
      </c>
      <c r="P662" t="s">
        <v>10</v>
      </c>
      <c r="Q662">
        <v>3.6</v>
      </c>
    </row>
    <row r="663" spans="1:17">
      <c r="A663">
        <v>4130</v>
      </c>
      <c r="B663" t="s">
        <v>75</v>
      </c>
      <c r="C663">
        <v>0.56999999999999995</v>
      </c>
      <c r="D663">
        <v>0.42499999999999999</v>
      </c>
      <c r="E663">
        <v>0.14000000000000001</v>
      </c>
      <c r="F663">
        <v>0.76549999999999996</v>
      </c>
      <c r="G663">
        <v>0.33100000000000002</v>
      </c>
      <c r="H663">
        <v>0.14000000000000001</v>
      </c>
      <c r="I663">
        <v>0.24</v>
      </c>
      <c r="J663">
        <v>10</v>
      </c>
      <c r="K663">
        <v>5</v>
      </c>
      <c r="L663" t="s">
        <v>67</v>
      </c>
      <c r="M663" t="s">
        <v>68</v>
      </c>
      <c r="N663" t="s">
        <v>69</v>
      </c>
      <c r="O663">
        <v>3</v>
      </c>
      <c r="P663" t="s">
        <v>10</v>
      </c>
      <c r="Q663">
        <v>3.6</v>
      </c>
    </row>
    <row r="664" spans="1:17">
      <c r="A664">
        <v>2237</v>
      </c>
      <c r="B664" t="s">
        <v>75</v>
      </c>
      <c r="C664">
        <v>0.56000000000000005</v>
      </c>
      <c r="D664">
        <v>0.435</v>
      </c>
      <c r="E664">
        <v>0.185</v>
      </c>
      <c r="F664">
        <v>1.1060000000000001</v>
      </c>
      <c r="G664">
        <v>0.42199999999999999</v>
      </c>
      <c r="H664">
        <v>0.24349999999999999</v>
      </c>
      <c r="I664">
        <v>0.33</v>
      </c>
      <c r="J664">
        <v>15</v>
      </c>
      <c r="K664">
        <v>6</v>
      </c>
      <c r="L664" t="s">
        <v>46</v>
      </c>
      <c r="M664" t="s">
        <v>47</v>
      </c>
      <c r="N664" t="s">
        <v>48</v>
      </c>
      <c r="O664">
        <v>6</v>
      </c>
      <c r="P664" t="s">
        <v>7</v>
      </c>
      <c r="Q664">
        <v>14.1</v>
      </c>
    </row>
    <row r="665" spans="1:17">
      <c r="A665">
        <v>2135</v>
      </c>
      <c r="B665" t="s">
        <v>75</v>
      </c>
      <c r="C665">
        <v>0.44</v>
      </c>
      <c r="D665">
        <v>0.33</v>
      </c>
      <c r="E665">
        <v>0.115</v>
      </c>
      <c r="F665">
        <v>0.40050000000000002</v>
      </c>
      <c r="G665">
        <v>0.14299999999999999</v>
      </c>
      <c r="H665">
        <v>0.113</v>
      </c>
      <c r="I665">
        <v>0.12</v>
      </c>
      <c r="J665">
        <v>8</v>
      </c>
      <c r="K665">
        <v>2</v>
      </c>
      <c r="L665" t="s">
        <v>49</v>
      </c>
      <c r="M665" t="s">
        <v>50</v>
      </c>
      <c r="N665" t="s">
        <v>51</v>
      </c>
      <c r="O665">
        <v>1</v>
      </c>
      <c r="P665" t="s">
        <v>4</v>
      </c>
      <c r="Q665">
        <v>22.1</v>
      </c>
    </row>
    <row r="666" spans="1:17">
      <c r="A666">
        <v>3439</v>
      </c>
      <c r="B666" t="s">
        <v>75</v>
      </c>
      <c r="C666">
        <v>0.43</v>
      </c>
      <c r="D666">
        <v>0.33500000000000002</v>
      </c>
      <c r="E666">
        <v>0.105</v>
      </c>
      <c r="F666">
        <v>0.378</v>
      </c>
      <c r="G666">
        <v>0.188</v>
      </c>
      <c r="H666">
        <v>7.85E-2</v>
      </c>
      <c r="I666">
        <v>0.09</v>
      </c>
      <c r="J666">
        <v>6</v>
      </c>
      <c r="K666">
        <v>4</v>
      </c>
      <c r="L666" t="s">
        <v>40</v>
      </c>
      <c r="M666" t="s">
        <v>41</v>
      </c>
      <c r="N666" t="s">
        <v>42</v>
      </c>
      <c r="O666">
        <v>8</v>
      </c>
      <c r="P666" t="s">
        <v>13</v>
      </c>
      <c r="Q666">
        <v>12.3</v>
      </c>
    </row>
    <row r="667" spans="1:17">
      <c r="A667">
        <v>703</v>
      </c>
      <c r="B667" t="s">
        <v>75</v>
      </c>
      <c r="C667">
        <v>0.44500000000000001</v>
      </c>
      <c r="D667">
        <v>0.33</v>
      </c>
      <c r="E667">
        <v>0.105</v>
      </c>
      <c r="F667">
        <v>0.45250000000000001</v>
      </c>
      <c r="G667">
        <v>0.18</v>
      </c>
      <c r="H667">
        <v>0.10299999999999999</v>
      </c>
      <c r="I667">
        <v>0.123</v>
      </c>
      <c r="J667">
        <v>9</v>
      </c>
      <c r="K667">
        <v>9</v>
      </c>
      <c r="L667" t="s">
        <v>34</v>
      </c>
      <c r="M667" t="s">
        <v>35</v>
      </c>
      <c r="N667" t="s">
        <v>36</v>
      </c>
      <c r="O667">
        <v>7</v>
      </c>
      <c r="P667" t="s">
        <v>6</v>
      </c>
      <c r="Q667">
        <v>2.5</v>
      </c>
    </row>
    <row r="668" spans="1:17">
      <c r="A668">
        <v>2362</v>
      </c>
      <c r="B668" t="s">
        <v>75</v>
      </c>
      <c r="C668">
        <v>0.55000000000000004</v>
      </c>
      <c r="D668">
        <v>0.45</v>
      </c>
      <c r="E668">
        <v>0.155</v>
      </c>
      <c r="F668">
        <v>0.78949999999999998</v>
      </c>
      <c r="G668">
        <v>0.34300000000000003</v>
      </c>
      <c r="H668">
        <v>0.159</v>
      </c>
      <c r="I668">
        <v>0.25</v>
      </c>
      <c r="J668">
        <v>12</v>
      </c>
      <c r="K668">
        <v>4</v>
      </c>
      <c r="L668" t="s">
        <v>40</v>
      </c>
      <c r="M668" t="s">
        <v>41</v>
      </c>
      <c r="N668" t="s">
        <v>42</v>
      </c>
      <c r="O668">
        <v>8</v>
      </c>
      <c r="P668" t="s">
        <v>13</v>
      </c>
      <c r="Q668">
        <v>12.3</v>
      </c>
    </row>
    <row r="669" spans="1:17">
      <c r="A669">
        <v>337</v>
      </c>
      <c r="B669" t="s">
        <v>75</v>
      </c>
      <c r="C669">
        <v>0.6</v>
      </c>
      <c r="D669">
        <v>0.47499999999999998</v>
      </c>
      <c r="E669">
        <v>0.19</v>
      </c>
      <c r="F669">
        <v>1.0874999999999999</v>
      </c>
      <c r="G669">
        <v>0.40300000000000002</v>
      </c>
      <c r="H669">
        <v>0.26550000000000001</v>
      </c>
      <c r="I669">
        <v>0.32500000000000001</v>
      </c>
      <c r="J669">
        <v>14</v>
      </c>
      <c r="K669">
        <v>3</v>
      </c>
      <c r="L669" t="s">
        <v>52</v>
      </c>
      <c r="M669" t="s">
        <v>53</v>
      </c>
      <c r="N669" t="s">
        <v>54</v>
      </c>
      <c r="O669">
        <v>3</v>
      </c>
      <c r="P669" t="s">
        <v>10</v>
      </c>
      <c r="Q669">
        <v>3.6</v>
      </c>
    </row>
    <row r="670" spans="1:17">
      <c r="A670">
        <v>2000</v>
      </c>
      <c r="B670" t="s">
        <v>76</v>
      </c>
      <c r="C670">
        <v>0.35</v>
      </c>
      <c r="D670">
        <v>0.25</v>
      </c>
      <c r="E670">
        <v>7.0000000000000007E-2</v>
      </c>
      <c r="F670">
        <v>0.1605</v>
      </c>
      <c r="G670">
        <v>7.1499999999999994E-2</v>
      </c>
      <c r="H670">
        <v>3.3500000000000002E-2</v>
      </c>
      <c r="I670">
        <v>4.5999999999999999E-2</v>
      </c>
      <c r="J670">
        <v>6</v>
      </c>
      <c r="K670">
        <v>1</v>
      </c>
      <c r="L670" t="s">
        <v>70</v>
      </c>
      <c r="M670" t="s">
        <v>71</v>
      </c>
      <c r="N670" t="s">
        <v>45</v>
      </c>
      <c r="O670">
        <v>5</v>
      </c>
      <c r="P670" t="s">
        <v>12</v>
      </c>
      <c r="Q670">
        <v>12.8</v>
      </c>
    </row>
    <row r="671" spans="1:17">
      <c r="A671">
        <v>419</v>
      </c>
      <c r="B671" t="s">
        <v>76</v>
      </c>
      <c r="C671">
        <v>0.63</v>
      </c>
      <c r="D671">
        <v>0.5</v>
      </c>
      <c r="E671">
        <v>0.155</v>
      </c>
      <c r="F671">
        <v>1.0049999999999999</v>
      </c>
      <c r="G671">
        <v>0.36699999999999999</v>
      </c>
      <c r="H671">
        <v>0.19900000000000001</v>
      </c>
      <c r="I671">
        <v>0.36</v>
      </c>
      <c r="J671">
        <v>16</v>
      </c>
      <c r="K671">
        <v>1</v>
      </c>
      <c r="L671" t="s">
        <v>70</v>
      </c>
      <c r="M671" t="s">
        <v>71</v>
      </c>
      <c r="N671" t="s">
        <v>45</v>
      </c>
      <c r="O671">
        <v>10</v>
      </c>
      <c r="P671" t="s">
        <v>11</v>
      </c>
      <c r="Q671">
        <v>24.1</v>
      </c>
    </row>
    <row r="672" spans="1:17">
      <c r="A672">
        <v>176</v>
      </c>
      <c r="B672" t="s">
        <v>76</v>
      </c>
      <c r="C672">
        <v>0.36</v>
      </c>
      <c r="D672">
        <v>0.26</v>
      </c>
      <c r="E672">
        <v>0.09</v>
      </c>
      <c r="F672">
        <v>0.17849999999999999</v>
      </c>
      <c r="G672">
        <v>6.4500000000000002E-2</v>
      </c>
      <c r="H672">
        <v>3.6999999999999998E-2</v>
      </c>
      <c r="I672">
        <v>7.4999999999999997E-2</v>
      </c>
      <c r="J672">
        <v>7</v>
      </c>
      <c r="K672">
        <v>9</v>
      </c>
      <c r="L672" t="s">
        <v>34</v>
      </c>
      <c r="M672" t="s">
        <v>35</v>
      </c>
      <c r="N672" t="s">
        <v>36</v>
      </c>
      <c r="O672">
        <v>5</v>
      </c>
      <c r="P672" t="s">
        <v>12</v>
      </c>
      <c r="Q672">
        <v>12.8</v>
      </c>
    </row>
    <row r="673" spans="1:17">
      <c r="A673">
        <v>3207</v>
      </c>
      <c r="B673" t="s">
        <v>76</v>
      </c>
      <c r="C673">
        <v>0.29499999999999998</v>
      </c>
      <c r="D673">
        <v>0.215</v>
      </c>
      <c r="E673">
        <v>7.4999999999999997E-2</v>
      </c>
      <c r="F673">
        <v>0.11600000000000001</v>
      </c>
      <c r="G673">
        <v>3.6999999999999998E-2</v>
      </c>
      <c r="H673">
        <v>2.9499999999999998E-2</v>
      </c>
      <c r="I673">
        <v>0.04</v>
      </c>
      <c r="J673">
        <v>8</v>
      </c>
      <c r="K673">
        <v>14</v>
      </c>
      <c r="L673" t="s">
        <v>72</v>
      </c>
      <c r="M673" t="s">
        <v>73</v>
      </c>
      <c r="N673" t="s">
        <v>74</v>
      </c>
      <c r="O673">
        <v>3</v>
      </c>
      <c r="P673" t="s">
        <v>10</v>
      </c>
      <c r="Q673">
        <v>3.6</v>
      </c>
    </row>
    <row r="674" spans="1:17">
      <c r="A674">
        <v>2421</v>
      </c>
      <c r="B674" t="s">
        <v>76</v>
      </c>
      <c r="C674">
        <v>0.35</v>
      </c>
      <c r="D674">
        <v>0.255</v>
      </c>
      <c r="E674">
        <v>8.5000000000000006E-2</v>
      </c>
      <c r="F674">
        <v>0.2145</v>
      </c>
      <c r="G674">
        <v>0.1</v>
      </c>
      <c r="H674">
        <v>4.65E-2</v>
      </c>
      <c r="I674">
        <v>0.06</v>
      </c>
      <c r="J674">
        <v>13</v>
      </c>
      <c r="K674">
        <v>12</v>
      </c>
      <c r="L674" t="s">
        <v>58</v>
      </c>
      <c r="M674" t="s">
        <v>59</v>
      </c>
      <c r="N674" t="s">
        <v>45</v>
      </c>
      <c r="O674">
        <v>6</v>
      </c>
      <c r="P674" t="s">
        <v>7</v>
      </c>
      <c r="Q674">
        <v>14.1</v>
      </c>
    </row>
    <row r="675" spans="1:17">
      <c r="A675">
        <v>29</v>
      </c>
      <c r="B675" t="s">
        <v>76</v>
      </c>
      <c r="C675">
        <v>0.60499999999999998</v>
      </c>
      <c r="D675">
        <v>0.47499999999999998</v>
      </c>
      <c r="E675">
        <v>0.18</v>
      </c>
      <c r="F675">
        <v>0.9365</v>
      </c>
      <c r="G675">
        <v>0.39400000000000002</v>
      </c>
      <c r="H675">
        <v>0.219</v>
      </c>
      <c r="I675">
        <v>0.29499999999999998</v>
      </c>
      <c r="J675">
        <v>15</v>
      </c>
      <c r="K675">
        <v>5</v>
      </c>
      <c r="L675" t="s">
        <v>67</v>
      </c>
      <c r="M675" t="s">
        <v>68</v>
      </c>
      <c r="N675" t="s">
        <v>69</v>
      </c>
      <c r="O675">
        <v>3</v>
      </c>
      <c r="P675" t="s">
        <v>10</v>
      </c>
      <c r="Q675">
        <v>3.6</v>
      </c>
    </row>
    <row r="676" spans="1:17">
      <c r="A676">
        <v>474</v>
      </c>
      <c r="B676" t="s">
        <v>76</v>
      </c>
      <c r="C676">
        <v>0.52</v>
      </c>
      <c r="D676">
        <v>0.40500000000000003</v>
      </c>
      <c r="E676">
        <v>0.12</v>
      </c>
      <c r="F676">
        <v>0.627</v>
      </c>
      <c r="G676">
        <v>0.26450000000000001</v>
      </c>
      <c r="H676">
        <v>0.14149999999999999</v>
      </c>
      <c r="I676">
        <v>0.18099999999999999</v>
      </c>
      <c r="J676">
        <v>11</v>
      </c>
      <c r="K676">
        <v>4</v>
      </c>
      <c r="L676" t="s">
        <v>40</v>
      </c>
      <c r="M676" t="s">
        <v>41</v>
      </c>
      <c r="N676" t="s">
        <v>42</v>
      </c>
      <c r="O676">
        <v>9</v>
      </c>
      <c r="P676" t="s">
        <v>9</v>
      </c>
      <c r="Q676">
        <v>1.9</v>
      </c>
    </row>
    <row r="677" spans="1:17">
      <c r="A677">
        <v>1175</v>
      </c>
      <c r="B677" t="s">
        <v>76</v>
      </c>
      <c r="C677">
        <v>0.63500000000000001</v>
      </c>
      <c r="D677">
        <v>0.495</v>
      </c>
      <c r="E677">
        <v>1.4999999999999999E-2</v>
      </c>
      <c r="F677">
        <v>1.1565000000000001</v>
      </c>
      <c r="G677">
        <v>0.51149999999999995</v>
      </c>
      <c r="H677">
        <v>0.308</v>
      </c>
      <c r="I677">
        <v>0.28849999999999998</v>
      </c>
      <c r="J677">
        <v>9</v>
      </c>
      <c r="K677">
        <v>12</v>
      </c>
      <c r="L677" t="s">
        <v>58</v>
      </c>
      <c r="M677" t="s">
        <v>59</v>
      </c>
      <c r="N677" t="s">
        <v>45</v>
      </c>
      <c r="O677">
        <v>10</v>
      </c>
      <c r="P677" t="s">
        <v>11</v>
      </c>
      <c r="Q677">
        <v>24.1</v>
      </c>
    </row>
    <row r="678" spans="1:17">
      <c r="A678">
        <v>490</v>
      </c>
      <c r="B678" t="s">
        <v>76</v>
      </c>
      <c r="C678">
        <v>0.56999999999999995</v>
      </c>
      <c r="D678">
        <v>0.45500000000000002</v>
      </c>
      <c r="E678">
        <v>0.16500000000000001</v>
      </c>
      <c r="F678">
        <v>1.0595000000000001</v>
      </c>
      <c r="G678">
        <v>0.44</v>
      </c>
      <c r="H678">
        <v>0.2195</v>
      </c>
      <c r="I678">
        <v>0.28499999999999998</v>
      </c>
      <c r="J678">
        <v>14</v>
      </c>
      <c r="K678">
        <v>8</v>
      </c>
      <c r="L678" t="s">
        <v>55</v>
      </c>
      <c r="M678" t="s">
        <v>56</v>
      </c>
      <c r="N678" t="s">
        <v>57</v>
      </c>
      <c r="O678">
        <v>6</v>
      </c>
      <c r="P678" t="s">
        <v>7</v>
      </c>
      <c r="Q678">
        <v>14.1</v>
      </c>
    </row>
    <row r="679" spans="1:17">
      <c r="A679">
        <v>1442</v>
      </c>
      <c r="B679" t="s">
        <v>76</v>
      </c>
      <c r="C679">
        <v>0.40500000000000003</v>
      </c>
      <c r="D679">
        <v>0.3</v>
      </c>
      <c r="E679">
        <v>0.105</v>
      </c>
      <c r="F679">
        <v>0.30399999999999999</v>
      </c>
      <c r="G679">
        <v>0.14549999999999999</v>
      </c>
      <c r="H679">
        <v>6.0999999999999999E-2</v>
      </c>
      <c r="I679">
        <v>8.0500000000000002E-2</v>
      </c>
      <c r="J679">
        <v>6</v>
      </c>
      <c r="K679">
        <v>1</v>
      </c>
      <c r="L679" t="s">
        <v>70</v>
      </c>
      <c r="M679" t="s">
        <v>71</v>
      </c>
      <c r="N679" t="s">
        <v>45</v>
      </c>
      <c r="O679">
        <v>6</v>
      </c>
      <c r="P679" t="s">
        <v>7</v>
      </c>
      <c r="Q679">
        <v>14.1</v>
      </c>
    </row>
    <row r="680" spans="1:17">
      <c r="A680">
        <v>3610</v>
      </c>
      <c r="B680" t="s">
        <v>76</v>
      </c>
      <c r="C680">
        <v>0.55500000000000005</v>
      </c>
      <c r="D680">
        <v>0.40500000000000003</v>
      </c>
      <c r="E680">
        <v>0.12</v>
      </c>
      <c r="F680">
        <v>0.91300000000000003</v>
      </c>
      <c r="G680">
        <v>0.45850000000000002</v>
      </c>
      <c r="H680">
        <v>0.19600000000000001</v>
      </c>
      <c r="I680">
        <v>0.20649999999999999</v>
      </c>
      <c r="J680">
        <v>9</v>
      </c>
      <c r="K680">
        <v>15</v>
      </c>
      <c r="L680" t="s">
        <v>60</v>
      </c>
      <c r="M680" t="s">
        <v>61</v>
      </c>
      <c r="N680" t="s">
        <v>45</v>
      </c>
      <c r="O680">
        <v>6</v>
      </c>
      <c r="P680" t="s">
        <v>7</v>
      </c>
      <c r="Q680">
        <v>14.1</v>
      </c>
    </row>
    <row r="681" spans="1:17">
      <c r="A681">
        <v>826</v>
      </c>
      <c r="B681" t="s">
        <v>76</v>
      </c>
      <c r="C681">
        <v>0.39500000000000002</v>
      </c>
      <c r="D681">
        <v>0.28999999999999998</v>
      </c>
      <c r="E681">
        <v>9.5000000000000001E-2</v>
      </c>
      <c r="F681">
        <v>0.31900000000000001</v>
      </c>
      <c r="G681">
        <v>0.13800000000000001</v>
      </c>
      <c r="H681">
        <v>0.08</v>
      </c>
      <c r="I681">
        <v>8.2000000000000003E-2</v>
      </c>
      <c r="J681">
        <v>7</v>
      </c>
      <c r="K681">
        <v>13</v>
      </c>
      <c r="L681" t="s">
        <v>43</v>
      </c>
      <c r="M681" t="s">
        <v>44</v>
      </c>
      <c r="N681" t="s">
        <v>45</v>
      </c>
      <c r="O681">
        <v>3</v>
      </c>
      <c r="P681" t="s">
        <v>10</v>
      </c>
      <c r="Q681">
        <v>3.6</v>
      </c>
    </row>
    <row r="682" spans="1:17">
      <c r="A682">
        <v>11</v>
      </c>
      <c r="B682" t="s">
        <v>76</v>
      </c>
      <c r="C682">
        <v>0.52500000000000002</v>
      </c>
      <c r="D682">
        <v>0.38</v>
      </c>
      <c r="E682">
        <v>0.14000000000000001</v>
      </c>
      <c r="F682">
        <v>0.60650000000000004</v>
      </c>
      <c r="G682">
        <v>0.19400000000000001</v>
      </c>
      <c r="H682">
        <v>0.14749999999999999</v>
      </c>
      <c r="I682">
        <v>0.21</v>
      </c>
      <c r="J682">
        <v>14</v>
      </c>
      <c r="K682">
        <v>5</v>
      </c>
      <c r="L682" t="s">
        <v>67</v>
      </c>
      <c r="M682" t="s">
        <v>68</v>
      </c>
      <c r="N682" t="s">
        <v>69</v>
      </c>
      <c r="O682">
        <v>9</v>
      </c>
      <c r="P682" t="s">
        <v>9</v>
      </c>
      <c r="Q682">
        <v>1.9</v>
      </c>
    </row>
    <row r="683" spans="1:17">
      <c r="A683">
        <v>3525</v>
      </c>
      <c r="B683" t="s">
        <v>76</v>
      </c>
      <c r="C683">
        <v>0.32</v>
      </c>
      <c r="D683">
        <v>0.24</v>
      </c>
      <c r="E683">
        <v>8.5000000000000006E-2</v>
      </c>
      <c r="F683">
        <v>0.13100000000000001</v>
      </c>
      <c r="G683">
        <v>6.1499999999999999E-2</v>
      </c>
      <c r="H683">
        <v>2.6499999999999999E-2</v>
      </c>
      <c r="I683">
        <v>3.7999999999999999E-2</v>
      </c>
      <c r="J683">
        <v>6</v>
      </c>
      <c r="K683">
        <v>10</v>
      </c>
      <c r="L683" t="s">
        <v>37</v>
      </c>
      <c r="M683" t="s">
        <v>38</v>
      </c>
      <c r="N683" t="s">
        <v>39</v>
      </c>
      <c r="O683">
        <v>8</v>
      </c>
      <c r="P683" t="s">
        <v>13</v>
      </c>
      <c r="Q683">
        <v>12.3</v>
      </c>
    </row>
    <row r="684" spans="1:17">
      <c r="A684">
        <v>690</v>
      </c>
      <c r="B684" t="s">
        <v>76</v>
      </c>
      <c r="C684">
        <v>0.59</v>
      </c>
      <c r="D684">
        <v>0.44</v>
      </c>
      <c r="E684">
        <v>0.15</v>
      </c>
      <c r="F684">
        <v>0.95550000000000002</v>
      </c>
      <c r="G684">
        <v>0.36599999999999999</v>
      </c>
      <c r="H684">
        <v>0.24249999999999999</v>
      </c>
      <c r="I684">
        <v>0.29499999999999998</v>
      </c>
      <c r="J684">
        <v>11</v>
      </c>
      <c r="K684">
        <v>1</v>
      </c>
      <c r="L684" t="s">
        <v>70</v>
      </c>
      <c r="M684" t="s">
        <v>71</v>
      </c>
      <c r="N684" t="s">
        <v>45</v>
      </c>
      <c r="O684">
        <v>6</v>
      </c>
      <c r="P684" t="s">
        <v>7</v>
      </c>
      <c r="Q684">
        <v>14.1</v>
      </c>
    </row>
    <row r="685" spans="1:17">
      <c r="A685">
        <v>1787</v>
      </c>
      <c r="B685" t="s">
        <v>76</v>
      </c>
      <c r="C685">
        <v>0.53500000000000003</v>
      </c>
      <c r="D685">
        <v>0.38500000000000001</v>
      </c>
      <c r="E685">
        <v>0.18</v>
      </c>
      <c r="F685">
        <v>1.0834999999999999</v>
      </c>
      <c r="G685">
        <v>0.4955</v>
      </c>
      <c r="H685">
        <v>0.22950000000000001</v>
      </c>
      <c r="I685">
        <v>0.30399999999999999</v>
      </c>
      <c r="J685">
        <v>8</v>
      </c>
      <c r="K685">
        <v>7</v>
      </c>
      <c r="L685" t="s">
        <v>62</v>
      </c>
      <c r="M685" t="s">
        <v>63</v>
      </c>
      <c r="N685" t="s">
        <v>64</v>
      </c>
      <c r="O685">
        <v>5</v>
      </c>
      <c r="P685" t="s">
        <v>12</v>
      </c>
      <c r="Q685">
        <v>12.8</v>
      </c>
    </row>
    <row r="686" spans="1:17">
      <c r="A686">
        <v>87</v>
      </c>
      <c r="B686" t="s">
        <v>76</v>
      </c>
      <c r="C686">
        <v>0.625</v>
      </c>
      <c r="D686">
        <v>0.46500000000000002</v>
      </c>
      <c r="E686">
        <v>0.14000000000000001</v>
      </c>
      <c r="F686">
        <v>1.1950000000000001</v>
      </c>
      <c r="G686">
        <v>0.48249999999999998</v>
      </c>
      <c r="H686">
        <v>0.20499999999999999</v>
      </c>
      <c r="I686">
        <v>0.4</v>
      </c>
      <c r="J686">
        <v>13</v>
      </c>
      <c r="K686">
        <v>7</v>
      </c>
      <c r="L686" t="s">
        <v>62</v>
      </c>
      <c r="M686" t="s">
        <v>63</v>
      </c>
      <c r="N686" t="s">
        <v>64</v>
      </c>
      <c r="O686">
        <v>3</v>
      </c>
      <c r="P686" t="s">
        <v>10</v>
      </c>
      <c r="Q686">
        <v>3.6</v>
      </c>
    </row>
    <row r="687" spans="1:17">
      <c r="A687">
        <v>3601</v>
      </c>
      <c r="B687" t="s">
        <v>76</v>
      </c>
      <c r="C687">
        <v>0.17499999999999999</v>
      </c>
      <c r="D687">
        <v>0.125</v>
      </c>
      <c r="E687">
        <v>0.04</v>
      </c>
      <c r="F687">
        <v>2.8000000000000001E-2</v>
      </c>
      <c r="G687">
        <v>9.4999999999999998E-3</v>
      </c>
      <c r="H687">
        <v>8.0000000000000002E-3</v>
      </c>
      <c r="I687">
        <v>8.9999999999999993E-3</v>
      </c>
      <c r="J687">
        <v>4</v>
      </c>
      <c r="K687">
        <v>7</v>
      </c>
      <c r="L687" t="s">
        <v>62</v>
      </c>
      <c r="M687" t="s">
        <v>63</v>
      </c>
      <c r="N687" t="s">
        <v>64</v>
      </c>
      <c r="O687">
        <v>2</v>
      </c>
      <c r="P687" t="s">
        <v>5</v>
      </c>
      <c r="Q687">
        <v>18</v>
      </c>
    </row>
    <row r="688" spans="1:17">
      <c r="A688">
        <v>1279</v>
      </c>
      <c r="B688" t="s">
        <v>76</v>
      </c>
      <c r="C688">
        <v>0.495</v>
      </c>
      <c r="D688">
        <v>0.35499999999999998</v>
      </c>
      <c r="E688">
        <v>0.12</v>
      </c>
      <c r="F688">
        <v>0.4965</v>
      </c>
      <c r="G688">
        <v>0.214</v>
      </c>
      <c r="H688">
        <v>0.1045</v>
      </c>
      <c r="I688">
        <v>0.14949999999999999</v>
      </c>
      <c r="J688">
        <v>8</v>
      </c>
      <c r="K688">
        <v>8</v>
      </c>
      <c r="L688" t="s">
        <v>55</v>
      </c>
      <c r="M688" t="s">
        <v>56</v>
      </c>
      <c r="N688" t="s">
        <v>57</v>
      </c>
      <c r="O688">
        <v>3</v>
      </c>
      <c r="P688" t="s">
        <v>10</v>
      </c>
      <c r="Q688">
        <v>3.6</v>
      </c>
    </row>
    <row r="689" spans="1:17">
      <c r="A689">
        <v>2933</v>
      </c>
      <c r="B689" t="s">
        <v>76</v>
      </c>
      <c r="C689">
        <v>0.61499999999999999</v>
      </c>
      <c r="D689">
        <v>0.45500000000000002</v>
      </c>
      <c r="E689">
        <v>0.15</v>
      </c>
      <c r="F689">
        <v>0.9335</v>
      </c>
      <c r="G689">
        <v>0.38200000000000001</v>
      </c>
      <c r="H689">
        <v>0.247</v>
      </c>
      <c r="I689">
        <v>0.26150000000000001</v>
      </c>
      <c r="J689">
        <v>10</v>
      </c>
      <c r="K689">
        <v>8</v>
      </c>
      <c r="L689" t="s">
        <v>55</v>
      </c>
      <c r="M689" t="s">
        <v>56</v>
      </c>
      <c r="N689" t="s">
        <v>57</v>
      </c>
      <c r="O689">
        <v>10</v>
      </c>
      <c r="P689" t="s">
        <v>11</v>
      </c>
      <c r="Q689">
        <v>24.1</v>
      </c>
    </row>
    <row r="690" spans="1:17">
      <c r="A690">
        <v>2995</v>
      </c>
      <c r="B690" t="s">
        <v>76</v>
      </c>
      <c r="C690">
        <v>0.61</v>
      </c>
      <c r="D690">
        <v>0.47499999999999998</v>
      </c>
      <c r="E690">
        <v>0.17499999999999999</v>
      </c>
      <c r="F690">
        <v>1.024</v>
      </c>
      <c r="G690">
        <v>0.40899999999999997</v>
      </c>
      <c r="H690">
        <v>0.26100000000000001</v>
      </c>
      <c r="I690">
        <v>0.32200000000000001</v>
      </c>
      <c r="J690">
        <v>9</v>
      </c>
      <c r="K690">
        <v>8</v>
      </c>
      <c r="L690" t="s">
        <v>55</v>
      </c>
      <c r="M690" t="s">
        <v>56</v>
      </c>
      <c r="N690" t="s">
        <v>57</v>
      </c>
      <c r="O690">
        <v>10</v>
      </c>
      <c r="P690" t="s">
        <v>11</v>
      </c>
      <c r="Q690">
        <v>24.1</v>
      </c>
    </row>
    <row r="691" spans="1:17">
      <c r="A691">
        <v>929</v>
      </c>
      <c r="B691" t="s">
        <v>76</v>
      </c>
      <c r="C691">
        <v>0.435</v>
      </c>
      <c r="D691">
        <v>0.34</v>
      </c>
      <c r="E691">
        <v>0.115</v>
      </c>
      <c r="F691">
        <v>0.39250000000000002</v>
      </c>
      <c r="G691">
        <v>0.1825</v>
      </c>
      <c r="H691">
        <v>7.8E-2</v>
      </c>
      <c r="I691">
        <v>0.1145</v>
      </c>
      <c r="J691">
        <v>6</v>
      </c>
      <c r="K691">
        <v>9</v>
      </c>
      <c r="L691" t="s">
        <v>34</v>
      </c>
      <c r="M691" t="s">
        <v>35</v>
      </c>
      <c r="N691" t="s">
        <v>36</v>
      </c>
      <c r="O691">
        <v>6</v>
      </c>
      <c r="P691" t="s">
        <v>7</v>
      </c>
      <c r="Q691">
        <v>14.1</v>
      </c>
    </row>
    <row r="692" spans="1:17">
      <c r="A692">
        <v>2690</v>
      </c>
      <c r="B692" t="s">
        <v>76</v>
      </c>
      <c r="C692">
        <v>0.64500000000000002</v>
      </c>
      <c r="D692">
        <v>0.51500000000000001</v>
      </c>
      <c r="E692">
        <v>0.16</v>
      </c>
      <c r="F692">
        <v>1.1845000000000001</v>
      </c>
      <c r="G692">
        <v>0.50600000000000001</v>
      </c>
      <c r="H692">
        <v>0.311</v>
      </c>
      <c r="I692">
        <v>0.33500000000000002</v>
      </c>
      <c r="J692">
        <v>9</v>
      </c>
      <c r="K692">
        <v>2</v>
      </c>
      <c r="L692" t="s">
        <v>49</v>
      </c>
      <c r="M692" t="s">
        <v>50</v>
      </c>
      <c r="N692" t="s">
        <v>51</v>
      </c>
      <c r="O692">
        <v>3</v>
      </c>
      <c r="P692" t="s">
        <v>10</v>
      </c>
      <c r="Q692">
        <v>3.6</v>
      </c>
    </row>
    <row r="693" spans="1:17">
      <c r="A693">
        <v>3199</v>
      </c>
      <c r="B693" t="s">
        <v>76</v>
      </c>
      <c r="C693">
        <v>0.45</v>
      </c>
      <c r="D693">
        <v>0.33500000000000002</v>
      </c>
      <c r="E693">
        <v>0.14000000000000001</v>
      </c>
      <c r="F693">
        <v>0.47799999999999998</v>
      </c>
      <c r="G693">
        <v>0.1865</v>
      </c>
      <c r="H693">
        <v>0.115</v>
      </c>
      <c r="I693">
        <v>0.16</v>
      </c>
      <c r="J693">
        <v>11</v>
      </c>
      <c r="K693">
        <v>13</v>
      </c>
      <c r="L693" t="s">
        <v>43</v>
      </c>
      <c r="M693" t="s">
        <v>44</v>
      </c>
      <c r="N693" t="s">
        <v>45</v>
      </c>
      <c r="O693">
        <v>9</v>
      </c>
      <c r="P693" t="s">
        <v>9</v>
      </c>
      <c r="Q693">
        <v>1.9</v>
      </c>
    </row>
    <row r="694" spans="1:17">
      <c r="A694">
        <v>3978</v>
      </c>
      <c r="B694" t="s">
        <v>76</v>
      </c>
      <c r="C694">
        <v>0.47499999999999998</v>
      </c>
      <c r="D694">
        <v>0.35</v>
      </c>
      <c r="E694">
        <v>0.12</v>
      </c>
      <c r="F694">
        <v>0.49049999999999999</v>
      </c>
      <c r="G694">
        <v>0.20349999999999999</v>
      </c>
      <c r="H694">
        <v>0.13</v>
      </c>
      <c r="I694">
        <v>0.13500000000000001</v>
      </c>
      <c r="J694">
        <v>7</v>
      </c>
      <c r="K694">
        <v>15</v>
      </c>
      <c r="L694" t="s">
        <v>60</v>
      </c>
      <c r="M694" t="s">
        <v>61</v>
      </c>
      <c r="N694" t="s">
        <v>45</v>
      </c>
      <c r="O694">
        <v>2</v>
      </c>
      <c r="P694" t="s">
        <v>5</v>
      </c>
      <c r="Q694">
        <v>18</v>
      </c>
    </row>
    <row r="695" spans="1:17">
      <c r="A695">
        <v>1261</v>
      </c>
      <c r="B695" t="s">
        <v>76</v>
      </c>
      <c r="C695">
        <v>0.44</v>
      </c>
      <c r="D695">
        <v>0.34</v>
      </c>
      <c r="E695">
        <v>0.12</v>
      </c>
      <c r="F695">
        <v>0.438</v>
      </c>
      <c r="G695">
        <v>0.21149999999999999</v>
      </c>
      <c r="H695">
        <v>8.3000000000000004E-2</v>
      </c>
      <c r="I695">
        <v>0.12</v>
      </c>
      <c r="J695">
        <v>9</v>
      </c>
      <c r="K695">
        <v>1</v>
      </c>
      <c r="L695" t="s">
        <v>70</v>
      </c>
      <c r="M695" t="s">
        <v>71</v>
      </c>
      <c r="N695" t="s">
        <v>45</v>
      </c>
      <c r="O695">
        <v>6</v>
      </c>
      <c r="P695" t="s">
        <v>7</v>
      </c>
      <c r="Q695">
        <v>14.1</v>
      </c>
    </row>
    <row r="696" spans="1:17">
      <c r="A696">
        <v>1912</v>
      </c>
      <c r="B696" t="s">
        <v>76</v>
      </c>
      <c r="C696">
        <v>0.57999999999999996</v>
      </c>
      <c r="D696">
        <v>0.44</v>
      </c>
      <c r="E696">
        <v>0.15</v>
      </c>
      <c r="F696">
        <v>1.0465</v>
      </c>
      <c r="G696">
        <v>0.51800000000000002</v>
      </c>
      <c r="H696">
        <v>0.2185</v>
      </c>
      <c r="I696">
        <v>0.27950000000000003</v>
      </c>
      <c r="J696">
        <v>10</v>
      </c>
      <c r="K696">
        <v>13</v>
      </c>
      <c r="L696" t="s">
        <v>43</v>
      </c>
      <c r="M696" t="s">
        <v>44</v>
      </c>
      <c r="N696" t="s">
        <v>45</v>
      </c>
      <c r="O696">
        <v>1</v>
      </c>
      <c r="P696" t="s">
        <v>4</v>
      </c>
      <c r="Q696">
        <v>22.1</v>
      </c>
    </row>
    <row r="697" spans="1:17">
      <c r="A697">
        <v>674</v>
      </c>
      <c r="B697" t="s">
        <v>76</v>
      </c>
      <c r="C697">
        <v>0.49</v>
      </c>
      <c r="D697">
        <v>0.39</v>
      </c>
      <c r="E697">
        <v>0.15</v>
      </c>
      <c r="F697">
        <v>0.57299999999999995</v>
      </c>
      <c r="G697">
        <v>0.22500000000000001</v>
      </c>
      <c r="H697">
        <v>0.124</v>
      </c>
      <c r="I697">
        <v>0.17</v>
      </c>
      <c r="J697">
        <v>21</v>
      </c>
      <c r="K697">
        <v>10</v>
      </c>
      <c r="L697" t="s">
        <v>37</v>
      </c>
      <c r="M697" t="s">
        <v>38</v>
      </c>
      <c r="N697" t="s">
        <v>39</v>
      </c>
      <c r="O697">
        <v>7</v>
      </c>
      <c r="P697" t="s">
        <v>6</v>
      </c>
      <c r="Q697">
        <v>2.5</v>
      </c>
    </row>
    <row r="698" spans="1:17">
      <c r="A698">
        <v>968</v>
      </c>
      <c r="B698" t="s">
        <v>76</v>
      </c>
      <c r="C698">
        <v>0.51</v>
      </c>
      <c r="D698">
        <v>0.40500000000000003</v>
      </c>
      <c r="E698">
        <v>0.13500000000000001</v>
      </c>
      <c r="F698">
        <v>0.76900000000000002</v>
      </c>
      <c r="G698">
        <v>0.36549999999999999</v>
      </c>
      <c r="H698">
        <v>0.1585</v>
      </c>
      <c r="I698">
        <v>0.18</v>
      </c>
      <c r="J698">
        <v>7</v>
      </c>
      <c r="K698">
        <v>15</v>
      </c>
      <c r="L698" t="s">
        <v>60</v>
      </c>
      <c r="M698" t="s">
        <v>61</v>
      </c>
      <c r="N698" t="s">
        <v>45</v>
      </c>
      <c r="O698">
        <v>7</v>
      </c>
      <c r="P698" t="s">
        <v>6</v>
      </c>
      <c r="Q698">
        <v>2.5</v>
      </c>
    </row>
    <row r="699" spans="1:17">
      <c r="A699">
        <v>533</v>
      </c>
      <c r="B699" t="s">
        <v>76</v>
      </c>
      <c r="C699">
        <v>0.47</v>
      </c>
      <c r="D699">
        <v>0.37</v>
      </c>
      <c r="E699">
        <v>0.12</v>
      </c>
      <c r="F699">
        <v>0.47049999999999997</v>
      </c>
      <c r="G699">
        <v>0.1845</v>
      </c>
      <c r="H699">
        <v>0.1055</v>
      </c>
      <c r="I699">
        <v>0.155</v>
      </c>
      <c r="J699">
        <v>12</v>
      </c>
      <c r="K699">
        <v>12</v>
      </c>
      <c r="L699" t="s">
        <v>58</v>
      </c>
      <c r="M699" t="s">
        <v>59</v>
      </c>
      <c r="N699" t="s">
        <v>45</v>
      </c>
      <c r="O699">
        <v>3</v>
      </c>
      <c r="P699" t="s">
        <v>10</v>
      </c>
      <c r="Q699">
        <v>3.6</v>
      </c>
    </row>
    <row r="700" spans="1:17">
      <c r="A700">
        <v>898</v>
      </c>
      <c r="B700" t="s">
        <v>76</v>
      </c>
      <c r="C700">
        <v>0.26500000000000001</v>
      </c>
      <c r="D700">
        <v>0.19500000000000001</v>
      </c>
      <c r="E700">
        <v>0.06</v>
      </c>
      <c r="F700">
        <v>9.1999999999999998E-2</v>
      </c>
      <c r="G700">
        <v>3.4500000000000003E-2</v>
      </c>
      <c r="H700">
        <v>2.5000000000000001E-2</v>
      </c>
      <c r="I700">
        <v>2.4500000000000001E-2</v>
      </c>
      <c r="J700">
        <v>6</v>
      </c>
      <c r="K700">
        <v>6</v>
      </c>
      <c r="L700" t="s">
        <v>46</v>
      </c>
      <c r="M700" t="s">
        <v>47</v>
      </c>
      <c r="N700" t="s">
        <v>48</v>
      </c>
      <c r="O700">
        <v>10</v>
      </c>
      <c r="P700" t="s">
        <v>11</v>
      </c>
      <c r="Q700">
        <v>24.1</v>
      </c>
    </row>
    <row r="701" spans="1:17">
      <c r="A701">
        <v>1884</v>
      </c>
      <c r="B701" t="s">
        <v>76</v>
      </c>
      <c r="C701">
        <v>0.55500000000000005</v>
      </c>
      <c r="D701">
        <v>0.41</v>
      </c>
      <c r="E701">
        <v>0.125</v>
      </c>
      <c r="F701">
        <v>0.59899999999999998</v>
      </c>
      <c r="G701">
        <v>0.23449999999999999</v>
      </c>
      <c r="H701">
        <v>0.14649999999999999</v>
      </c>
      <c r="I701">
        <v>0.19400000000000001</v>
      </c>
      <c r="J701">
        <v>8</v>
      </c>
      <c r="K701">
        <v>12</v>
      </c>
      <c r="L701" t="s">
        <v>58</v>
      </c>
      <c r="M701" t="s">
        <v>59</v>
      </c>
      <c r="N701" t="s">
        <v>45</v>
      </c>
      <c r="O701">
        <v>5</v>
      </c>
      <c r="P701" t="s">
        <v>12</v>
      </c>
      <c r="Q701">
        <v>12.8</v>
      </c>
    </row>
    <row r="702" spans="1:17">
      <c r="A702">
        <v>687</v>
      </c>
      <c r="B702" t="s">
        <v>76</v>
      </c>
      <c r="C702">
        <v>0.53500000000000003</v>
      </c>
      <c r="D702">
        <v>0.4</v>
      </c>
      <c r="E702">
        <v>0.15</v>
      </c>
      <c r="F702">
        <v>0.80449999999999999</v>
      </c>
      <c r="G702">
        <v>0.33450000000000002</v>
      </c>
      <c r="H702">
        <v>0.21249999999999999</v>
      </c>
      <c r="I702">
        <v>0.21</v>
      </c>
      <c r="J702">
        <v>13</v>
      </c>
      <c r="K702">
        <v>13</v>
      </c>
      <c r="L702" t="s">
        <v>43</v>
      </c>
      <c r="M702" t="s">
        <v>44</v>
      </c>
      <c r="N702" t="s">
        <v>45</v>
      </c>
      <c r="O702">
        <v>7</v>
      </c>
      <c r="P702" t="s">
        <v>6</v>
      </c>
      <c r="Q702">
        <v>2.5</v>
      </c>
    </row>
    <row r="703" spans="1:17">
      <c r="A703">
        <v>83</v>
      </c>
      <c r="B703" t="s">
        <v>76</v>
      </c>
      <c r="C703">
        <v>0.52</v>
      </c>
      <c r="D703">
        <v>0.42499999999999999</v>
      </c>
      <c r="E703">
        <v>0.16500000000000001</v>
      </c>
      <c r="F703">
        <v>0.98850000000000005</v>
      </c>
      <c r="G703">
        <v>0.39600000000000002</v>
      </c>
      <c r="H703">
        <v>0.22500000000000001</v>
      </c>
      <c r="I703">
        <v>0.32</v>
      </c>
      <c r="J703">
        <v>16</v>
      </c>
      <c r="K703">
        <v>6</v>
      </c>
      <c r="L703" t="s">
        <v>46</v>
      </c>
      <c r="M703" t="s">
        <v>47</v>
      </c>
      <c r="N703" t="s">
        <v>48</v>
      </c>
      <c r="O703">
        <v>2</v>
      </c>
      <c r="P703" t="s">
        <v>5</v>
      </c>
      <c r="Q703">
        <v>18</v>
      </c>
    </row>
    <row r="704" spans="1:17">
      <c r="A704">
        <v>648</v>
      </c>
      <c r="B704" t="s">
        <v>76</v>
      </c>
      <c r="C704">
        <v>0.48</v>
      </c>
      <c r="D704">
        <v>0.375</v>
      </c>
      <c r="E704">
        <v>0.14499999999999999</v>
      </c>
      <c r="F704">
        <v>0.77700000000000002</v>
      </c>
      <c r="G704">
        <v>0.216</v>
      </c>
      <c r="H704">
        <v>0.13</v>
      </c>
      <c r="I704">
        <v>0.17</v>
      </c>
      <c r="J704">
        <v>9</v>
      </c>
      <c r="K704">
        <v>13</v>
      </c>
      <c r="L704" t="s">
        <v>43</v>
      </c>
      <c r="M704" t="s">
        <v>44</v>
      </c>
      <c r="N704" t="s">
        <v>45</v>
      </c>
      <c r="O704">
        <v>1</v>
      </c>
      <c r="P704" t="s">
        <v>4</v>
      </c>
      <c r="Q704">
        <v>22.1</v>
      </c>
    </row>
    <row r="705" spans="1:17">
      <c r="A705">
        <v>2287</v>
      </c>
      <c r="B705" t="s">
        <v>76</v>
      </c>
      <c r="C705">
        <v>0.5</v>
      </c>
      <c r="D705">
        <v>0.39500000000000002</v>
      </c>
      <c r="E705">
        <v>0.15</v>
      </c>
      <c r="F705">
        <v>0.71450000000000002</v>
      </c>
      <c r="G705">
        <v>0.32350000000000001</v>
      </c>
      <c r="H705">
        <v>0.17299999999999999</v>
      </c>
      <c r="I705">
        <v>0.19500000000000001</v>
      </c>
      <c r="J705">
        <v>9</v>
      </c>
      <c r="K705">
        <v>9</v>
      </c>
      <c r="L705" t="s">
        <v>34</v>
      </c>
      <c r="M705" t="s">
        <v>35</v>
      </c>
      <c r="N705" t="s">
        <v>36</v>
      </c>
      <c r="O705">
        <v>4</v>
      </c>
      <c r="P705" t="s">
        <v>8</v>
      </c>
      <c r="Q705">
        <v>6.1</v>
      </c>
    </row>
    <row r="706" spans="1:17">
      <c r="A706">
        <v>2489</v>
      </c>
      <c r="B706" t="s">
        <v>76</v>
      </c>
      <c r="C706">
        <v>0.5</v>
      </c>
      <c r="D706">
        <v>0.38500000000000001</v>
      </c>
      <c r="E706">
        <v>0.14499999999999999</v>
      </c>
      <c r="F706">
        <v>0.76149999999999995</v>
      </c>
      <c r="G706">
        <v>0.246</v>
      </c>
      <c r="H706">
        <v>0.19500000000000001</v>
      </c>
      <c r="I706">
        <v>0.20399999999999999</v>
      </c>
      <c r="J706">
        <v>14</v>
      </c>
      <c r="K706">
        <v>11</v>
      </c>
      <c r="L706" t="s">
        <v>65</v>
      </c>
      <c r="M706" t="s">
        <v>66</v>
      </c>
      <c r="N706" t="s">
        <v>45</v>
      </c>
      <c r="O706">
        <v>10</v>
      </c>
      <c r="P706" t="s">
        <v>11</v>
      </c>
      <c r="Q706">
        <v>24.1</v>
      </c>
    </row>
    <row r="707" spans="1:17">
      <c r="A707">
        <v>2985</v>
      </c>
      <c r="B707" t="s">
        <v>76</v>
      </c>
      <c r="C707">
        <v>0.53500000000000003</v>
      </c>
      <c r="D707">
        <v>0.4</v>
      </c>
      <c r="E707">
        <v>0.15</v>
      </c>
      <c r="F707">
        <v>1.224</v>
      </c>
      <c r="G707">
        <v>0.61799999999999999</v>
      </c>
      <c r="H707">
        <v>0.27500000000000002</v>
      </c>
      <c r="I707">
        <v>0.28749999999999998</v>
      </c>
      <c r="J707">
        <v>10</v>
      </c>
      <c r="K707">
        <v>11</v>
      </c>
      <c r="L707" t="s">
        <v>65</v>
      </c>
      <c r="M707" t="s">
        <v>66</v>
      </c>
      <c r="N707" t="s">
        <v>45</v>
      </c>
      <c r="O707">
        <v>2</v>
      </c>
      <c r="P707" t="s">
        <v>5</v>
      </c>
      <c r="Q707">
        <v>18</v>
      </c>
    </row>
    <row r="708" spans="1:17">
      <c r="A708">
        <v>1368</v>
      </c>
      <c r="B708" t="s">
        <v>76</v>
      </c>
      <c r="C708">
        <v>0.61</v>
      </c>
      <c r="D708">
        <v>0.48</v>
      </c>
      <c r="E708">
        <v>0.17</v>
      </c>
      <c r="F708">
        <v>1.137</v>
      </c>
      <c r="G708">
        <v>0.45650000000000002</v>
      </c>
      <c r="H708">
        <v>0.28999999999999998</v>
      </c>
      <c r="I708">
        <v>0.34699999999999998</v>
      </c>
      <c r="J708">
        <v>10</v>
      </c>
      <c r="K708">
        <v>6</v>
      </c>
      <c r="L708" t="s">
        <v>46</v>
      </c>
      <c r="M708" t="s">
        <v>47</v>
      </c>
      <c r="N708" t="s">
        <v>48</v>
      </c>
      <c r="O708">
        <v>10</v>
      </c>
      <c r="P708" t="s">
        <v>11</v>
      </c>
      <c r="Q708">
        <v>24.1</v>
      </c>
    </row>
    <row r="709" spans="1:17">
      <c r="A709">
        <v>1925</v>
      </c>
      <c r="B709" t="s">
        <v>76</v>
      </c>
      <c r="C709">
        <v>0.61</v>
      </c>
      <c r="D709">
        <v>0.46</v>
      </c>
      <c r="E709">
        <v>0.155</v>
      </c>
      <c r="F709">
        <v>0.95699999999999996</v>
      </c>
      <c r="G709">
        <v>0.42549999999999999</v>
      </c>
      <c r="H709">
        <v>0.19750000000000001</v>
      </c>
      <c r="I709">
        <v>0.26500000000000001</v>
      </c>
      <c r="J709">
        <v>8</v>
      </c>
      <c r="K709">
        <v>2</v>
      </c>
      <c r="L709" t="s">
        <v>49</v>
      </c>
      <c r="M709" t="s">
        <v>50</v>
      </c>
      <c r="N709" t="s">
        <v>51</v>
      </c>
      <c r="O709">
        <v>1</v>
      </c>
      <c r="P709" t="s">
        <v>4</v>
      </c>
      <c r="Q709">
        <v>22.1</v>
      </c>
    </row>
    <row r="710" spans="1:17">
      <c r="A710">
        <v>3445</v>
      </c>
      <c r="B710" t="s">
        <v>76</v>
      </c>
      <c r="C710">
        <v>0.49</v>
      </c>
      <c r="D710">
        <v>0.4</v>
      </c>
      <c r="E710">
        <v>0.115</v>
      </c>
      <c r="F710">
        <v>0.56899999999999995</v>
      </c>
      <c r="G710">
        <v>0.25600000000000001</v>
      </c>
      <c r="H710">
        <v>0.13250000000000001</v>
      </c>
      <c r="I710">
        <v>0.14499999999999999</v>
      </c>
      <c r="J710">
        <v>9</v>
      </c>
      <c r="K710">
        <v>10</v>
      </c>
      <c r="L710" t="s">
        <v>37</v>
      </c>
      <c r="M710" t="s">
        <v>38</v>
      </c>
      <c r="N710" t="s">
        <v>39</v>
      </c>
      <c r="O710">
        <v>9</v>
      </c>
      <c r="P710" t="s">
        <v>9</v>
      </c>
      <c r="Q710">
        <v>1.9</v>
      </c>
    </row>
    <row r="711" spans="1:17">
      <c r="A711">
        <v>923</v>
      </c>
      <c r="B711" t="s">
        <v>76</v>
      </c>
      <c r="C711">
        <v>0.42</v>
      </c>
      <c r="D711">
        <v>0.315</v>
      </c>
      <c r="E711">
        <v>0.1</v>
      </c>
      <c r="F711">
        <v>0.34350000000000003</v>
      </c>
      <c r="G711">
        <v>0.157</v>
      </c>
      <c r="H711">
        <v>7.9500000000000001E-2</v>
      </c>
      <c r="I711">
        <v>0.09</v>
      </c>
      <c r="J711">
        <v>6</v>
      </c>
      <c r="K711">
        <v>3</v>
      </c>
      <c r="L711" t="s">
        <v>52</v>
      </c>
      <c r="M711" t="s">
        <v>53</v>
      </c>
      <c r="N711" t="s">
        <v>54</v>
      </c>
      <c r="O711">
        <v>8</v>
      </c>
      <c r="P711" t="s">
        <v>13</v>
      </c>
      <c r="Q711">
        <v>12.3</v>
      </c>
    </row>
    <row r="712" spans="1:17">
      <c r="A712">
        <v>3213</v>
      </c>
      <c r="B712" t="s">
        <v>76</v>
      </c>
      <c r="C712">
        <v>0.58499999999999996</v>
      </c>
      <c r="D712">
        <v>0.46</v>
      </c>
      <c r="E712">
        <v>0.17</v>
      </c>
      <c r="F712">
        <v>1.0834999999999999</v>
      </c>
      <c r="G712">
        <v>0.3745</v>
      </c>
      <c r="H712">
        <v>0.32600000000000001</v>
      </c>
      <c r="I712">
        <v>0.32500000000000001</v>
      </c>
      <c r="J712">
        <v>14</v>
      </c>
      <c r="K712">
        <v>3</v>
      </c>
      <c r="L712" t="s">
        <v>52</v>
      </c>
      <c r="M712" t="s">
        <v>53</v>
      </c>
      <c r="N712" t="s">
        <v>54</v>
      </c>
      <c r="O712">
        <v>1</v>
      </c>
      <c r="P712" t="s">
        <v>4</v>
      </c>
      <c r="Q712">
        <v>22.1</v>
      </c>
    </row>
    <row r="713" spans="1:17">
      <c r="A713">
        <v>2062</v>
      </c>
      <c r="B713" t="s">
        <v>76</v>
      </c>
      <c r="C713">
        <v>0.5</v>
      </c>
      <c r="D713">
        <v>0.38</v>
      </c>
      <c r="E713">
        <v>0.14000000000000001</v>
      </c>
      <c r="F713">
        <v>0.63549999999999995</v>
      </c>
      <c r="G713">
        <v>0.27700000000000002</v>
      </c>
      <c r="H713">
        <v>0.14299999999999999</v>
      </c>
      <c r="I713">
        <v>0.17849999999999999</v>
      </c>
      <c r="J713">
        <v>8</v>
      </c>
      <c r="K713">
        <v>13</v>
      </c>
      <c r="L713" t="s">
        <v>43</v>
      </c>
      <c r="M713" t="s">
        <v>44</v>
      </c>
      <c r="N713" t="s">
        <v>45</v>
      </c>
      <c r="O713">
        <v>1</v>
      </c>
      <c r="P713" t="s">
        <v>4</v>
      </c>
      <c r="Q713">
        <v>22.1</v>
      </c>
    </row>
    <row r="714" spans="1:17">
      <c r="A714">
        <v>2194</v>
      </c>
      <c r="B714" t="s">
        <v>76</v>
      </c>
      <c r="C714">
        <v>0.215</v>
      </c>
      <c r="D714">
        <v>0.17</v>
      </c>
      <c r="E714">
        <v>5.5E-2</v>
      </c>
      <c r="F714">
        <v>6.0499999999999998E-2</v>
      </c>
      <c r="G714">
        <v>2.0500000000000001E-2</v>
      </c>
      <c r="H714">
        <v>1.4E-2</v>
      </c>
      <c r="I714">
        <v>0.02</v>
      </c>
      <c r="J714">
        <v>6</v>
      </c>
      <c r="K714">
        <v>3</v>
      </c>
      <c r="L714" t="s">
        <v>52</v>
      </c>
      <c r="M714" t="s">
        <v>53</v>
      </c>
      <c r="N714" t="s">
        <v>54</v>
      </c>
      <c r="O714">
        <v>9</v>
      </c>
      <c r="P714" t="s">
        <v>9</v>
      </c>
      <c r="Q714">
        <v>1.9</v>
      </c>
    </row>
    <row r="715" spans="1:17">
      <c r="A715">
        <v>1860</v>
      </c>
      <c r="B715" t="s">
        <v>76</v>
      </c>
      <c r="C715">
        <v>0.51500000000000001</v>
      </c>
      <c r="D715">
        <v>0.41499999999999998</v>
      </c>
      <c r="E715">
        <v>0.13500000000000001</v>
      </c>
      <c r="F715">
        <v>0.71250000000000002</v>
      </c>
      <c r="G715">
        <v>0.28499999999999998</v>
      </c>
      <c r="H715">
        <v>0.152</v>
      </c>
      <c r="I715">
        <v>0.245</v>
      </c>
      <c r="J715">
        <v>10</v>
      </c>
      <c r="K715">
        <v>11</v>
      </c>
      <c r="L715" t="s">
        <v>65</v>
      </c>
      <c r="M715" t="s">
        <v>66</v>
      </c>
      <c r="N715" t="s">
        <v>45</v>
      </c>
      <c r="O715">
        <v>5</v>
      </c>
      <c r="P715" t="s">
        <v>12</v>
      </c>
      <c r="Q715">
        <v>12.8</v>
      </c>
    </row>
    <row r="716" spans="1:17">
      <c r="A716">
        <v>938</v>
      </c>
      <c r="B716" t="s">
        <v>76</v>
      </c>
      <c r="C716">
        <v>0.45500000000000002</v>
      </c>
      <c r="D716">
        <v>0.35499999999999998</v>
      </c>
      <c r="E716">
        <v>0.125</v>
      </c>
      <c r="F716">
        <v>0.53249999999999997</v>
      </c>
      <c r="G716">
        <v>0.22500000000000001</v>
      </c>
      <c r="H716">
        <v>0.126</v>
      </c>
      <c r="I716">
        <v>0.14649999999999999</v>
      </c>
      <c r="J716">
        <v>7</v>
      </c>
      <c r="K716">
        <v>14</v>
      </c>
      <c r="L716" t="s">
        <v>72</v>
      </c>
      <c r="M716" t="s">
        <v>73</v>
      </c>
      <c r="N716" t="s">
        <v>74</v>
      </c>
      <c r="O716">
        <v>6</v>
      </c>
      <c r="P716" t="s">
        <v>7</v>
      </c>
      <c r="Q716">
        <v>14.1</v>
      </c>
    </row>
    <row r="717" spans="1:17">
      <c r="A717">
        <v>3172</v>
      </c>
      <c r="B717" t="s">
        <v>76</v>
      </c>
      <c r="C717">
        <v>0.52500000000000002</v>
      </c>
      <c r="D717">
        <v>0.40500000000000003</v>
      </c>
      <c r="E717">
        <v>0.16</v>
      </c>
      <c r="F717">
        <v>0.79200000000000004</v>
      </c>
      <c r="G717">
        <v>0.316</v>
      </c>
      <c r="H717">
        <v>0.14549999999999999</v>
      </c>
      <c r="I717">
        <v>0.28000000000000003</v>
      </c>
      <c r="J717">
        <v>13</v>
      </c>
      <c r="K717">
        <v>10</v>
      </c>
      <c r="L717" t="s">
        <v>37</v>
      </c>
      <c r="M717" t="s">
        <v>38</v>
      </c>
      <c r="N717" t="s">
        <v>39</v>
      </c>
      <c r="O717">
        <v>8</v>
      </c>
      <c r="P717" t="s">
        <v>13</v>
      </c>
      <c r="Q717">
        <v>12.3</v>
      </c>
    </row>
    <row r="718" spans="1:17">
      <c r="A718">
        <v>2300</v>
      </c>
      <c r="B718" t="s">
        <v>76</v>
      </c>
      <c r="C718">
        <v>0.495</v>
      </c>
      <c r="D718">
        <v>0.38500000000000001</v>
      </c>
      <c r="E718">
        <v>0.125</v>
      </c>
      <c r="F718">
        <v>0.58499999999999996</v>
      </c>
      <c r="G718">
        <v>0.27550000000000002</v>
      </c>
      <c r="H718">
        <v>0.1235</v>
      </c>
      <c r="I718">
        <v>0.16500000000000001</v>
      </c>
      <c r="J718">
        <v>8</v>
      </c>
      <c r="K718">
        <v>3</v>
      </c>
      <c r="L718" t="s">
        <v>52</v>
      </c>
      <c r="M718" t="s">
        <v>53</v>
      </c>
      <c r="N718" t="s">
        <v>54</v>
      </c>
      <c r="O718">
        <v>8</v>
      </c>
      <c r="P718" t="s">
        <v>13</v>
      </c>
      <c r="Q718">
        <v>12.3</v>
      </c>
    </row>
    <row r="719" spans="1:17">
      <c r="A719">
        <v>203</v>
      </c>
      <c r="B719" t="s">
        <v>76</v>
      </c>
      <c r="C719">
        <v>0.5</v>
      </c>
      <c r="D719">
        <v>0.4</v>
      </c>
      <c r="E719">
        <v>0.14499999999999999</v>
      </c>
      <c r="F719">
        <v>0.63</v>
      </c>
      <c r="G719">
        <v>0.23400000000000001</v>
      </c>
      <c r="H719">
        <v>0.14649999999999999</v>
      </c>
      <c r="I719">
        <v>0.23</v>
      </c>
      <c r="J719">
        <v>12</v>
      </c>
      <c r="K719">
        <v>12</v>
      </c>
      <c r="L719" t="s">
        <v>58</v>
      </c>
      <c r="M719" t="s">
        <v>59</v>
      </c>
      <c r="N719" t="s">
        <v>45</v>
      </c>
      <c r="O719">
        <v>2</v>
      </c>
      <c r="P719" t="s">
        <v>5</v>
      </c>
      <c r="Q719">
        <v>18</v>
      </c>
    </row>
    <row r="720" spans="1:17">
      <c r="A720">
        <v>3918</v>
      </c>
      <c r="B720" t="s">
        <v>76</v>
      </c>
      <c r="C720">
        <v>0.61499999999999999</v>
      </c>
      <c r="D720">
        <v>0.46</v>
      </c>
      <c r="E720">
        <v>0.19</v>
      </c>
      <c r="F720">
        <v>1.0660000000000001</v>
      </c>
      <c r="G720">
        <v>0.4335</v>
      </c>
      <c r="H720">
        <v>0.22600000000000001</v>
      </c>
      <c r="I720">
        <v>0.33</v>
      </c>
      <c r="J720">
        <v>13</v>
      </c>
      <c r="K720">
        <v>1</v>
      </c>
      <c r="L720" t="s">
        <v>70</v>
      </c>
      <c r="M720" t="s">
        <v>71</v>
      </c>
      <c r="N720" t="s">
        <v>45</v>
      </c>
      <c r="O720">
        <v>4</v>
      </c>
      <c r="P720" t="s">
        <v>8</v>
      </c>
      <c r="Q720">
        <v>6.1</v>
      </c>
    </row>
    <row r="721" spans="1:17">
      <c r="A721">
        <v>2982</v>
      </c>
      <c r="B721" t="s">
        <v>76</v>
      </c>
      <c r="C721">
        <v>0.505</v>
      </c>
      <c r="D721">
        <v>0.38</v>
      </c>
      <c r="E721">
        <v>0.13</v>
      </c>
      <c r="F721">
        <v>0.69299999999999995</v>
      </c>
      <c r="G721">
        <v>0.39100000000000001</v>
      </c>
      <c r="H721">
        <v>0.1195</v>
      </c>
      <c r="I721">
        <v>0.1515</v>
      </c>
      <c r="J721">
        <v>8</v>
      </c>
      <c r="K721">
        <v>13</v>
      </c>
      <c r="L721" t="s">
        <v>43</v>
      </c>
      <c r="M721" t="s">
        <v>44</v>
      </c>
      <c r="N721" t="s">
        <v>45</v>
      </c>
      <c r="O721">
        <v>2</v>
      </c>
      <c r="P721" t="s">
        <v>5</v>
      </c>
      <c r="Q721">
        <v>18</v>
      </c>
    </row>
    <row r="722" spans="1:17">
      <c r="A722">
        <v>4034</v>
      </c>
      <c r="B722" t="s">
        <v>76</v>
      </c>
      <c r="C722">
        <v>0.495</v>
      </c>
      <c r="D722">
        <v>0.38500000000000001</v>
      </c>
      <c r="E722">
        <v>0.125</v>
      </c>
      <c r="F722">
        <v>0.51249999999999996</v>
      </c>
      <c r="G722">
        <v>0.20749999999999999</v>
      </c>
      <c r="H722">
        <v>0.11550000000000001</v>
      </c>
      <c r="I722">
        <v>0.17199999999999999</v>
      </c>
      <c r="J722">
        <v>10</v>
      </c>
      <c r="K722">
        <v>7</v>
      </c>
      <c r="L722" t="s">
        <v>62</v>
      </c>
      <c r="M722" t="s">
        <v>63</v>
      </c>
      <c r="N722" t="s">
        <v>64</v>
      </c>
      <c r="O722">
        <v>2</v>
      </c>
      <c r="P722" t="s">
        <v>5</v>
      </c>
      <c r="Q722">
        <v>18</v>
      </c>
    </row>
    <row r="723" spans="1:17">
      <c r="A723">
        <v>384</v>
      </c>
      <c r="B723" t="s">
        <v>76</v>
      </c>
      <c r="C723">
        <v>0.47</v>
      </c>
      <c r="D723">
        <v>0.375</v>
      </c>
      <c r="E723">
        <v>0.12</v>
      </c>
      <c r="F723">
        <v>0.55649999999999999</v>
      </c>
      <c r="G723">
        <v>0.22600000000000001</v>
      </c>
      <c r="H723">
        <v>0.122</v>
      </c>
      <c r="I723">
        <v>0.19500000000000001</v>
      </c>
      <c r="J723">
        <v>12</v>
      </c>
      <c r="K723">
        <v>15</v>
      </c>
      <c r="L723" t="s">
        <v>60</v>
      </c>
      <c r="M723" t="s">
        <v>61</v>
      </c>
      <c r="N723" t="s">
        <v>45</v>
      </c>
      <c r="O723">
        <v>6</v>
      </c>
      <c r="P723" t="s">
        <v>7</v>
      </c>
      <c r="Q723">
        <v>14.1</v>
      </c>
    </row>
    <row r="724" spans="1:17">
      <c r="A724">
        <v>449</v>
      </c>
      <c r="B724" t="s">
        <v>76</v>
      </c>
      <c r="C724">
        <v>0.60499999999999998</v>
      </c>
      <c r="D724">
        <v>0.5</v>
      </c>
      <c r="E724">
        <v>0.17499999999999999</v>
      </c>
      <c r="F724">
        <v>1.0980000000000001</v>
      </c>
      <c r="G724">
        <v>0.47649999999999998</v>
      </c>
      <c r="H724">
        <v>0.23200000000000001</v>
      </c>
      <c r="I724">
        <v>0.375</v>
      </c>
      <c r="J724">
        <v>12</v>
      </c>
      <c r="K724">
        <v>10</v>
      </c>
      <c r="L724" t="s">
        <v>37</v>
      </c>
      <c r="M724" t="s">
        <v>38</v>
      </c>
      <c r="N724" t="s">
        <v>39</v>
      </c>
      <c r="O724">
        <v>8</v>
      </c>
      <c r="P724" t="s">
        <v>13</v>
      </c>
      <c r="Q724">
        <v>12.3</v>
      </c>
    </row>
    <row r="725" spans="1:17">
      <c r="A725">
        <v>1845</v>
      </c>
      <c r="B725" t="s">
        <v>76</v>
      </c>
      <c r="C725">
        <v>0.435</v>
      </c>
      <c r="D725">
        <v>0.34499999999999997</v>
      </c>
      <c r="E725">
        <v>0.12</v>
      </c>
      <c r="F725">
        <v>0.32150000000000001</v>
      </c>
      <c r="G725">
        <v>0.13</v>
      </c>
      <c r="H725">
        <v>5.6000000000000001E-2</v>
      </c>
      <c r="I725">
        <v>0.11849999999999999</v>
      </c>
      <c r="J725">
        <v>7</v>
      </c>
      <c r="K725">
        <v>2</v>
      </c>
      <c r="L725" t="s">
        <v>49</v>
      </c>
      <c r="M725" t="s">
        <v>50</v>
      </c>
      <c r="N725" t="s">
        <v>51</v>
      </c>
      <c r="O725">
        <v>1</v>
      </c>
      <c r="P725" t="s">
        <v>4</v>
      </c>
      <c r="Q725">
        <v>22.1</v>
      </c>
    </row>
    <row r="726" spans="1:17">
      <c r="A726">
        <v>1369</v>
      </c>
      <c r="B726" t="s">
        <v>76</v>
      </c>
      <c r="C726">
        <v>0.61</v>
      </c>
      <c r="D726">
        <v>0.46</v>
      </c>
      <c r="E726">
        <v>0.16</v>
      </c>
      <c r="F726">
        <v>1</v>
      </c>
      <c r="G726">
        <v>0.49399999999999999</v>
      </c>
      <c r="H726">
        <v>0.19700000000000001</v>
      </c>
      <c r="I726">
        <v>0.27500000000000002</v>
      </c>
      <c r="J726">
        <v>10</v>
      </c>
      <c r="K726">
        <v>7</v>
      </c>
      <c r="L726" t="s">
        <v>62</v>
      </c>
      <c r="M726" t="s">
        <v>63</v>
      </c>
      <c r="N726" t="s">
        <v>64</v>
      </c>
      <c r="O726">
        <v>10</v>
      </c>
      <c r="P726" t="s">
        <v>11</v>
      </c>
      <c r="Q726">
        <v>24.1</v>
      </c>
    </row>
    <row r="727" spans="1:17">
      <c r="A727">
        <v>369</v>
      </c>
      <c r="B727" t="s">
        <v>76</v>
      </c>
      <c r="C727">
        <v>0.63</v>
      </c>
      <c r="D727">
        <v>0.49</v>
      </c>
      <c r="E727">
        <v>0.18</v>
      </c>
      <c r="F727">
        <v>1.1299999999999999</v>
      </c>
      <c r="G727">
        <v>0.45800000000000002</v>
      </c>
      <c r="H727">
        <v>0.27650000000000002</v>
      </c>
      <c r="I727">
        <v>0.315</v>
      </c>
      <c r="J727">
        <v>12</v>
      </c>
      <c r="K727">
        <v>12</v>
      </c>
      <c r="L727" t="s">
        <v>58</v>
      </c>
      <c r="M727" t="s">
        <v>59</v>
      </c>
      <c r="N727" t="s">
        <v>45</v>
      </c>
      <c r="O727">
        <v>10</v>
      </c>
      <c r="P727" t="s">
        <v>11</v>
      </c>
      <c r="Q727">
        <v>24.1</v>
      </c>
    </row>
    <row r="728" spans="1:17">
      <c r="A728">
        <v>3585</v>
      </c>
      <c r="B728" t="s">
        <v>76</v>
      </c>
      <c r="C728">
        <v>0.625</v>
      </c>
      <c r="D728">
        <v>0.49</v>
      </c>
      <c r="E728">
        <v>0.16500000000000001</v>
      </c>
      <c r="F728">
        <v>1.1835</v>
      </c>
      <c r="G728">
        <v>0.51700000000000002</v>
      </c>
      <c r="H728">
        <v>0.23749999999999999</v>
      </c>
      <c r="I728">
        <v>0.39</v>
      </c>
      <c r="J728">
        <v>11</v>
      </c>
      <c r="K728">
        <v>14</v>
      </c>
      <c r="L728" t="s">
        <v>72</v>
      </c>
      <c r="M728" t="s">
        <v>73</v>
      </c>
      <c r="N728" t="s">
        <v>74</v>
      </c>
      <c r="O728">
        <v>1</v>
      </c>
      <c r="P728" t="s">
        <v>4</v>
      </c>
      <c r="Q728">
        <v>22.1</v>
      </c>
    </row>
    <row r="729" spans="1:17">
      <c r="A729">
        <v>2760</v>
      </c>
      <c r="B729" t="s">
        <v>76</v>
      </c>
      <c r="C729">
        <v>0.54500000000000004</v>
      </c>
      <c r="D729">
        <v>0.44</v>
      </c>
      <c r="E729">
        <v>0.15</v>
      </c>
      <c r="F729">
        <v>0.94750000000000001</v>
      </c>
      <c r="G729">
        <v>0.36599999999999999</v>
      </c>
      <c r="H729">
        <v>0.23899999999999999</v>
      </c>
      <c r="I729">
        <v>0.27500000000000002</v>
      </c>
      <c r="J729">
        <v>8</v>
      </c>
      <c r="K729">
        <v>3</v>
      </c>
      <c r="L729" t="s">
        <v>52</v>
      </c>
      <c r="M729" t="s">
        <v>53</v>
      </c>
      <c r="N729" t="s">
        <v>54</v>
      </c>
      <c r="O729">
        <v>4</v>
      </c>
      <c r="P729" t="s">
        <v>8</v>
      </c>
      <c r="Q729">
        <v>6.1</v>
      </c>
    </row>
    <row r="730" spans="1:17">
      <c r="A730">
        <v>550</v>
      </c>
      <c r="B730" t="s">
        <v>76</v>
      </c>
      <c r="C730">
        <v>0.55500000000000005</v>
      </c>
      <c r="D730">
        <v>0.42499999999999999</v>
      </c>
      <c r="E730">
        <v>0.18</v>
      </c>
      <c r="F730">
        <v>0.875</v>
      </c>
      <c r="G730">
        <v>0.3695</v>
      </c>
      <c r="H730">
        <v>0.20050000000000001</v>
      </c>
      <c r="I730">
        <v>0.255</v>
      </c>
      <c r="J730">
        <v>11</v>
      </c>
      <c r="K730">
        <v>5</v>
      </c>
      <c r="L730" t="s">
        <v>67</v>
      </c>
      <c r="M730" t="s">
        <v>68</v>
      </c>
      <c r="N730" t="s">
        <v>69</v>
      </c>
      <c r="O730">
        <v>8</v>
      </c>
      <c r="P730" t="s">
        <v>13</v>
      </c>
      <c r="Q730">
        <v>12.3</v>
      </c>
    </row>
    <row r="731" spans="1:17">
      <c r="A731">
        <v>269</v>
      </c>
      <c r="B731" t="s">
        <v>76</v>
      </c>
      <c r="C731">
        <v>0.47</v>
      </c>
      <c r="D731">
        <v>0.39</v>
      </c>
      <c r="E731">
        <v>0.15</v>
      </c>
      <c r="F731">
        <v>0.63549999999999995</v>
      </c>
      <c r="G731">
        <v>0.2185</v>
      </c>
      <c r="H731">
        <v>8.8499999999999995E-2</v>
      </c>
      <c r="I731">
        <v>0.255</v>
      </c>
      <c r="J731">
        <v>9</v>
      </c>
      <c r="K731">
        <v>11</v>
      </c>
      <c r="L731" t="s">
        <v>65</v>
      </c>
      <c r="M731" t="s">
        <v>66</v>
      </c>
      <c r="N731" t="s">
        <v>45</v>
      </c>
      <c r="O731">
        <v>5</v>
      </c>
      <c r="P731" t="s">
        <v>12</v>
      </c>
      <c r="Q731">
        <v>12.8</v>
      </c>
    </row>
    <row r="732" spans="1:17">
      <c r="A732">
        <v>3906</v>
      </c>
      <c r="B732" t="s">
        <v>76</v>
      </c>
      <c r="C732">
        <v>0.38</v>
      </c>
      <c r="D732">
        <v>0.27</v>
      </c>
      <c r="E732">
        <v>9.5000000000000001E-2</v>
      </c>
      <c r="F732">
        <v>0.219</v>
      </c>
      <c r="G732">
        <v>8.3500000000000005E-2</v>
      </c>
      <c r="H732">
        <v>5.1499999999999997E-2</v>
      </c>
      <c r="I732">
        <v>7.0000000000000007E-2</v>
      </c>
      <c r="J732">
        <v>6</v>
      </c>
      <c r="K732">
        <v>8</v>
      </c>
      <c r="L732" t="s">
        <v>55</v>
      </c>
      <c r="M732" t="s">
        <v>56</v>
      </c>
      <c r="N732" t="s">
        <v>57</v>
      </c>
      <c r="O732">
        <v>4</v>
      </c>
      <c r="P732" t="s">
        <v>8</v>
      </c>
      <c r="Q732">
        <v>6.1</v>
      </c>
    </row>
    <row r="733" spans="1:17">
      <c r="A733">
        <v>293</v>
      </c>
      <c r="B733" t="s">
        <v>76</v>
      </c>
      <c r="C733">
        <v>0.61</v>
      </c>
      <c r="D733">
        <v>0.47499999999999998</v>
      </c>
      <c r="E733">
        <v>0.16500000000000001</v>
      </c>
      <c r="F733">
        <v>1.1160000000000001</v>
      </c>
      <c r="G733">
        <v>0.42799999999999999</v>
      </c>
      <c r="H733">
        <v>0.2205</v>
      </c>
      <c r="I733">
        <v>0.315</v>
      </c>
      <c r="J733">
        <v>15</v>
      </c>
      <c r="K733">
        <v>14</v>
      </c>
      <c r="L733" t="s">
        <v>72</v>
      </c>
      <c r="M733" t="s">
        <v>73</v>
      </c>
      <c r="N733" t="s">
        <v>74</v>
      </c>
      <c r="O733">
        <v>5</v>
      </c>
      <c r="P733" t="s">
        <v>12</v>
      </c>
      <c r="Q733">
        <v>12.8</v>
      </c>
    </row>
    <row r="734" spans="1:17">
      <c r="A734">
        <v>429</v>
      </c>
      <c r="B734" t="s">
        <v>76</v>
      </c>
      <c r="C734">
        <v>0.56000000000000005</v>
      </c>
      <c r="D734">
        <v>0.45500000000000002</v>
      </c>
      <c r="E734">
        <v>0.125</v>
      </c>
      <c r="F734">
        <v>0.94299999999999995</v>
      </c>
      <c r="G734">
        <v>0.34399999999999997</v>
      </c>
      <c r="H734">
        <v>0.129</v>
      </c>
      <c r="I734">
        <v>0.375</v>
      </c>
      <c r="J734">
        <v>21</v>
      </c>
      <c r="K734">
        <v>12</v>
      </c>
      <c r="L734" t="s">
        <v>58</v>
      </c>
      <c r="M734" t="s">
        <v>59</v>
      </c>
      <c r="N734" t="s">
        <v>45</v>
      </c>
      <c r="O734">
        <v>9</v>
      </c>
      <c r="P734" t="s">
        <v>9</v>
      </c>
      <c r="Q734">
        <v>1.9</v>
      </c>
    </row>
    <row r="735" spans="1:17">
      <c r="A735">
        <v>3997</v>
      </c>
      <c r="B735" t="s">
        <v>76</v>
      </c>
      <c r="C735">
        <v>0.315</v>
      </c>
      <c r="D735">
        <v>0.23</v>
      </c>
      <c r="E735">
        <v>0</v>
      </c>
      <c r="F735">
        <v>0.13400000000000001</v>
      </c>
      <c r="G735">
        <v>5.7500000000000002E-2</v>
      </c>
      <c r="H735">
        <v>2.8500000000000001E-2</v>
      </c>
      <c r="I735">
        <v>0.35049999999999998</v>
      </c>
      <c r="J735">
        <v>6</v>
      </c>
      <c r="K735">
        <v>9</v>
      </c>
      <c r="L735" t="s">
        <v>34</v>
      </c>
      <c r="M735" t="s">
        <v>35</v>
      </c>
      <c r="N735" t="s">
        <v>36</v>
      </c>
      <c r="O735">
        <v>5</v>
      </c>
      <c r="P735" t="s">
        <v>12</v>
      </c>
      <c r="Q735">
        <v>12.8</v>
      </c>
    </row>
    <row r="736" spans="1:17">
      <c r="A736">
        <v>962</v>
      </c>
      <c r="B736" t="s">
        <v>76</v>
      </c>
      <c r="C736">
        <v>0.505</v>
      </c>
      <c r="D736">
        <v>0.39</v>
      </c>
      <c r="E736">
        <v>0.13</v>
      </c>
      <c r="F736">
        <v>0.67400000000000004</v>
      </c>
      <c r="G736">
        <v>0.3165</v>
      </c>
      <c r="H736">
        <v>0.14099999999999999</v>
      </c>
      <c r="I736">
        <v>0.17849999999999999</v>
      </c>
      <c r="J736">
        <v>9</v>
      </c>
      <c r="K736">
        <v>6</v>
      </c>
      <c r="L736" t="s">
        <v>46</v>
      </c>
      <c r="M736" t="s">
        <v>47</v>
      </c>
      <c r="N736" t="s">
        <v>48</v>
      </c>
      <c r="O736">
        <v>10</v>
      </c>
      <c r="P736" t="s">
        <v>11</v>
      </c>
      <c r="Q736">
        <v>24.1</v>
      </c>
    </row>
    <row r="737" spans="1:17">
      <c r="A737">
        <v>3803</v>
      </c>
      <c r="B737" t="s">
        <v>76</v>
      </c>
      <c r="C737">
        <v>0.30499999999999999</v>
      </c>
      <c r="D737">
        <v>0.23</v>
      </c>
      <c r="E737">
        <v>7.4999999999999997E-2</v>
      </c>
      <c r="F737">
        <v>0.14549999999999999</v>
      </c>
      <c r="G737">
        <v>5.9499999999999997E-2</v>
      </c>
      <c r="H737">
        <v>3.0499999999999999E-2</v>
      </c>
      <c r="I737">
        <v>0.05</v>
      </c>
      <c r="J737">
        <v>6</v>
      </c>
      <c r="K737">
        <v>5</v>
      </c>
      <c r="L737" t="s">
        <v>67</v>
      </c>
      <c r="M737" t="s">
        <v>68</v>
      </c>
      <c r="N737" t="s">
        <v>69</v>
      </c>
      <c r="O737">
        <v>1</v>
      </c>
      <c r="P737" t="s">
        <v>4</v>
      </c>
      <c r="Q737">
        <v>22.1</v>
      </c>
    </row>
    <row r="738" spans="1:17">
      <c r="A738">
        <v>300</v>
      </c>
      <c r="B738" t="s">
        <v>76</v>
      </c>
      <c r="C738">
        <v>0.37</v>
      </c>
      <c r="D738">
        <v>0.28000000000000003</v>
      </c>
      <c r="E738">
        <v>0.105</v>
      </c>
      <c r="F738">
        <v>0.23400000000000001</v>
      </c>
      <c r="G738">
        <v>9.0499999999999997E-2</v>
      </c>
      <c r="H738">
        <v>5.8500000000000003E-2</v>
      </c>
      <c r="I738">
        <v>7.4999999999999997E-2</v>
      </c>
      <c r="J738">
        <v>9</v>
      </c>
      <c r="K738">
        <v>9</v>
      </c>
      <c r="L738" t="s">
        <v>34</v>
      </c>
      <c r="M738" t="s">
        <v>35</v>
      </c>
      <c r="N738" t="s">
        <v>36</v>
      </c>
      <c r="O738">
        <v>9</v>
      </c>
      <c r="P738" t="s">
        <v>9</v>
      </c>
      <c r="Q738">
        <v>1.9</v>
      </c>
    </row>
    <row r="739" spans="1:17">
      <c r="A739">
        <v>3019</v>
      </c>
      <c r="B739" t="s">
        <v>76</v>
      </c>
      <c r="C739">
        <v>0.44</v>
      </c>
      <c r="D739">
        <v>0.32</v>
      </c>
      <c r="E739">
        <v>0.105</v>
      </c>
      <c r="F739">
        <v>0.38750000000000001</v>
      </c>
      <c r="G739">
        <v>0.17549999999999999</v>
      </c>
      <c r="H739">
        <v>7.3999999999999996E-2</v>
      </c>
      <c r="I739">
        <v>0.12</v>
      </c>
      <c r="J739">
        <v>9</v>
      </c>
      <c r="K739">
        <v>1</v>
      </c>
      <c r="L739" t="s">
        <v>70</v>
      </c>
      <c r="M739" t="s">
        <v>71</v>
      </c>
      <c r="N739" t="s">
        <v>45</v>
      </c>
      <c r="O739">
        <v>3</v>
      </c>
      <c r="P739" t="s">
        <v>10</v>
      </c>
      <c r="Q739">
        <v>3.6</v>
      </c>
    </row>
    <row r="740" spans="1:17">
      <c r="A740">
        <v>2225</v>
      </c>
      <c r="B740" t="s">
        <v>76</v>
      </c>
      <c r="C740">
        <v>0.55000000000000004</v>
      </c>
      <c r="D740">
        <v>0.42499999999999999</v>
      </c>
      <c r="E740">
        <v>0.14499999999999999</v>
      </c>
      <c r="F740">
        <v>0.79700000000000004</v>
      </c>
      <c r="G740">
        <v>0.29699999999999999</v>
      </c>
      <c r="H740">
        <v>0.15</v>
      </c>
      <c r="I740">
        <v>0.26500000000000001</v>
      </c>
      <c r="J740">
        <v>9</v>
      </c>
      <c r="K740">
        <v>5</v>
      </c>
      <c r="L740" t="s">
        <v>67</v>
      </c>
      <c r="M740" t="s">
        <v>68</v>
      </c>
      <c r="N740" t="s">
        <v>69</v>
      </c>
      <c r="O740">
        <v>2</v>
      </c>
      <c r="P740" t="s">
        <v>5</v>
      </c>
      <c r="Q740">
        <v>18</v>
      </c>
    </row>
    <row r="741" spans="1:17">
      <c r="A741">
        <v>3491</v>
      </c>
      <c r="B741" t="s">
        <v>76</v>
      </c>
      <c r="C741">
        <v>0.53500000000000003</v>
      </c>
      <c r="D741">
        <v>0.42</v>
      </c>
      <c r="E741">
        <v>0.16</v>
      </c>
      <c r="F741">
        <v>0.74650000000000005</v>
      </c>
      <c r="G741">
        <v>0.34799999999999998</v>
      </c>
      <c r="H741">
        <v>0.1515</v>
      </c>
      <c r="I741">
        <v>0.2185</v>
      </c>
      <c r="J741">
        <v>10</v>
      </c>
      <c r="K741">
        <v>10</v>
      </c>
      <c r="L741" t="s">
        <v>37</v>
      </c>
      <c r="M741" t="s">
        <v>38</v>
      </c>
      <c r="N741" t="s">
        <v>39</v>
      </c>
      <c r="O741">
        <v>2</v>
      </c>
      <c r="P741" t="s">
        <v>5</v>
      </c>
      <c r="Q741">
        <v>18</v>
      </c>
    </row>
    <row r="742" spans="1:17">
      <c r="A742">
        <v>1243</v>
      </c>
      <c r="B742" t="s">
        <v>76</v>
      </c>
      <c r="C742">
        <v>0.38500000000000001</v>
      </c>
      <c r="D742">
        <v>0.28999999999999998</v>
      </c>
      <c r="E742">
        <v>0.09</v>
      </c>
      <c r="F742">
        <v>0.26150000000000001</v>
      </c>
      <c r="G742">
        <v>0.111</v>
      </c>
      <c r="H742">
        <v>5.9499999999999997E-2</v>
      </c>
      <c r="I742">
        <v>7.4499999999999997E-2</v>
      </c>
      <c r="J742">
        <v>9</v>
      </c>
      <c r="K742">
        <v>8</v>
      </c>
      <c r="L742" t="s">
        <v>55</v>
      </c>
      <c r="M742" t="s">
        <v>56</v>
      </c>
      <c r="N742" t="s">
        <v>57</v>
      </c>
      <c r="O742">
        <v>10</v>
      </c>
      <c r="P742" t="s">
        <v>11</v>
      </c>
      <c r="Q742">
        <v>24.1</v>
      </c>
    </row>
    <row r="743" spans="1:17">
      <c r="A743">
        <v>2940</v>
      </c>
      <c r="B743" t="s">
        <v>76</v>
      </c>
      <c r="C743">
        <v>0.625</v>
      </c>
      <c r="D743">
        <v>0.49</v>
      </c>
      <c r="E743">
        <v>0.14499999999999999</v>
      </c>
      <c r="F743">
        <v>0.92</v>
      </c>
      <c r="G743">
        <v>0.437</v>
      </c>
      <c r="H743">
        <v>0.17349999999999999</v>
      </c>
      <c r="I743">
        <v>0.28000000000000003</v>
      </c>
      <c r="J743">
        <v>10</v>
      </c>
      <c r="K743">
        <v>7</v>
      </c>
      <c r="L743" t="s">
        <v>62</v>
      </c>
      <c r="M743" t="s">
        <v>63</v>
      </c>
      <c r="N743" t="s">
        <v>64</v>
      </c>
      <c r="O743">
        <v>1</v>
      </c>
      <c r="P743" t="s">
        <v>4</v>
      </c>
      <c r="Q743">
        <v>22.1</v>
      </c>
    </row>
    <row r="744" spans="1:17">
      <c r="A744">
        <v>304</v>
      </c>
      <c r="B744" t="s">
        <v>76</v>
      </c>
      <c r="C744">
        <v>0.36</v>
      </c>
      <c r="D744">
        <v>0.27</v>
      </c>
      <c r="E744">
        <v>0.1</v>
      </c>
      <c r="F744">
        <v>0.217</v>
      </c>
      <c r="G744">
        <v>8.8499999999999995E-2</v>
      </c>
      <c r="H744">
        <v>4.9500000000000002E-2</v>
      </c>
      <c r="I744">
        <v>7.1499999999999994E-2</v>
      </c>
      <c r="J744">
        <v>6</v>
      </c>
      <c r="K744">
        <v>7</v>
      </c>
      <c r="L744" t="s">
        <v>62</v>
      </c>
      <c r="M744" t="s">
        <v>63</v>
      </c>
      <c r="N744" t="s">
        <v>64</v>
      </c>
      <c r="O744">
        <v>5</v>
      </c>
      <c r="P744" t="s">
        <v>12</v>
      </c>
      <c r="Q744">
        <v>12.8</v>
      </c>
    </row>
    <row r="745" spans="1:17">
      <c r="A745">
        <v>3316</v>
      </c>
      <c r="B745" t="s">
        <v>76</v>
      </c>
      <c r="C745">
        <v>0.35</v>
      </c>
      <c r="D745">
        <v>0.26</v>
      </c>
      <c r="E745">
        <v>0.09</v>
      </c>
      <c r="F745">
        <v>0.19500000000000001</v>
      </c>
      <c r="G745">
        <v>7.4499999999999997E-2</v>
      </c>
      <c r="H745">
        <v>4.1000000000000002E-2</v>
      </c>
      <c r="I745">
        <v>6.5500000000000003E-2</v>
      </c>
      <c r="J745">
        <v>9</v>
      </c>
      <c r="K745">
        <v>10</v>
      </c>
      <c r="L745" t="s">
        <v>37</v>
      </c>
      <c r="M745" t="s">
        <v>38</v>
      </c>
      <c r="N745" t="s">
        <v>39</v>
      </c>
      <c r="O745">
        <v>10</v>
      </c>
      <c r="P745" t="s">
        <v>11</v>
      </c>
      <c r="Q745">
        <v>24.1</v>
      </c>
    </row>
    <row r="746" spans="1:17">
      <c r="A746">
        <v>3869</v>
      </c>
      <c r="B746" t="s">
        <v>76</v>
      </c>
      <c r="C746">
        <v>0.44</v>
      </c>
      <c r="D746">
        <v>0.34</v>
      </c>
      <c r="E746">
        <v>0.13500000000000001</v>
      </c>
      <c r="F746">
        <v>0.39750000000000002</v>
      </c>
      <c r="G746">
        <v>0.15049999999999999</v>
      </c>
      <c r="H746">
        <v>9.4500000000000001E-2</v>
      </c>
      <c r="I746">
        <v>0.13500000000000001</v>
      </c>
      <c r="J746">
        <v>8</v>
      </c>
      <c r="K746">
        <v>4</v>
      </c>
      <c r="L746" t="s">
        <v>40</v>
      </c>
      <c r="M746" t="s">
        <v>41</v>
      </c>
      <c r="N746" t="s">
        <v>42</v>
      </c>
      <c r="O746">
        <v>8</v>
      </c>
      <c r="P746" t="s">
        <v>13</v>
      </c>
      <c r="Q746">
        <v>12.3</v>
      </c>
    </row>
    <row r="747" spans="1:17">
      <c r="A747">
        <v>818</v>
      </c>
      <c r="B747" t="s">
        <v>76</v>
      </c>
      <c r="C747">
        <v>0.35</v>
      </c>
      <c r="D747">
        <v>0.27</v>
      </c>
      <c r="E747">
        <v>0.09</v>
      </c>
      <c r="F747">
        <v>0.20549999999999999</v>
      </c>
      <c r="G747">
        <v>7.4999999999999997E-2</v>
      </c>
      <c r="H747">
        <v>5.7500000000000002E-2</v>
      </c>
      <c r="I747">
        <v>6.2E-2</v>
      </c>
      <c r="J747">
        <v>6</v>
      </c>
      <c r="K747">
        <v>7</v>
      </c>
      <c r="L747" t="s">
        <v>62</v>
      </c>
      <c r="M747" t="s">
        <v>63</v>
      </c>
      <c r="N747" t="s">
        <v>64</v>
      </c>
      <c r="O747">
        <v>1</v>
      </c>
      <c r="P747" t="s">
        <v>4</v>
      </c>
      <c r="Q747">
        <v>22.1</v>
      </c>
    </row>
    <row r="748" spans="1:17">
      <c r="A748">
        <v>3668</v>
      </c>
      <c r="B748" t="s">
        <v>76</v>
      </c>
      <c r="C748">
        <v>0.58499999999999996</v>
      </c>
      <c r="D748">
        <v>0.42</v>
      </c>
      <c r="E748">
        <v>0.155</v>
      </c>
      <c r="F748">
        <v>1.034</v>
      </c>
      <c r="G748">
        <v>0.437</v>
      </c>
      <c r="H748">
        <v>0.2225</v>
      </c>
      <c r="I748">
        <v>0.32</v>
      </c>
      <c r="J748">
        <v>11</v>
      </c>
      <c r="K748">
        <v>15</v>
      </c>
      <c r="L748" t="s">
        <v>60</v>
      </c>
      <c r="M748" t="s">
        <v>61</v>
      </c>
      <c r="N748" t="s">
        <v>45</v>
      </c>
      <c r="O748">
        <v>3</v>
      </c>
      <c r="P748" t="s">
        <v>10</v>
      </c>
      <c r="Q748">
        <v>3.6</v>
      </c>
    </row>
    <row r="749" spans="1:17">
      <c r="A749">
        <v>3728</v>
      </c>
      <c r="B749" t="s">
        <v>76</v>
      </c>
      <c r="C749">
        <v>0.505</v>
      </c>
      <c r="D749">
        <v>0.4</v>
      </c>
      <c r="E749">
        <v>0.15</v>
      </c>
      <c r="F749">
        <v>0.77500000000000002</v>
      </c>
      <c r="G749">
        <v>0.34449999999999997</v>
      </c>
      <c r="H749">
        <v>0.157</v>
      </c>
      <c r="I749">
        <v>0.185</v>
      </c>
      <c r="J749">
        <v>7</v>
      </c>
      <c r="K749">
        <v>13</v>
      </c>
      <c r="L749" t="s">
        <v>43</v>
      </c>
      <c r="M749" t="s">
        <v>44</v>
      </c>
      <c r="N749" t="s">
        <v>45</v>
      </c>
      <c r="O749">
        <v>6</v>
      </c>
      <c r="P749" t="s">
        <v>7</v>
      </c>
      <c r="Q749">
        <v>14.1</v>
      </c>
    </row>
    <row r="750" spans="1:17">
      <c r="A750">
        <v>1157</v>
      </c>
      <c r="B750" t="s">
        <v>76</v>
      </c>
      <c r="C750">
        <v>0.6</v>
      </c>
      <c r="D750">
        <v>0.46500000000000002</v>
      </c>
      <c r="E750">
        <v>0.155</v>
      </c>
      <c r="F750">
        <v>1.0165</v>
      </c>
      <c r="G750">
        <v>0.51200000000000001</v>
      </c>
      <c r="H750">
        <v>0.2465</v>
      </c>
      <c r="I750">
        <v>0.22500000000000001</v>
      </c>
      <c r="J750">
        <v>10</v>
      </c>
      <c r="K750">
        <v>5</v>
      </c>
      <c r="L750" t="s">
        <v>67</v>
      </c>
      <c r="M750" t="s">
        <v>68</v>
      </c>
      <c r="N750" t="s">
        <v>69</v>
      </c>
      <c r="O750">
        <v>7</v>
      </c>
      <c r="P750" t="s">
        <v>6</v>
      </c>
      <c r="Q750">
        <v>2.5</v>
      </c>
    </row>
    <row r="751" spans="1:17">
      <c r="A751">
        <v>3784</v>
      </c>
      <c r="B751" t="s">
        <v>76</v>
      </c>
      <c r="C751">
        <v>0.62</v>
      </c>
      <c r="D751">
        <v>0.48</v>
      </c>
      <c r="E751">
        <v>0.18</v>
      </c>
      <c r="F751">
        <v>1.1305000000000001</v>
      </c>
      <c r="G751">
        <v>0.52849999999999997</v>
      </c>
      <c r="H751">
        <v>0.26550000000000001</v>
      </c>
      <c r="I751">
        <v>0.30599999999999999</v>
      </c>
      <c r="J751">
        <v>12</v>
      </c>
      <c r="K751">
        <v>14</v>
      </c>
      <c r="L751" t="s">
        <v>72</v>
      </c>
      <c r="M751" t="s">
        <v>73</v>
      </c>
      <c r="N751" t="s">
        <v>74</v>
      </c>
      <c r="O751">
        <v>9</v>
      </c>
      <c r="P751" t="s">
        <v>9</v>
      </c>
      <c r="Q751">
        <v>1.9</v>
      </c>
    </row>
    <row r="752" spans="1:17">
      <c r="A752">
        <v>641</v>
      </c>
      <c r="B752" t="s">
        <v>76</v>
      </c>
      <c r="C752">
        <v>0.32500000000000001</v>
      </c>
      <c r="D752">
        <v>0.24</v>
      </c>
      <c r="E752">
        <v>8.5000000000000006E-2</v>
      </c>
      <c r="F752">
        <v>0.17299999999999999</v>
      </c>
      <c r="G752">
        <v>7.9500000000000001E-2</v>
      </c>
      <c r="H752">
        <v>3.7999999999999999E-2</v>
      </c>
      <c r="I752">
        <v>0.05</v>
      </c>
      <c r="J752">
        <v>7</v>
      </c>
      <c r="K752">
        <v>14</v>
      </c>
      <c r="L752" t="s">
        <v>72</v>
      </c>
      <c r="M752" t="s">
        <v>73</v>
      </c>
      <c r="N752" t="s">
        <v>74</v>
      </c>
      <c r="O752">
        <v>7</v>
      </c>
      <c r="P752" t="s">
        <v>6</v>
      </c>
      <c r="Q752">
        <v>2.5</v>
      </c>
    </row>
    <row r="753" spans="1:17">
      <c r="A753">
        <v>1255</v>
      </c>
      <c r="B753" t="s">
        <v>76</v>
      </c>
      <c r="C753">
        <v>0.42499999999999999</v>
      </c>
      <c r="D753">
        <v>0.32500000000000001</v>
      </c>
      <c r="E753">
        <v>0.11</v>
      </c>
      <c r="F753">
        <v>0.33350000000000002</v>
      </c>
      <c r="G753">
        <v>0.17299999999999999</v>
      </c>
      <c r="H753">
        <v>4.4999999999999998E-2</v>
      </c>
      <c r="I753">
        <v>0.1</v>
      </c>
      <c r="J753">
        <v>7</v>
      </c>
      <c r="K753">
        <v>14</v>
      </c>
      <c r="L753" t="s">
        <v>72</v>
      </c>
      <c r="M753" t="s">
        <v>73</v>
      </c>
      <c r="N753" t="s">
        <v>74</v>
      </c>
      <c r="O753">
        <v>8</v>
      </c>
      <c r="P753" t="s">
        <v>13</v>
      </c>
      <c r="Q753">
        <v>12.3</v>
      </c>
    </row>
    <row r="754" spans="1:17">
      <c r="A754">
        <v>132</v>
      </c>
      <c r="B754" t="s">
        <v>76</v>
      </c>
      <c r="C754">
        <v>0.44</v>
      </c>
      <c r="D754">
        <v>0.35</v>
      </c>
      <c r="E754">
        <v>0.125</v>
      </c>
      <c r="F754">
        <v>0.40350000000000003</v>
      </c>
      <c r="G754">
        <v>0.17499999999999999</v>
      </c>
      <c r="H754">
        <v>6.3E-2</v>
      </c>
      <c r="I754">
        <v>0.129</v>
      </c>
      <c r="J754">
        <v>9</v>
      </c>
      <c r="K754">
        <v>8</v>
      </c>
      <c r="L754" t="s">
        <v>55</v>
      </c>
      <c r="M754" t="s">
        <v>56</v>
      </c>
      <c r="N754" t="s">
        <v>57</v>
      </c>
      <c r="O754">
        <v>8</v>
      </c>
      <c r="P754" t="s">
        <v>13</v>
      </c>
      <c r="Q754">
        <v>12.3</v>
      </c>
    </row>
    <row r="755" spans="1:17">
      <c r="A755">
        <v>1942</v>
      </c>
      <c r="B755" t="s">
        <v>76</v>
      </c>
      <c r="C755">
        <v>0.625</v>
      </c>
      <c r="D755">
        <v>0.47</v>
      </c>
      <c r="E755">
        <v>0.14499999999999999</v>
      </c>
      <c r="F755">
        <v>0.98399999999999999</v>
      </c>
      <c r="G755">
        <v>0.47499999999999998</v>
      </c>
      <c r="H755">
        <v>0.2</v>
      </c>
      <c r="I755">
        <v>0.26500000000000001</v>
      </c>
      <c r="J755">
        <v>11</v>
      </c>
      <c r="K755">
        <v>7</v>
      </c>
      <c r="L755" t="s">
        <v>62</v>
      </c>
      <c r="M755" t="s">
        <v>63</v>
      </c>
      <c r="N755" t="s">
        <v>64</v>
      </c>
      <c r="O755">
        <v>6</v>
      </c>
      <c r="P755" t="s">
        <v>7</v>
      </c>
      <c r="Q755">
        <v>14.1</v>
      </c>
    </row>
    <row r="756" spans="1:17">
      <c r="A756">
        <v>501</v>
      </c>
      <c r="B756" t="s">
        <v>76</v>
      </c>
      <c r="C756">
        <v>0.57999999999999996</v>
      </c>
      <c r="D756">
        <v>0.44</v>
      </c>
      <c r="E756">
        <v>0.18</v>
      </c>
      <c r="F756">
        <v>0.85399999999999998</v>
      </c>
      <c r="G756">
        <v>0.36649999999999999</v>
      </c>
      <c r="H756">
        <v>0.16350000000000001</v>
      </c>
      <c r="I756">
        <v>0.245</v>
      </c>
      <c r="J756">
        <v>12</v>
      </c>
      <c r="K756">
        <v>3</v>
      </c>
      <c r="L756" t="s">
        <v>52</v>
      </c>
      <c r="M756" t="s">
        <v>53</v>
      </c>
      <c r="N756" t="s">
        <v>54</v>
      </c>
      <c r="O756">
        <v>2</v>
      </c>
      <c r="P756" t="s">
        <v>5</v>
      </c>
      <c r="Q756">
        <v>18</v>
      </c>
    </row>
    <row r="757" spans="1:17">
      <c r="A757">
        <v>223</v>
      </c>
      <c r="B757" t="s">
        <v>76</v>
      </c>
      <c r="C757">
        <v>0.49</v>
      </c>
      <c r="D757">
        <v>0.375</v>
      </c>
      <c r="E757">
        <v>0.15</v>
      </c>
      <c r="F757">
        <v>0.57550000000000001</v>
      </c>
      <c r="G757">
        <v>0.22</v>
      </c>
      <c r="H757">
        <v>0.14399999999999999</v>
      </c>
      <c r="I757">
        <v>0.19</v>
      </c>
      <c r="J757">
        <v>9</v>
      </c>
      <c r="K757">
        <v>12</v>
      </c>
      <c r="L757" t="s">
        <v>58</v>
      </c>
      <c r="M757" t="s">
        <v>59</v>
      </c>
      <c r="N757" t="s">
        <v>45</v>
      </c>
      <c r="O757">
        <v>8</v>
      </c>
      <c r="P757" t="s">
        <v>13</v>
      </c>
      <c r="Q757">
        <v>12.3</v>
      </c>
    </row>
    <row r="758" spans="1:17">
      <c r="A758">
        <v>1152</v>
      </c>
      <c r="B758" t="s">
        <v>76</v>
      </c>
      <c r="C758">
        <v>0.58499999999999996</v>
      </c>
      <c r="D758">
        <v>0.46500000000000002</v>
      </c>
      <c r="E758">
        <v>0.16</v>
      </c>
      <c r="F758">
        <v>0.95550000000000002</v>
      </c>
      <c r="G758">
        <v>0.45950000000000002</v>
      </c>
      <c r="H758">
        <v>0.23599999999999999</v>
      </c>
      <c r="I758">
        <v>0.26500000000000001</v>
      </c>
      <c r="J758">
        <v>7</v>
      </c>
      <c r="K758">
        <v>5</v>
      </c>
      <c r="L758" t="s">
        <v>67</v>
      </c>
      <c r="M758" t="s">
        <v>68</v>
      </c>
      <c r="N758" t="s">
        <v>69</v>
      </c>
      <c r="O758">
        <v>8</v>
      </c>
      <c r="P758" t="s">
        <v>13</v>
      </c>
      <c r="Q758">
        <v>12.3</v>
      </c>
    </row>
    <row r="759" spans="1:17">
      <c r="A759">
        <v>2912</v>
      </c>
      <c r="B759" t="s">
        <v>76</v>
      </c>
      <c r="C759">
        <v>0.57999999999999996</v>
      </c>
      <c r="D759">
        <v>0.44</v>
      </c>
      <c r="E759">
        <v>0.125</v>
      </c>
      <c r="F759">
        <v>0.78549999999999998</v>
      </c>
      <c r="G759">
        <v>0.36299999999999999</v>
      </c>
      <c r="H759">
        <v>0.19550000000000001</v>
      </c>
      <c r="I759">
        <v>0.19500000000000001</v>
      </c>
      <c r="J759">
        <v>11</v>
      </c>
      <c r="K759">
        <v>10</v>
      </c>
      <c r="L759" t="s">
        <v>37</v>
      </c>
      <c r="M759" t="s">
        <v>38</v>
      </c>
      <c r="N759" t="s">
        <v>39</v>
      </c>
      <c r="O759">
        <v>9</v>
      </c>
      <c r="P759" t="s">
        <v>9</v>
      </c>
      <c r="Q759">
        <v>1.9</v>
      </c>
    </row>
    <row r="760" spans="1:17">
      <c r="A760">
        <v>3673</v>
      </c>
      <c r="B760" t="s">
        <v>76</v>
      </c>
      <c r="C760">
        <v>0.59499999999999997</v>
      </c>
      <c r="D760">
        <v>0.44</v>
      </c>
      <c r="E760">
        <v>0.13500000000000001</v>
      </c>
      <c r="F760">
        <v>0.96399999999999997</v>
      </c>
      <c r="G760">
        <v>0.50049999999999994</v>
      </c>
      <c r="H760">
        <v>0.17150000000000001</v>
      </c>
      <c r="I760">
        <v>0.25750000000000001</v>
      </c>
      <c r="J760">
        <v>10</v>
      </c>
      <c r="K760">
        <v>10</v>
      </c>
      <c r="L760" t="s">
        <v>37</v>
      </c>
      <c r="M760" t="s">
        <v>38</v>
      </c>
      <c r="N760" t="s">
        <v>39</v>
      </c>
      <c r="O760">
        <v>3</v>
      </c>
      <c r="P760" t="s">
        <v>10</v>
      </c>
      <c r="Q760">
        <v>3.6</v>
      </c>
    </row>
    <row r="761" spans="1:17">
      <c r="A761">
        <v>1990</v>
      </c>
      <c r="B761" t="s">
        <v>76</v>
      </c>
      <c r="C761">
        <v>0.28000000000000003</v>
      </c>
      <c r="D761">
        <v>0.21</v>
      </c>
      <c r="E761">
        <v>7.4999999999999997E-2</v>
      </c>
      <c r="F761">
        <v>0.1195</v>
      </c>
      <c r="G761">
        <v>5.2999999999999999E-2</v>
      </c>
      <c r="H761">
        <v>2.6499999999999999E-2</v>
      </c>
      <c r="I761">
        <v>0.03</v>
      </c>
      <c r="J761">
        <v>6</v>
      </c>
      <c r="K761">
        <v>2</v>
      </c>
      <c r="L761" t="s">
        <v>49</v>
      </c>
      <c r="M761" t="s">
        <v>50</v>
      </c>
      <c r="N761" t="s">
        <v>51</v>
      </c>
      <c r="O761">
        <v>6</v>
      </c>
      <c r="P761" t="s">
        <v>7</v>
      </c>
      <c r="Q761">
        <v>14.1</v>
      </c>
    </row>
    <row r="762" spans="1:17">
      <c r="A762">
        <v>2342</v>
      </c>
      <c r="B762" t="s">
        <v>76</v>
      </c>
      <c r="C762">
        <v>0.31</v>
      </c>
      <c r="D762">
        <v>0.24</v>
      </c>
      <c r="E762">
        <v>0.09</v>
      </c>
      <c r="F762">
        <v>0.14549999999999999</v>
      </c>
      <c r="G762">
        <v>6.0499999999999998E-2</v>
      </c>
      <c r="H762">
        <v>3.15E-2</v>
      </c>
      <c r="I762">
        <v>4.4999999999999998E-2</v>
      </c>
      <c r="J762">
        <v>7</v>
      </c>
      <c r="K762">
        <v>15</v>
      </c>
      <c r="L762" t="s">
        <v>60</v>
      </c>
      <c r="M762" t="s">
        <v>61</v>
      </c>
      <c r="N762" t="s">
        <v>45</v>
      </c>
      <c r="O762">
        <v>3</v>
      </c>
      <c r="P762" t="s">
        <v>10</v>
      </c>
      <c r="Q762">
        <v>3.6</v>
      </c>
    </row>
    <row r="763" spans="1:17">
      <c r="A763">
        <v>2739</v>
      </c>
      <c r="B763" t="s">
        <v>76</v>
      </c>
      <c r="C763">
        <v>0.45</v>
      </c>
      <c r="D763">
        <v>0.32500000000000001</v>
      </c>
      <c r="E763">
        <v>0.115</v>
      </c>
      <c r="F763">
        <v>0.43049999999999999</v>
      </c>
      <c r="G763">
        <v>0.2235</v>
      </c>
      <c r="H763">
        <v>7.85E-2</v>
      </c>
      <c r="I763">
        <v>0.11550000000000001</v>
      </c>
      <c r="J763">
        <v>8</v>
      </c>
      <c r="K763">
        <v>1</v>
      </c>
      <c r="L763" t="s">
        <v>70</v>
      </c>
      <c r="M763" t="s">
        <v>71</v>
      </c>
      <c r="N763" t="s">
        <v>45</v>
      </c>
      <c r="O763">
        <v>2</v>
      </c>
      <c r="P763" t="s">
        <v>5</v>
      </c>
      <c r="Q763">
        <v>18</v>
      </c>
    </row>
    <row r="764" spans="1:17">
      <c r="A764">
        <v>2347</v>
      </c>
      <c r="B764" t="s">
        <v>76</v>
      </c>
      <c r="C764">
        <v>0.56000000000000005</v>
      </c>
      <c r="D764">
        <v>0.43</v>
      </c>
      <c r="E764">
        <v>0.125</v>
      </c>
      <c r="F764">
        <v>0.80249999999999999</v>
      </c>
      <c r="G764">
        <v>0.313</v>
      </c>
      <c r="H764">
        <v>0.17150000000000001</v>
      </c>
      <c r="I764">
        <v>0.26300000000000001</v>
      </c>
      <c r="J764">
        <v>13</v>
      </c>
      <c r="K764">
        <v>9</v>
      </c>
      <c r="L764" t="s">
        <v>34</v>
      </c>
      <c r="M764" t="s">
        <v>35</v>
      </c>
      <c r="N764" t="s">
        <v>36</v>
      </c>
      <c r="O764">
        <v>10</v>
      </c>
      <c r="P764" t="s">
        <v>11</v>
      </c>
      <c r="Q764">
        <v>24.1</v>
      </c>
    </row>
    <row r="765" spans="1:17">
      <c r="A765">
        <v>3966</v>
      </c>
      <c r="B765" t="s">
        <v>76</v>
      </c>
      <c r="C765">
        <v>0.29499999999999998</v>
      </c>
      <c r="D765">
        <v>0.22</v>
      </c>
      <c r="E765">
        <v>7.0000000000000007E-2</v>
      </c>
      <c r="F765">
        <v>0.13650000000000001</v>
      </c>
      <c r="G765">
        <v>5.7500000000000002E-2</v>
      </c>
      <c r="H765">
        <v>2.9499999999999998E-2</v>
      </c>
      <c r="I765">
        <v>3.5000000000000003E-2</v>
      </c>
      <c r="J765">
        <v>6</v>
      </c>
      <c r="K765">
        <v>13</v>
      </c>
      <c r="L765" t="s">
        <v>43</v>
      </c>
      <c r="M765" t="s">
        <v>44</v>
      </c>
      <c r="N765" t="s">
        <v>45</v>
      </c>
      <c r="O765">
        <v>4</v>
      </c>
      <c r="P765" t="s">
        <v>8</v>
      </c>
      <c r="Q765">
        <v>6.1</v>
      </c>
    </row>
    <row r="766" spans="1:17">
      <c r="A766">
        <v>738</v>
      </c>
      <c r="B766" t="s">
        <v>76</v>
      </c>
      <c r="C766">
        <v>0.52</v>
      </c>
      <c r="D766">
        <v>0.40500000000000003</v>
      </c>
      <c r="E766">
        <v>0.125</v>
      </c>
      <c r="F766">
        <v>0.64349999999999996</v>
      </c>
      <c r="G766">
        <v>0.24149999999999999</v>
      </c>
      <c r="H766">
        <v>0.17349999999999999</v>
      </c>
      <c r="I766">
        <v>0.21</v>
      </c>
      <c r="J766">
        <v>12</v>
      </c>
      <c r="K766">
        <v>8</v>
      </c>
      <c r="L766" t="s">
        <v>55</v>
      </c>
      <c r="M766" t="s">
        <v>56</v>
      </c>
      <c r="N766" t="s">
        <v>57</v>
      </c>
      <c r="O766">
        <v>6</v>
      </c>
      <c r="P766" t="s">
        <v>7</v>
      </c>
      <c r="Q766">
        <v>14.1</v>
      </c>
    </row>
    <row r="767" spans="1:17">
      <c r="A767">
        <v>437</v>
      </c>
      <c r="B767" t="s">
        <v>76</v>
      </c>
      <c r="C767">
        <v>0.36</v>
      </c>
      <c r="D767">
        <v>0.27500000000000002</v>
      </c>
      <c r="E767">
        <v>9.5000000000000001E-2</v>
      </c>
      <c r="F767">
        <v>0.217</v>
      </c>
      <c r="G767">
        <v>8.4000000000000005E-2</v>
      </c>
      <c r="H767">
        <v>4.3499999999999997E-2</v>
      </c>
      <c r="I767">
        <v>0.09</v>
      </c>
      <c r="J767">
        <v>7</v>
      </c>
      <c r="K767">
        <v>15</v>
      </c>
      <c r="L767" t="s">
        <v>60</v>
      </c>
      <c r="M767" t="s">
        <v>61</v>
      </c>
      <c r="N767" t="s">
        <v>45</v>
      </c>
      <c r="O767">
        <v>2</v>
      </c>
      <c r="P767" t="s">
        <v>5</v>
      </c>
      <c r="Q767">
        <v>18</v>
      </c>
    </row>
    <row r="768" spans="1:17">
      <c r="A768">
        <v>150</v>
      </c>
      <c r="B768" t="s">
        <v>76</v>
      </c>
      <c r="C768">
        <v>0.17</v>
      </c>
      <c r="D768">
        <v>0.13</v>
      </c>
      <c r="E768">
        <v>9.5000000000000001E-2</v>
      </c>
      <c r="F768">
        <v>0.03</v>
      </c>
      <c r="G768">
        <v>1.2999999999999999E-2</v>
      </c>
      <c r="H768">
        <v>8.0000000000000002E-3</v>
      </c>
      <c r="I768">
        <v>0.01</v>
      </c>
      <c r="J768">
        <v>4</v>
      </c>
      <c r="K768">
        <v>7</v>
      </c>
      <c r="L768" t="s">
        <v>62</v>
      </c>
      <c r="M768" t="s">
        <v>63</v>
      </c>
      <c r="N768" t="s">
        <v>64</v>
      </c>
      <c r="O768">
        <v>6</v>
      </c>
      <c r="P768" t="s">
        <v>7</v>
      </c>
      <c r="Q768">
        <v>14.1</v>
      </c>
    </row>
    <row r="769" spans="1:17">
      <c r="A769">
        <v>2660</v>
      </c>
      <c r="B769" t="s">
        <v>76</v>
      </c>
      <c r="C769">
        <v>0.55000000000000004</v>
      </c>
      <c r="D769">
        <v>0.44</v>
      </c>
      <c r="E769">
        <v>0.13500000000000001</v>
      </c>
      <c r="F769">
        <v>0.84350000000000003</v>
      </c>
      <c r="G769">
        <v>0.434</v>
      </c>
      <c r="H769">
        <v>0.19950000000000001</v>
      </c>
      <c r="I769">
        <v>0.185</v>
      </c>
      <c r="J769">
        <v>8</v>
      </c>
      <c r="K769">
        <v>14</v>
      </c>
      <c r="L769" t="s">
        <v>72</v>
      </c>
      <c r="M769" t="s">
        <v>73</v>
      </c>
      <c r="N769" t="s">
        <v>74</v>
      </c>
      <c r="O769">
        <v>7</v>
      </c>
      <c r="P769" t="s">
        <v>6</v>
      </c>
      <c r="Q769">
        <v>2.5</v>
      </c>
    </row>
    <row r="770" spans="1:17">
      <c r="A770">
        <v>2934</v>
      </c>
      <c r="B770" t="s">
        <v>76</v>
      </c>
      <c r="C770">
        <v>0.61499999999999999</v>
      </c>
      <c r="D770">
        <v>0.495</v>
      </c>
      <c r="E770">
        <v>0.16500000000000001</v>
      </c>
      <c r="F770">
        <v>1.198</v>
      </c>
      <c r="G770">
        <v>0.54149999999999998</v>
      </c>
      <c r="H770">
        <v>0.28649999999999998</v>
      </c>
      <c r="I770">
        <v>0.31850000000000001</v>
      </c>
      <c r="J770">
        <v>10</v>
      </c>
      <c r="K770">
        <v>6</v>
      </c>
      <c r="L770" t="s">
        <v>46</v>
      </c>
      <c r="M770" t="s">
        <v>47</v>
      </c>
      <c r="N770" t="s">
        <v>48</v>
      </c>
      <c r="O770">
        <v>9</v>
      </c>
      <c r="P770" t="s">
        <v>9</v>
      </c>
      <c r="Q770">
        <v>1.9</v>
      </c>
    </row>
    <row r="771" spans="1:17">
      <c r="A771">
        <v>1256</v>
      </c>
      <c r="B771" t="s">
        <v>76</v>
      </c>
      <c r="C771">
        <v>0.42499999999999999</v>
      </c>
      <c r="D771">
        <v>0.32</v>
      </c>
      <c r="E771">
        <v>0.1</v>
      </c>
      <c r="F771">
        <v>0.30549999999999999</v>
      </c>
      <c r="G771">
        <v>0.126</v>
      </c>
      <c r="H771">
        <v>0.06</v>
      </c>
      <c r="I771">
        <v>0.106</v>
      </c>
      <c r="J771">
        <v>7</v>
      </c>
      <c r="K771">
        <v>4</v>
      </c>
      <c r="L771" t="s">
        <v>40</v>
      </c>
      <c r="M771" t="s">
        <v>41</v>
      </c>
      <c r="N771" t="s">
        <v>42</v>
      </c>
      <c r="O771">
        <v>3</v>
      </c>
      <c r="P771" t="s">
        <v>10</v>
      </c>
      <c r="Q771">
        <v>3.6</v>
      </c>
    </row>
    <row r="772" spans="1:17">
      <c r="A772">
        <v>751</v>
      </c>
      <c r="B772" t="s">
        <v>76</v>
      </c>
      <c r="C772">
        <v>0.51</v>
      </c>
      <c r="D772">
        <v>0.39</v>
      </c>
      <c r="E772">
        <v>0.105</v>
      </c>
      <c r="F772">
        <v>0.61199999999999999</v>
      </c>
      <c r="G772">
        <v>0.187</v>
      </c>
      <c r="H772">
        <v>0.15</v>
      </c>
      <c r="I772">
        <v>0.19500000000000001</v>
      </c>
      <c r="J772">
        <v>13</v>
      </c>
      <c r="K772">
        <v>5</v>
      </c>
      <c r="L772" t="s">
        <v>67</v>
      </c>
      <c r="M772" t="s">
        <v>68</v>
      </c>
      <c r="N772" t="s">
        <v>69</v>
      </c>
      <c r="O772">
        <v>5</v>
      </c>
      <c r="P772" t="s">
        <v>12</v>
      </c>
      <c r="Q772">
        <v>12.8</v>
      </c>
    </row>
    <row r="773" spans="1:17">
      <c r="A773">
        <v>2637</v>
      </c>
      <c r="B773" t="s">
        <v>76</v>
      </c>
      <c r="C773">
        <v>0.44</v>
      </c>
      <c r="D773">
        <v>0.34</v>
      </c>
      <c r="E773">
        <v>0.1</v>
      </c>
      <c r="F773">
        <v>0.40699999999999997</v>
      </c>
      <c r="G773">
        <v>0.20899999999999999</v>
      </c>
      <c r="H773">
        <v>7.3499999999999996E-2</v>
      </c>
      <c r="I773">
        <v>0.10299999999999999</v>
      </c>
      <c r="J773">
        <v>7</v>
      </c>
      <c r="K773">
        <v>6</v>
      </c>
      <c r="L773" t="s">
        <v>46</v>
      </c>
      <c r="M773" t="s">
        <v>47</v>
      </c>
      <c r="N773" t="s">
        <v>48</v>
      </c>
      <c r="O773">
        <v>9</v>
      </c>
      <c r="P773" t="s">
        <v>9</v>
      </c>
      <c r="Q773">
        <v>1.9</v>
      </c>
    </row>
    <row r="774" spans="1:17">
      <c r="A774">
        <v>1373</v>
      </c>
      <c r="B774" t="s">
        <v>76</v>
      </c>
      <c r="C774">
        <v>0.61499999999999999</v>
      </c>
      <c r="D774">
        <v>0.47499999999999998</v>
      </c>
      <c r="E774">
        <v>0.16500000000000001</v>
      </c>
      <c r="F774">
        <v>1.0229999999999999</v>
      </c>
      <c r="G774">
        <v>0.49049999999999999</v>
      </c>
      <c r="H774">
        <v>0.19550000000000001</v>
      </c>
      <c r="I774">
        <v>0.30349999999999999</v>
      </c>
      <c r="J774">
        <v>12</v>
      </c>
      <c r="K774">
        <v>7</v>
      </c>
      <c r="L774" t="s">
        <v>62</v>
      </c>
      <c r="M774" t="s">
        <v>63</v>
      </c>
      <c r="N774" t="s">
        <v>64</v>
      </c>
      <c r="O774">
        <v>2</v>
      </c>
      <c r="P774" t="s">
        <v>5</v>
      </c>
      <c r="Q774">
        <v>18</v>
      </c>
    </row>
    <row r="775" spans="1:17">
      <c r="A775">
        <v>1783</v>
      </c>
      <c r="B775" t="s">
        <v>76</v>
      </c>
      <c r="C775">
        <v>0.52500000000000002</v>
      </c>
      <c r="D775">
        <v>0.36499999999999999</v>
      </c>
      <c r="E775">
        <v>0.17</v>
      </c>
      <c r="F775">
        <v>0.96050000000000002</v>
      </c>
      <c r="G775">
        <v>0.438</v>
      </c>
      <c r="H775">
        <v>0.2225</v>
      </c>
      <c r="I775">
        <v>0.27600000000000002</v>
      </c>
      <c r="J775">
        <v>10</v>
      </c>
      <c r="K775">
        <v>11</v>
      </c>
      <c r="L775" t="s">
        <v>65</v>
      </c>
      <c r="M775" t="s">
        <v>66</v>
      </c>
      <c r="N775" t="s">
        <v>45</v>
      </c>
      <c r="O775">
        <v>5</v>
      </c>
      <c r="P775" t="s">
        <v>12</v>
      </c>
      <c r="Q775">
        <v>12.8</v>
      </c>
    </row>
    <row r="776" spans="1:17">
      <c r="A776">
        <v>2901</v>
      </c>
      <c r="B776" t="s">
        <v>76</v>
      </c>
      <c r="C776">
        <v>0.55000000000000004</v>
      </c>
      <c r="D776">
        <v>0.435</v>
      </c>
      <c r="E776">
        <v>0.14000000000000001</v>
      </c>
      <c r="F776">
        <v>0.745</v>
      </c>
      <c r="G776">
        <v>0.34699999999999998</v>
      </c>
      <c r="H776">
        <v>0.17399999999999999</v>
      </c>
      <c r="I776">
        <v>0.22650000000000001</v>
      </c>
      <c r="J776">
        <v>9</v>
      </c>
      <c r="K776">
        <v>7</v>
      </c>
      <c r="L776" t="s">
        <v>62</v>
      </c>
      <c r="M776" t="s">
        <v>63</v>
      </c>
      <c r="N776" t="s">
        <v>64</v>
      </c>
      <c r="O776">
        <v>5</v>
      </c>
      <c r="P776" t="s">
        <v>12</v>
      </c>
      <c r="Q776">
        <v>12.8</v>
      </c>
    </row>
    <row r="777" spans="1:17">
      <c r="A777">
        <v>256</v>
      </c>
      <c r="B777" t="s">
        <v>76</v>
      </c>
      <c r="C777">
        <v>0.56000000000000005</v>
      </c>
      <c r="D777">
        <v>0.45</v>
      </c>
      <c r="E777">
        <v>0.17499999999999999</v>
      </c>
      <c r="F777">
        <v>1.0109999999999999</v>
      </c>
      <c r="G777">
        <v>0.38350000000000001</v>
      </c>
      <c r="H777">
        <v>0.20649999999999999</v>
      </c>
      <c r="I777">
        <v>0.37</v>
      </c>
      <c r="J777">
        <v>15</v>
      </c>
      <c r="K777">
        <v>12</v>
      </c>
      <c r="L777" t="s">
        <v>58</v>
      </c>
      <c r="M777" t="s">
        <v>59</v>
      </c>
      <c r="N777" t="s">
        <v>45</v>
      </c>
      <c r="O777">
        <v>7</v>
      </c>
      <c r="P777" t="s">
        <v>6</v>
      </c>
      <c r="Q777">
        <v>2.5</v>
      </c>
    </row>
    <row r="778" spans="1:17">
      <c r="A778">
        <v>608</v>
      </c>
      <c r="B778" t="s">
        <v>76</v>
      </c>
      <c r="C778">
        <v>0.48499999999999999</v>
      </c>
      <c r="D778">
        <v>0.37</v>
      </c>
      <c r="E778">
        <v>0.13</v>
      </c>
      <c r="F778">
        <v>0.45800000000000002</v>
      </c>
      <c r="G778">
        <v>0.18099999999999999</v>
      </c>
      <c r="H778">
        <v>0.113</v>
      </c>
      <c r="I778">
        <v>0.13600000000000001</v>
      </c>
      <c r="J778">
        <v>10</v>
      </c>
      <c r="K778">
        <v>13</v>
      </c>
      <c r="L778" t="s">
        <v>43</v>
      </c>
      <c r="M778" t="s">
        <v>44</v>
      </c>
      <c r="N778" t="s">
        <v>45</v>
      </c>
      <c r="O778">
        <v>7</v>
      </c>
      <c r="P778" t="s">
        <v>6</v>
      </c>
      <c r="Q778">
        <v>2.5</v>
      </c>
    </row>
    <row r="779" spans="1:17">
      <c r="A779">
        <v>3413</v>
      </c>
      <c r="B779" t="s">
        <v>76</v>
      </c>
      <c r="C779">
        <v>0.48</v>
      </c>
      <c r="D779">
        <v>0.35499999999999998</v>
      </c>
      <c r="E779">
        <v>0.115</v>
      </c>
      <c r="F779">
        <v>0.57850000000000001</v>
      </c>
      <c r="G779">
        <v>0.25</v>
      </c>
      <c r="H779">
        <v>0.106</v>
      </c>
      <c r="I779">
        <v>0.184</v>
      </c>
      <c r="J779">
        <v>8</v>
      </c>
      <c r="K779">
        <v>9</v>
      </c>
      <c r="L779" t="s">
        <v>34</v>
      </c>
      <c r="M779" t="s">
        <v>35</v>
      </c>
      <c r="N779" t="s">
        <v>36</v>
      </c>
      <c r="O779">
        <v>6</v>
      </c>
      <c r="P779" t="s">
        <v>7</v>
      </c>
      <c r="Q779">
        <v>14.1</v>
      </c>
    </row>
    <row r="780" spans="1:17">
      <c r="A780">
        <v>2143</v>
      </c>
      <c r="B780" t="s">
        <v>76</v>
      </c>
      <c r="C780">
        <v>0.46</v>
      </c>
      <c r="D780">
        <v>0.35</v>
      </c>
      <c r="E780">
        <v>0.11</v>
      </c>
      <c r="F780">
        <v>0.39450000000000002</v>
      </c>
      <c r="G780">
        <v>0.16850000000000001</v>
      </c>
      <c r="H780">
        <v>8.6499999999999994E-2</v>
      </c>
      <c r="I780">
        <v>0.125</v>
      </c>
      <c r="J780">
        <v>9</v>
      </c>
      <c r="K780">
        <v>2</v>
      </c>
      <c r="L780" t="s">
        <v>49</v>
      </c>
      <c r="M780" t="s">
        <v>50</v>
      </c>
      <c r="N780" t="s">
        <v>51</v>
      </c>
      <c r="O780">
        <v>6</v>
      </c>
      <c r="P780" t="s">
        <v>7</v>
      </c>
      <c r="Q780">
        <v>14.1</v>
      </c>
    </row>
    <row r="781" spans="1:17">
      <c r="A781">
        <v>1310</v>
      </c>
      <c r="B781" t="s">
        <v>76</v>
      </c>
      <c r="C781">
        <v>0.54500000000000004</v>
      </c>
      <c r="D781">
        <v>0.43</v>
      </c>
      <c r="E781">
        <v>0.15</v>
      </c>
      <c r="F781">
        <v>0.72850000000000004</v>
      </c>
      <c r="G781">
        <v>0.30199999999999999</v>
      </c>
      <c r="H781">
        <v>0.13150000000000001</v>
      </c>
      <c r="I781">
        <v>0.2545</v>
      </c>
      <c r="J781">
        <v>10</v>
      </c>
      <c r="K781">
        <v>8</v>
      </c>
      <c r="L781" t="s">
        <v>55</v>
      </c>
      <c r="M781" t="s">
        <v>56</v>
      </c>
      <c r="N781" t="s">
        <v>57</v>
      </c>
      <c r="O781">
        <v>4</v>
      </c>
      <c r="P781" t="s">
        <v>8</v>
      </c>
      <c r="Q781">
        <v>6.1</v>
      </c>
    </row>
    <row r="782" spans="1:17">
      <c r="A782">
        <v>682</v>
      </c>
      <c r="B782" t="s">
        <v>76</v>
      </c>
      <c r="C782">
        <v>0.48499999999999999</v>
      </c>
      <c r="D782">
        <v>0.37</v>
      </c>
      <c r="E782">
        <v>0.14000000000000001</v>
      </c>
      <c r="F782">
        <v>0.57250000000000001</v>
      </c>
      <c r="G782">
        <v>0.20399999999999999</v>
      </c>
      <c r="H782">
        <v>0.14149999999999999</v>
      </c>
      <c r="I782">
        <v>0.17499999999999999</v>
      </c>
      <c r="J782">
        <v>10</v>
      </c>
      <c r="K782">
        <v>12</v>
      </c>
      <c r="L782" t="s">
        <v>58</v>
      </c>
      <c r="M782" t="s">
        <v>59</v>
      </c>
      <c r="N782" t="s">
        <v>45</v>
      </c>
      <c r="O782">
        <v>2</v>
      </c>
      <c r="P782" t="s">
        <v>5</v>
      </c>
      <c r="Q782">
        <v>18</v>
      </c>
    </row>
    <row r="783" spans="1:17">
      <c r="A783">
        <v>746</v>
      </c>
      <c r="B783" t="s">
        <v>76</v>
      </c>
      <c r="C783">
        <v>0.53</v>
      </c>
      <c r="D783">
        <v>0.42</v>
      </c>
      <c r="E783">
        <v>0.13</v>
      </c>
      <c r="F783">
        <v>1.0009999999999999</v>
      </c>
      <c r="G783">
        <v>0.34</v>
      </c>
      <c r="H783">
        <v>0.22600000000000001</v>
      </c>
      <c r="I783">
        <v>0.26500000000000001</v>
      </c>
      <c r="J783">
        <v>17</v>
      </c>
      <c r="K783">
        <v>2</v>
      </c>
      <c r="L783" t="s">
        <v>49</v>
      </c>
      <c r="M783" t="s">
        <v>50</v>
      </c>
      <c r="N783" t="s">
        <v>51</v>
      </c>
      <c r="O783">
        <v>3</v>
      </c>
      <c r="P783" t="s">
        <v>10</v>
      </c>
      <c r="Q783">
        <v>3.6</v>
      </c>
    </row>
    <row r="784" spans="1:17">
      <c r="A784">
        <v>3526</v>
      </c>
      <c r="B784" t="s">
        <v>76</v>
      </c>
      <c r="C784">
        <v>0.33</v>
      </c>
      <c r="D784">
        <v>0.23</v>
      </c>
      <c r="E784">
        <v>8.5000000000000006E-2</v>
      </c>
      <c r="F784">
        <v>0.16950000000000001</v>
      </c>
      <c r="G784">
        <v>7.9000000000000001E-2</v>
      </c>
      <c r="H784">
        <v>2.5999999999999999E-2</v>
      </c>
      <c r="I784">
        <v>5.0500000000000003E-2</v>
      </c>
      <c r="J784">
        <v>6</v>
      </c>
      <c r="K784">
        <v>5</v>
      </c>
      <c r="L784" t="s">
        <v>67</v>
      </c>
      <c r="M784" t="s">
        <v>68</v>
      </c>
      <c r="N784" t="s">
        <v>69</v>
      </c>
      <c r="O784">
        <v>3</v>
      </c>
      <c r="P784" t="s">
        <v>10</v>
      </c>
      <c r="Q784">
        <v>3.6</v>
      </c>
    </row>
    <row r="785" spans="1:17">
      <c r="A785">
        <v>615</v>
      </c>
      <c r="B785" t="s">
        <v>76</v>
      </c>
      <c r="C785">
        <v>0.45</v>
      </c>
      <c r="D785">
        <v>0.35</v>
      </c>
      <c r="E785">
        <v>0.14499999999999999</v>
      </c>
      <c r="F785">
        <v>0.52500000000000002</v>
      </c>
      <c r="G785">
        <v>0.20849999999999999</v>
      </c>
      <c r="H785">
        <v>0.1</v>
      </c>
      <c r="I785">
        <v>0.16550000000000001</v>
      </c>
      <c r="J785">
        <v>15</v>
      </c>
      <c r="K785">
        <v>8</v>
      </c>
      <c r="L785" t="s">
        <v>55</v>
      </c>
      <c r="M785" t="s">
        <v>56</v>
      </c>
      <c r="N785" t="s">
        <v>57</v>
      </c>
      <c r="O785">
        <v>5</v>
      </c>
      <c r="P785" t="s">
        <v>12</v>
      </c>
      <c r="Q785">
        <v>12.8</v>
      </c>
    </row>
    <row r="786" spans="1:17">
      <c r="A786">
        <v>848</v>
      </c>
      <c r="B786" t="s">
        <v>76</v>
      </c>
      <c r="C786">
        <v>0.54500000000000004</v>
      </c>
      <c r="D786">
        <v>0.44</v>
      </c>
      <c r="E786">
        <v>0.13500000000000001</v>
      </c>
      <c r="F786">
        <v>0.91849999999999998</v>
      </c>
      <c r="G786">
        <v>0.42899999999999999</v>
      </c>
      <c r="H786">
        <v>0.20150000000000001</v>
      </c>
      <c r="I786">
        <v>0.23749999999999999</v>
      </c>
      <c r="J786">
        <v>10</v>
      </c>
      <c r="K786">
        <v>13</v>
      </c>
      <c r="L786" t="s">
        <v>43</v>
      </c>
      <c r="M786" t="s">
        <v>44</v>
      </c>
      <c r="N786" t="s">
        <v>45</v>
      </c>
      <c r="O786">
        <v>4</v>
      </c>
      <c r="P786" t="s">
        <v>8</v>
      </c>
      <c r="Q786">
        <v>6.1</v>
      </c>
    </row>
    <row r="787" spans="1:17">
      <c r="A787">
        <v>3112</v>
      </c>
      <c r="B787" t="s">
        <v>76</v>
      </c>
      <c r="C787">
        <v>0.41</v>
      </c>
      <c r="D787">
        <v>0.32500000000000001</v>
      </c>
      <c r="E787">
        <v>0.105</v>
      </c>
      <c r="F787">
        <v>0.36099999999999999</v>
      </c>
      <c r="G787">
        <v>0.1605</v>
      </c>
      <c r="H787">
        <v>6.6500000000000004E-2</v>
      </c>
      <c r="I787">
        <v>0.10299999999999999</v>
      </c>
      <c r="J787">
        <v>8</v>
      </c>
      <c r="K787">
        <v>11</v>
      </c>
      <c r="L787" t="s">
        <v>65</v>
      </c>
      <c r="M787" t="s">
        <v>66</v>
      </c>
      <c r="N787" t="s">
        <v>45</v>
      </c>
      <c r="O787">
        <v>5</v>
      </c>
      <c r="P787" t="s">
        <v>12</v>
      </c>
      <c r="Q787">
        <v>12.8</v>
      </c>
    </row>
    <row r="788" spans="1:17">
      <c r="A788">
        <v>483</v>
      </c>
      <c r="B788" t="s">
        <v>76</v>
      </c>
      <c r="C788">
        <v>0.56999999999999995</v>
      </c>
      <c r="D788">
        <v>0.46500000000000002</v>
      </c>
      <c r="E788">
        <v>0.125</v>
      </c>
      <c r="F788">
        <v>0.84899999999999998</v>
      </c>
      <c r="G788">
        <v>0.3785</v>
      </c>
      <c r="H788">
        <v>0.17649999999999999</v>
      </c>
      <c r="I788">
        <v>0.24</v>
      </c>
      <c r="J788">
        <v>15</v>
      </c>
      <c r="K788">
        <v>15</v>
      </c>
      <c r="L788" t="s">
        <v>60</v>
      </c>
      <c r="M788" t="s">
        <v>61</v>
      </c>
      <c r="N788" t="s">
        <v>45</v>
      </c>
      <c r="O788">
        <v>7</v>
      </c>
      <c r="P788" t="s">
        <v>6</v>
      </c>
      <c r="Q788">
        <v>2.5</v>
      </c>
    </row>
    <row r="789" spans="1:17">
      <c r="A789">
        <v>3155</v>
      </c>
      <c r="B789" t="s">
        <v>76</v>
      </c>
      <c r="C789">
        <v>0.54</v>
      </c>
      <c r="D789">
        <v>0.41</v>
      </c>
      <c r="E789">
        <v>0.13</v>
      </c>
      <c r="F789">
        <v>0.56000000000000005</v>
      </c>
      <c r="G789">
        <v>0.23749999999999999</v>
      </c>
      <c r="H789">
        <v>0.1065</v>
      </c>
      <c r="I789">
        <v>0.17499999999999999</v>
      </c>
      <c r="J789">
        <v>7</v>
      </c>
      <c r="K789">
        <v>11</v>
      </c>
      <c r="L789" t="s">
        <v>65</v>
      </c>
      <c r="M789" t="s">
        <v>66</v>
      </c>
      <c r="N789" t="s">
        <v>45</v>
      </c>
      <c r="O789">
        <v>10</v>
      </c>
      <c r="P789" t="s">
        <v>11</v>
      </c>
      <c r="Q789">
        <v>24.1</v>
      </c>
    </row>
    <row r="790" spans="1:17">
      <c r="A790">
        <v>3736</v>
      </c>
      <c r="B790" t="s">
        <v>76</v>
      </c>
      <c r="C790">
        <v>0.61499999999999999</v>
      </c>
      <c r="D790">
        <v>0.47499999999999998</v>
      </c>
      <c r="E790">
        <v>0.15</v>
      </c>
      <c r="F790">
        <v>1.0375000000000001</v>
      </c>
      <c r="G790">
        <v>0.47599999999999998</v>
      </c>
      <c r="H790">
        <v>0.23250000000000001</v>
      </c>
      <c r="I790">
        <v>0.28299999999999997</v>
      </c>
      <c r="J790">
        <v>9</v>
      </c>
      <c r="K790">
        <v>13</v>
      </c>
      <c r="L790" t="s">
        <v>43</v>
      </c>
      <c r="M790" t="s">
        <v>44</v>
      </c>
      <c r="N790" t="s">
        <v>45</v>
      </c>
      <c r="O790">
        <v>5</v>
      </c>
      <c r="P790" t="s">
        <v>12</v>
      </c>
      <c r="Q790">
        <v>12.8</v>
      </c>
    </row>
    <row r="791" spans="1:17">
      <c r="A791">
        <v>1169</v>
      </c>
      <c r="B791" t="s">
        <v>76</v>
      </c>
      <c r="C791">
        <v>0.62</v>
      </c>
      <c r="D791">
        <v>0.45</v>
      </c>
      <c r="E791">
        <v>0.2</v>
      </c>
      <c r="F791">
        <v>0.85799999999999998</v>
      </c>
      <c r="G791">
        <v>0.42849999999999999</v>
      </c>
      <c r="H791">
        <v>0.1525</v>
      </c>
      <c r="I791">
        <v>0.24049999999999999</v>
      </c>
      <c r="J791">
        <v>8</v>
      </c>
      <c r="K791">
        <v>12</v>
      </c>
      <c r="L791" t="s">
        <v>58</v>
      </c>
      <c r="M791" t="s">
        <v>59</v>
      </c>
      <c r="N791" t="s">
        <v>45</v>
      </c>
      <c r="O791">
        <v>6</v>
      </c>
      <c r="P791" t="s">
        <v>7</v>
      </c>
      <c r="Q791">
        <v>14.1</v>
      </c>
    </row>
    <row r="792" spans="1:17">
      <c r="A792">
        <v>385</v>
      </c>
      <c r="B792" t="s">
        <v>76</v>
      </c>
      <c r="C792">
        <v>0.54500000000000004</v>
      </c>
      <c r="D792">
        <v>0.42499999999999999</v>
      </c>
      <c r="E792">
        <v>0.13500000000000001</v>
      </c>
      <c r="F792">
        <v>0.84450000000000003</v>
      </c>
      <c r="G792">
        <v>0.373</v>
      </c>
      <c r="H792">
        <v>0.21</v>
      </c>
      <c r="I792">
        <v>0.23499999999999999</v>
      </c>
      <c r="J792">
        <v>10</v>
      </c>
      <c r="K792">
        <v>11</v>
      </c>
      <c r="L792" t="s">
        <v>65</v>
      </c>
      <c r="M792" t="s">
        <v>66</v>
      </c>
      <c r="N792" t="s">
        <v>45</v>
      </c>
      <c r="O792">
        <v>6</v>
      </c>
      <c r="P792" t="s">
        <v>7</v>
      </c>
      <c r="Q792">
        <v>14.1</v>
      </c>
    </row>
    <row r="793" spans="1:17">
      <c r="A793">
        <v>3188</v>
      </c>
      <c r="B793" t="s">
        <v>76</v>
      </c>
      <c r="C793">
        <v>0.51</v>
      </c>
      <c r="D793">
        <v>0.38500000000000001</v>
      </c>
      <c r="E793">
        <v>0.13500000000000001</v>
      </c>
      <c r="F793">
        <v>0.63200000000000001</v>
      </c>
      <c r="G793">
        <v>0.28199999999999997</v>
      </c>
      <c r="H793">
        <v>0.14499999999999999</v>
      </c>
      <c r="I793">
        <v>0.17</v>
      </c>
      <c r="J793">
        <v>8</v>
      </c>
      <c r="K793">
        <v>15</v>
      </c>
      <c r="L793" t="s">
        <v>60</v>
      </c>
      <c r="M793" t="s">
        <v>61</v>
      </c>
      <c r="N793" t="s">
        <v>45</v>
      </c>
      <c r="O793">
        <v>10</v>
      </c>
      <c r="P793" t="s">
        <v>11</v>
      </c>
      <c r="Q793">
        <v>24.1</v>
      </c>
    </row>
    <row r="794" spans="1:17">
      <c r="A794">
        <v>118</v>
      </c>
      <c r="B794" t="s">
        <v>76</v>
      </c>
      <c r="C794">
        <v>0.44</v>
      </c>
      <c r="D794">
        <v>0.34</v>
      </c>
      <c r="E794">
        <v>0.105</v>
      </c>
      <c r="F794">
        <v>0.40200000000000002</v>
      </c>
      <c r="G794">
        <v>0.1305</v>
      </c>
      <c r="H794">
        <v>9.5500000000000002E-2</v>
      </c>
      <c r="I794">
        <v>0.16500000000000001</v>
      </c>
      <c r="J794">
        <v>10</v>
      </c>
      <c r="K794">
        <v>4</v>
      </c>
      <c r="L794" t="s">
        <v>40</v>
      </c>
      <c r="M794" t="s">
        <v>41</v>
      </c>
      <c r="N794" t="s">
        <v>42</v>
      </c>
      <c r="O794">
        <v>1</v>
      </c>
      <c r="P794" t="s">
        <v>4</v>
      </c>
      <c r="Q794">
        <v>22.1</v>
      </c>
    </row>
    <row r="795" spans="1:17">
      <c r="A795">
        <v>2449</v>
      </c>
      <c r="B795" t="s">
        <v>76</v>
      </c>
      <c r="C795">
        <v>0.35</v>
      </c>
      <c r="D795">
        <v>0.26500000000000001</v>
      </c>
      <c r="E795">
        <v>0.09</v>
      </c>
      <c r="F795">
        <v>0.1855</v>
      </c>
      <c r="G795">
        <v>7.4499999999999997E-2</v>
      </c>
      <c r="H795">
        <v>4.1500000000000002E-2</v>
      </c>
      <c r="I795">
        <v>0.06</v>
      </c>
      <c r="J795">
        <v>7</v>
      </c>
      <c r="K795">
        <v>14</v>
      </c>
      <c r="L795" t="s">
        <v>72</v>
      </c>
      <c r="M795" t="s">
        <v>73</v>
      </c>
      <c r="N795" t="s">
        <v>74</v>
      </c>
      <c r="O795">
        <v>3</v>
      </c>
      <c r="P795" t="s">
        <v>10</v>
      </c>
      <c r="Q795">
        <v>3.6</v>
      </c>
    </row>
    <row r="796" spans="1:17">
      <c r="A796">
        <v>4155</v>
      </c>
      <c r="B796" t="s">
        <v>76</v>
      </c>
      <c r="C796">
        <v>0.435</v>
      </c>
      <c r="D796">
        <v>0.33</v>
      </c>
      <c r="E796">
        <v>9.5000000000000001E-2</v>
      </c>
      <c r="F796">
        <v>0.39300000000000002</v>
      </c>
      <c r="G796">
        <v>0.219</v>
      </c>
      <c r="H796">
        <v>7.4999999999999997E-2</v>
      </c>
      <c r="I796">
        <v>8.8499999999999995E-2</v>
      </c>
      <c r="J796">
        <v>6</v>
      </c>
      <c r="K796">
        <v>1</v>
      </c>
      <c r="L796" t="s">
        <v>70</v>
      </c>
      <c r="M796" t="s">
        <v>71</v>
      </c>
      <c r="N796" t="s">
        <v>45</v>
      </c>
      <c r="O796">
        <v>2</v>
      </c>
      <c r="P796" t="s">
        <v>5</v>
      </c>
      <c r="Q796">
        <v>18</v>
      </c>
    </row>
    <row r="797" spans="1:17">
      <c r="A797">
        <v>2116</v>
      </c>
      <c r="B797" t="s">
        <v>76</v>
      </c>
      <c r="C797">
        <v>0.18</v>
      </c>
      <c r="D797">
        <v>0.13</v>
      </c>
      <c r="E797">
        <v>4.4999999999999998E-2</v>
      </c>
      <c r="F797">
        <v>2.75E-2</v>
      </c>
      <c r="G797">
        <v>1.2500000000000001E-2</v>
      </c>
      <c r="H797">
        <v>0.01</v>
      </c>
      <c r="I797">
        <v>8.9999999999999993E-3</v>
      </c>
      <c r="J797">
        <v>3</v>
      </c>
      <c r="K797">
        <v>5</v>
      </c>
      <c r="L797" t="s">
        <v>67</v>
      </c>
      <c r="M797" t="s">
        <v>68</v>
      </c>
      <c r="N797" t="s">
        <v>69</v>
      </c>
      <c r="O797">
        <v>6</v>
      </c>
      <c r="P797" t="s">
        <v>7</v>
      </c>
      <c r="Q797">
        <v>14.1</v>
      </c>
    </row>
    <row r="798" spans="1:17">
      <c r="A798">
        <v>3569</v>
      </c>
      <c r="B798" t="s">
        <v>76</v>
      </c>
      <c r="C798">
        <v>0.57999999999999996</v>
      </c>
      <c r="D798">
        <v>0.46</v>
      </c>
      <c r="E798">
        <v>0.14000000000000001</v>
      </c>
      <c r="F798">
        <v>0.82950000000000002</v>
      </c>
      <c r="G798">
        <v>0.39150000000000001</v>
      </c>
      <c r="H798">
        <v>0.16500000000000001</v>
      </c>
      <c r="I798">
        <v>0.23799999999999999</v>
      </c>
      <c r="J798">
        <v>10</v>
      </c>
      <c r="K798">
        <v>8</v>
      </c>
      <c r="L798" t="s">
        <v>55</v>
      </c>
      <c r="M798" t="s">
        <v>56</v>
      </c>
      <c r="N798" t="s">
        <v>57</v>
      </c>
      <c r="O798">
        <v>9</v>
      </c>
      <c r="P798" t="s">
        <v>9</v>
      </c>
      <c r="Q798">
        <v>1.9</v>
      </c>
    </row>
    <row r="799" spans="1:17">
      <c r="A799">
        <v>3949</v>
      </c>
      <c r="B799" t="s">
        <v>76</v>
      </c>
      <c r="C799">
        <v>0.53</v>
      </c>
      <c r="D799">
        <v>0.4</v>
      </c>
      <c r="E799">
        <v>0.16500000000000001</v>
      </c>
      <c r="F799">
        <v>0.77200000000000002</v>
      </c>
      <c r="G799">
        <v>0.28549999999999998</v>
      </c>
      <c r="H799">
        <v>0.19750000000000001</v>
      </c>
      <c r="I799">
        <v>0.23</v>
      </c>
      <c r="J799">
        <v>12</v>
      </c>
      <c r="K799">
        <v>12</v>
      </c>
      <c r="L799" t="s">
        <v>58</v>
      </c>
      <c r="M799" t="s">
        <v>59</v>
      </c>
      <c r="N799" t="s">
        <v>45</v>
      </c>
      <c r="O799">
        <v>9</v>
      </c>
      <c r="P799" t="s">
        <v>9</v>
      </c>
      <c r="Q799">
        <v>1.9</v>
      </c>
    </row>
    <row r="800" spans="1:17">
      <c r="A800">
        <v>3282</v>
      </c>
      <c r="B800" t="s">
        <v>76</v>
      </c>
      <c r="C800">
        <v>0.55000000000000004</v>
      </c>
      <c r="D800">
        <v>0.45</v>
      </c>
      <c r="E800">
        <v>0.17</v>
      </c>
      <c r="F800">
        <v>0.81</v>
      </c>
      <c r="G800">
        <v>0.317</v>
      </c>
      <c r="H800">
        <v>0.157</v>
      </c>
      <c r="I800">
        <v>0.22</v>
      </c>
      <c r="J800">
        <v>11</v>
      </c>
      <c r="K800">
        <v>5</v>
      </c>
      <c r="L800" t="s">
        <v>67</v>
      </c>
      <c r="M800" t="s">
        <v>68</v>
      </c>
      <c r="N800" t="s">
        <v>69</v>
      </c>
      <c r="O800">
        <v>6</v>
      </c>
      <c r="P800" t="s">
        <v>7</v>
      </c>
      <c r="Q800">
        <v>14.1</v>
      </c>
    </row>
    <row r="801" spans="1:17">
      <c r="A801">
        <v>1225</v>
      </c>
      <c r="B801" t="s">
        <v>76</v>
      </c>
      <c r="C801">
        <v>0.34499999999999997</v>
      </c>
      <c r="D801">
        <v>0.255</v>
      </c>
      <c r="E801">
        <v>9.5000000000000001E-2</v>
      </c>
      <c r="F801">
        <v>0.19450000000000001</v>
      </c>
      <c r="G801">
        <v>9.2499999999999999E-2</v>
      </c>
      <c r="H801">
        <v>3.6999999999999998E-2</v>
      </c>
      <c r="I801">
        <v>5.5E-2</v>
      </c>
      <c r="J801">
        <v>6</v>
      </c>
      <c r="K801">
        <v>7</v>
      </c>
      <c r="L801" t="s">
        <v>62</v>
      </c>
      <c r="M801" t="s">
        <v>63</v>
      </c>
      <c r="N801" t="s">
        <v>64</v>
      </c>
      <c r="O801">
        <v>10</v>
      </c>
      <c r="P801" t="s">
        <v>11</v>
      </c>
      <c r="Q801">
        <v>24.1</v>
      </c>
    </row>
    <row r="802" spans="1:17">
      <c r="A802">
        <v>2010</v>
      </c>
      <c r="B802" t="s">
        <v>76</v>
      </c>
      <c r="C802">
        <v>0.43</v>
      </c>
      <c r="D802">
        <v>0.32</v>
      </c>
      <c r="E802">
        <v>0.11</v>
      </c>
      <c r="F802">
        <v>0.36749999999999999</v>
      </c>
      <c r="G802">
        <v>0.16750000000000001</v>
      </c>
      <c r="H802">
        <v>0.10199999999999999</v>
      </c>
      <c r="I802">
        <v>0.105</v>
      </c>
      <c r="J802">
        <v>8</v>
      </c>
      <c r="K802">
        <v>1</v>
      </c>
      <c r="L802" t="s">
        <v>70</v>
      </c>
      <c r="M802" t="s">
        <v>71</v>
      </c>
      <c r="N802" t="s">
        <v>45</v>
      </c>
      <c r="O802">
        <v>7</v>
      </c>
      <c r="P802" t="s">
        <v>6</v>
      </c>
      <c r="Q802">
        <v>2.5</v>
      </c>
    </row>
    <row r="803" spans="1:17">
      <c r="A803">
        <v>1654</v>
      </c>
      <c r="B803" t="s">
        <v>76</v>
      </c>
      <c r="C803">
        <v>0.59499999999999997</v>
      </c>
      <c r="D803">
        <v>0.45</v>
      </c>
      <c r="E803">
        <v>0.14499999999999999</v>
      </c>
      <c r="F803">
        <v>0.95899999999999996</v>
      </c>
      <c r="G803">
        <v>0.46300000000000002</v>
      </c>
      <c r="H803">
        <v>0.20649999999999999</v>
      </c>
      <c r="I803">
        <v>0.2535</v>
      </c>
      <c r="J803">
        <v>10</v>
      </c>
      <c r="K803">
        <v>3</v>
      </c>
      <c r="L803" t="s">
        <v>52</v>
      </c>
      <c r="M803" t="s">
        <v>53</v>
      </c>
      <c r="N803" t="s">
        <v>54</v>
      </c>
      <c r="O803">
        <v>5</v>
      </c>
      <c r="P803" t="s">
        <v>12</v>
      </c>
      <c r="Q803">
        <v>12.8</v>
      </c>
    </row>
    <row r="804" spans="1:17">
      <c r="A804">
        <v>4</v>
      </c>
      <c r="B804" t="s">
        <v>76</v>
      </c>
      <c r="C804">
        <v>0.44</v>
      </c>
      <c r="D804">
        <v>0.36499999999999999</v>
      </c>
      <c r="E804">
        <v>0.125</v>
      </c>
      <c r="F804">
        <v>0.51600000000000001</v>
      </c>
      <c r="G804">
        <v>0.2155</v>
      </c>
      <c r="H804">
        <v>0.114</v>
      </c>
      <c r="I804">
        <v>0.155</v>
      </c>
      <c r="J804">
        <v>10</v>
      </c>
      <c r="K804">
        <v>8</v>
      </c>
      <c r="L804" t="s">
        <v>55</v>
      </c>
      <c r="M804" t="s">
        <v>56</v>
      </c>
      <c r="N804" t="s">
        <v>57</v>
      </c>
      <c r="O804">
        <v>6</v>
      </c>
      <c r="P804" t="s">
        <v>7</v>
      </c>
      <c r="Q804">
        <v>14.1</v>
      </c>
    </row>
    <row r="805" spans="1:17">
      <c r="A805">
        <v>1589</v>
      </c>
      <c r="B805" t="s">
        <v>76</v>
      </c>
      <c r="C805">
        <v>0.51500000000000001</v>
      </c>
      <c r="D805">
        <v>0.39</v>
      </c>
      <c r="E805">
        <v>0.125</v>
      </c>
      <c r="F805">
        <v>0.57050000000000001</v>
      </c>
      <c r="G805">
        <v>0.23799999999999999</v>
      </c>
      <c r="H805">
        <v>0.1265</v>
      </c>
      <c r="I805">
        <v>0.185</v>
      </c>
      <c r="J805">
        <v>8</v>
      </c>
      <c r="K805">
        <v>6</v>
      </c>
      <c r="L805" t="s">
        <v>46</v>
      </c>
      <c r="M805" t="s">
        <v>47</v>
      </c>
      <c r="N805" t="s">
        <v>48</v>
      </c>
      <c r="O805">
        <v>3</v>
      </c>
      <c r="P805" t="s">
        <v>10</v>
      </c>
      <c r="Q805">
        <v>3.6</v>
      </c>
    </row>
    <row r="806" spans="1:17">
      <c r="A806">
        <v>477</v>
      </c>
      <c r="B806" t="s">
        <v>76</v>
      </c>
      <c r="C806">
        <v>0.46500000000000002</v>
      </c>
      <c r="D806">
        <v>0.35</v>
      </c>
      <c r="E806">
        <v>0.115</v>
      </c>
      <c r="F806">
        <v>0.42099999999999999</v>
      </c>
      <c r="G806">
        <v>0.1565</v>
      </c>
      <c r="H806">
        <v>9.0999999999999998E-2</v>
      </c>
      <c r="I806">
        <v>0.13450000000000001</v>
      </c>
      <c r="J806">
        <v>9</v>
      </c>
      <c r="K806">
        <v>1</v>
      </c>
      <c r="L806" t="s">
        <v>70</v>
      </c>
      <c r="M806" t="s">
        <v>71</v>
      </c>
      <c r="N806" t="s">
        <v>45</v>
      </c>
      <c r="O806">
        <v>9</v>
      </c>
      <c r="P806" t="s">
        <v>9</v>
      </c>
      <c r="Q806">
        <v>1.9</v>
      </c>
    </row>
    <row r="807" spans="1:17">
      <c r="A807">
        <v>663</v>
      </c>
      <c r="B807" t="s">
        <v>76</v>
      </c>
      <c r="C807">
        <v>0.41499999999999998</v>
      </c>
      <c r="D807">
        <v>0.34</v>
      </c>
      <c r="E807">
        <v>0.13</v>
      </c>
      <c r="F807">
        <v>0.36749999999999999</v>
      </c>
      <c r="G807">
        <v>0.14599999999999999</v>
      </c>
      <c r="H807">
        <v>8.8499999999999995E-2</v>
      </c>
      <c r="I807">
        <v>0.12</v>
      </c>
      <c r="J807">
        <v>10</v>
      </c>
      <c r="K807">
        <v>1</v>
      </c>
      <c r="L807" t="s">
        <v>70</v>
      </c>
      <c r="M807" t="s">
        <v>71</v>
      </c>
      <c r="N807" t="s">
        <v>45</v>
      </c>
      <c r="O807">
        <v>5</v>
      </c>
      <c r="P807" t="s">
        <v>12</v>
      </c>
      <c r="Q807">
        <v>12.8</v>
      </c>
    </row>
    <row r="808" spans="1:17">
      <c r="A808">
        <v>1488</v>
      </c>
      <c r="B808" t="s">
        <v>76</v>
      </c>
      <c r="C808">
        <v>0.6</v>
      </c>
      <c r="D808">
        <v>0.45500000000000002</v>
      </c>
      <c r="E808">
        <v>0.155</v>
      </c>
      <c r="F808">
        <v>0.94499999999999995</v>
      </c>
      <c r="G808">
        <v>0.4365</v>
      </c>
      <c r="H808">
        <v>0.20849999999999999</v>
      </c>
      <c r="I808">
        <v>0.25</v>
      </c>
      <c r="J808">
        <v>8</v>
      </c>
      <c r="K808">
        <v>7</v>
      </c>
      <c r="L808" t="s">
        <v>62</v>
      </c>
      <c r="M808" t="s">
        <v>63</v>
      </c>
      <c r="N808" t="s">
        <v>64</v>
      </c>
      <c r="O808">
        <v>7</v>
      </c>
      <c r="P808" t="s">
        <v>6</v>
      </c>
      <c r="Q808">
        <v>2.5</v>
      </c>
    </row>
    <row r="809" spans="1:17">
      <c r="A809">
        <v>2611</v>
      </c>
      <c r="B809" t="s">
        <v>76</v>
      </c>
      <c r="C809">
        <v>0.63</v>
      </c>
      <c r="D809">
        <v>0.495</v>
      </c>
      <c r="E809">
        <v>0.14499999999999999</v>
      </c>
      <c r="F809">
        <v>1.147</v>
      </c>
      <c r="G809">
        <v>0.54549999999999998</v>
      </c>
      <c r="H809">
        <v>0.26600000000000001</v>
      </c>
      <c r="I809">
        <v>0.28849999999999998</v>
      </c>
      <c r="J809">
        <v>9</v>
      </c>
      <c r="K809">
        <v>12</v>
      </c>
      <c r="L809" t="s">
        <v>58</v>
      </c>
      <c r="M809" t="s">
        <v>59</v>
      </c>
      <c r="N809" t="s">
        <v>45</v>
      </c>
      <c r="O809">
        <v>9</v>
      </c>
      <c r="P809" t="s">
        <v>9</v>
      </c>
      <c r="Q809">
        <v>1.9</v>
      </c>
    </row>
    <row r="810" spans="1:17">
      <c r="A810">
        <v>1064</v>
      </c>
      <c r="B810" t="s">
        <v>76</v>
      </c>
      <c r="C810">
        <v>0.28499999999999998</v>
      </c>
      <c r="D810">
        <v>0.22</v>
      </c>
      <c r="E810">
        <v>6.5000000000000002E-2</v>
      </c>
      <c r="F810">
        <v>9.6000000000000002E-2</v>
      </c>
      <c r="G810">
        <v>4.0500000000000001E-2</v>
      </c>
      <c r="H810">
        <v>2.0500000000000001E-2</v>
      </c>
      <c r="I810">
        <v>0.03</v>
      </c>
      <c r="J810">
        <v>5</v>
      </c>
      <c r="K810">
        <v>5</v>
      </c>
      <c r="L810" t="s">
        <v>67</v>
      </c>
      <c r="M810" t="s">
        <v>68</v>
      </c>
      <c r="N810" t="s">
        <v>69</v>
      </c>
      <c r="O810">
        <v>6</v>
      </c>
      <c r="P810" t="s">
        <v>7</v>
      </c>
      <c r="Q810">
        <v>14.1</v>
      </c>
    </row>
    <row r="811" spans="1:17">
      <c r="A811">
        <v>3771</v>
      </c>
      <c r="B811" t="s">
        <v>76</v>
      </c>
      <c r="C811">
        <v>0.56499999999999995</v>
      </c>
      <c r="D811">
        <v>0.43</v>
      </c>
      <c r="E811">
        <v>0.125</v>
      </c>
      <c r="F811">
        <v>0.65449999999999997</v>
      </c>
      <c r="G811">
        <v>0.28149999999999997</v>
      </c>
      <c r="H811">
        <v>0.13900000000000001</v>
      </c>
      <c r="I811">
        <v>0.21</v>
      </c>
      <c r="J811">
        <v>9</v>
      </c>
      <c r="K811">
        <v>3</v>
      </c>
      <c r="L811" t="s">
        <v>52</v>
      </c>
      <c r="M811" t="s">
        <v>53</v>
      </c>
      <c r="N811" t="s">
        <v>54</v>
      </c>
      <c r="O811">
        <v>4</v>
      </c>
      <c r="P811" t="s">
        <v>8</v>
      </c>
      <c r="Q811">
        <v>6.1</v>
      </c>
    </row>
    <row r="812" spans="1:17">
      <c r="A812">
        <v>2240</v>
      </c>
      <c r="B812" t="s">
        <v>76</v>
      </c>
      <c r="C812">
        <v>0.46</v>
      </c>
      <c r="D812">
        <v>0.36</v>
      </c>
      <c r="E812">
        <v>0.115</v>
      </c>
      <c r="F812">
        <v>0.47549999999999998</v>
      </c>
      <c r="G812">
        <v>0.21049999999999999</v>
      </c>
      <c r="H812">
        <v>0.105</v>
      </c>
      <c r="I812">
        <v>0.16</v>
      </c>
      <c r="J812">
        <v>8</v>
      </c>
      <c r="K812">
        <v>2</v>
      </c>
      <c r="L812" t="s">
        <v>49</v>
      </c>
      <c r="M812" t="s">
        <v>50</v>
      </c>
      <c r="N812" t="s">
        <v>51</v>
      </c>
      <c r="O812">
        <v>10</v>
      </c>
      <c r="P812" t="s">
        <v>11</v>
      </c>
      <c r="Q812">
        <v>24.1</v>
      </c>
    </row>
    <row r="813" spans="1:17">
      <c r="A813">
        <v>1690</v>
      </c>
      <c r="B813" t="s">
        <v>76</v>
      </c>
      <c r="C813">
        <v>0.625</v>
      </c>
      <c r="D813">
        <v>0.47499999999999998</v>
      </c>
      <c r="E813">
        <v>0.16</v>
      </c>
      <c r="F813">
        <v>1.0845</v>
      </c>
      <c r="G813">
        <v>0.50049999999999994</v>
      </c>
      <c r="H813">
        <v>0.23549999999999999</v>
      </c>
      <c r="I813">
        <v>0.3105</v>
      </c>
      <c r="J813">
        <v>10</v>
      </c>
      <c r="K813">
        <v>8</v>
      </c>
      <c r="L813" t="s">
        <v>55</v>
      </c>
      <c r="M813" t="s">
        <v>56</v>
      </c>
      <c r="N813" t="s">
        <v>57</v>
      </c>
      <c r="O813">
        <v>8</v>
      </c>
      <c r="P813" t="s">
        <v>13</v>
      </c>
      <c r="Q813">
        <v>12.3</v>
      </c>
    </row>
    <row r="814" spans="1:17">
      <c r="A814">
        <v>3545</v>
      </c>
      <c r="B814" t="s">
        <v>76</v>
      </c>
      <c r="C814">
        <v>0.47499999999999998</v>
      </c>
      <c r="D814">
        <v>0.35499999999999998</v>
      </c>
      <c r="E814">
        <v>0.125</v>
      </c>
      <c r="F814">
        <v>0.48649999999999999</v>
      </c>
      <c r="G814">
        <v>0.2155</v>
      </c>
      <c r="H814">
        <v>0.1105</v>
      </c>
      <c r="I814">
        <v>0.14199999999999999</v>
      </c>
      <c r="J814">
        <v>9</v>
      </c>
      <c r="K814">
        <v>1</v>
      </c>
      <c r="L814" t="s">
        <v>70</v>
      </c>
      <c r="M814" t="s">
        <v>71</v>
      </c>
      <c r="N814" t="s">
        <v>45</v>
      </c>
      <c r="O814">
        <v>2</v>
      </c>
      <c r="P814" t="s">
        <v>5</v>
      </c>
      <c r="Q814">
        <v>18</v>
      </c>
    </row>
    <row r="815" spans="1:17">
      <c r="A815">
        <v>3311</v>
      </c>
      <c r="B815" t="s">
        <v>76</v>
      </c>
      <c r="C815">
        <v>0.62</v>
      </c>
      <c r="D815">
        <v>0.48499999999999999</v>
      </c>
      <c r="E815">
        <v>0.16500000000000001</v>
      </c>
      <c r="F815">
        <v>1.1659999999999999</v>
      </c>
      <c r="G815">
        <v>0.48299999999999998</v>
      </c>
      <c r="H815">
        <v>0.23799999999999999</v>
      </c>
      <c r="I815">
        <v>0.35499999999999998</v>
      </c>
      <c r="J815">
        <v>13</v>
      </c>
      <c r="K815">
        <v>11</v>
      </c>
      <c r="L815" t="s">
        <v>65</v>
      </c>
      <c r="M815" t="s">
        <v>66</v>
      </c>
      <c r="N815" t="s">
        <v>45</v>
      </c>
      <c r="O815">
        <v>1</v>
      </c>
      <c r="P815" t="s">
        <v>4</v>
      </c>
      <c r="Q815">
        <v>22.1</v>
      </c>
    </row>
    <row r="816" spans="1:17">
      <c r="A816">
        <v>901</v>
      </c>
      <c r="B816" t="s">
        <v>76</v>
      </c>
      <c r="C816">
        <v>0.3</v>
      </c>
      <c r="D816">
        <v>0.23499999999999999</v>
      </c>
      <c r="E816">
        <v>0.08</v>
      </c>
      <c r="F816">
        <v>0.13100000000000001</v>
      </c>
      <c r="G816">
        <v>0.05</v>
      </c>
      <c r="H816">
        <v>2.6499999999999999E-2</v>
      </c>
      <c r="I816">
        <v>4.2999999999999997E-2</v>
      </c>
      <c r="J816">
        <v>4</v>
      </c>
      <c r="K816">
        <v>4</v>
      </c>
      <c r="L816" t="s">
        <v>40</v>
      </c>
      <c r="M816" t="s">
        <v>41</v>
      </c>
      <c r="N816" t="s">
        <v>42</v>
      </c>
      <c r="O816">
        <v>8</v>
      </c>
      <c r="P816" t="s">
        <v>13</v>
      </c>
      <c r="Q816">
        <v>12.3</v>
      </c>
    </row>
    <row r="817" spans="1:17">
      <c r="A817">
        <v>249</v>
      </c>
      <c r="B817" t="s">
        <v>76</v>
      </c>
      <c r="C817">
        <v>0.30499999999999999</v>
      </c>
      <c r="D817">
        <v>0.245</v>
      </c>
      <c r="E817">
        <v>7.4999999999999997E-2</v>
      </c>
      <c r="F817">
        <v>0.156</v>
      </c>
      <c r="G817">
        <v>6.7500000000000004E-2</v>
      </c>
      <c r="H817">
        <v>3.7999999999999999E-2</v>
      </c>
      <c r="I817">
        <v>4.4999999999999998E-2</v>
      </c>
      <c r="J817">
        <v>7</v>
      </c>
      <c r="K817">
        <v>7</v>
      </c>
      <c r="L817" t="s">
        <v>62</v>
      </c>
      <c r="M817" t="s">
        <v>63</v>
      </c>
      <c r="N817" t="s">
        <v>64</v>
      </c>
      <c r="O817">
        <v>9</v>
      </c>
      <c r="P817" t="s">
        <v>9</v>
      </c>
      <c r="Q817">
        <v>1.9</v>
      </c>
    </row>
    <row r="818" spans="1:17">
      <c r="A818">
        <v>135</v>
      </c>
      <c r="B818" t="s">
        <v>76</v>
      </c>
      <c r="C818">
        <v>0.26500000000000001</v>
      </c>
      <c r="D818">
        <v>0.2</v>
      </c>
      <c r="E818">
        <v>6.5000000000000002E-2</v>
      </c>
      <c r="F818">
        <v>9.7500000000000003E-2</v>
      </c>
      <c r="G818">
        <v>0.04</v>
      </c>
      <c r="H818">
        <v>2.0500000000000001E-2</v>
      </c>
      <c r="I818">
        <v>2.8000000000000001E-2</v>
      </c>
      <c r="J818">
        <v>7</v>
      </c>
      <c r="K818">
        <v>12</v>
      </c>
      <c r="L818" t="s">
        <v>58</v>
      </c>
      <c r="M818" t="s">
        <v>59</v>
      </c>
      <c r="N818" t="s">
        <v>45</v>
      </c>
      <c r="O818">
        <v>9</v>
      </c>
      <c r="P818" t="s">
        <v>9</v>
      </c>
      <c r="Q818">
        <v>1.9</v>
      </c>
    </row>
    <row r="819" spans="1:17">
      <c r="A819">
        <v>3746</v>
      </c>
      <c r="B819" t="s">
        <v>76</v>
      </c>
      <c r="C819">
        <v>0.28499999999999998</v>
      </c>
      <c r="D819">
        <v>0.20499999999999999</v>
      </c>
      <c r="E819">
        <v>7.0000000000000007E-2</v>
      </c>
      <c r="F819">
        <v>0.106</v>
      </c>
      <c r="G819">
        <v>3.9E-2</v>
      </c>
      <c r="H819">
        <v>2.8500000000000001E-2</v>
      </c>
      <c r="I819">
        <v>3.4000000000000002E-2</v>
      </c>
      <c r="J819">
        <v>5</v>
      </c>
      <c r="K819">
        <v>11</v>
      </c>
      <c r="L819" t="s">
        <v>65</v>
      </c>
      <c r="M819" t="s">
        <v>66</v>
      </c>
      <c r="N819" t="s">
        <v>45</v>
      </c>
      <c r="O819">
        <v>10</v>
      </c>
      <c r="P819" t="s">
        <v>11</v>
      </c>
      <c r="Q819">
        <v>24.1</v>
      </c>
    </row>
    <row r="820" spans="1:17">
      <c r="A820">
        <v>4026</v>
      </c>
      <c r="B820" t="s">
        <v>76</v>
      </c>
      <c r="C820">
        <v>0.33</v>
      </c>
      <c r="D820">
        <v>0.26</v>
      </c>
      <c r="E820">
        <v>8.5000000000000006E-2</v>
      </c>
      <c r="F820">
        <v>0.19650000000000001</v>
      </c>
      <c r="G820">
        <v>9.1499999999999998E-2</v>
      </c>
      <c r="H820">
        <v>4.2500000000000003E-2</v>
      </c>
      <c r="I820">
        <v>5.5E-2</v>
      </c>
      <c r="J820">
        <v>7</v>
      </c>
      <c r="K820">
        <v>3</v>
      </c>
      <c r="L820" t="s">
        <v>52</v>
      </c>
      <c r="M820" t="s">
        <v>53</v>
      </c>
      <c r="N820" t="s">
        <v>54</v>
      </c>
      <c r="O820">
        <v>1</v>
      </c>
      <c r="P820" t="s">
        <v>4</v>
      </c>
      <c r="Q820">
        <v>22.1</v>
      </c>
    </row>
    <row r="821" spans="1:17">
      <c r="A821">
        <v>3501</v>
      </c>
      <c r="B821" t="s">
        <v>76</v>
      </c>
      <c r="C821">
        <v>0.6</v>
      </c>
      <c r="D821">
        <v>0.41</v>
      </c>
      <c r="E821">
        <v>0.14499999999999999</v>
      </c>
      <c r="F821">
        <v>0.93899999999999995</v>
      </c>
      <c r="G821">
        <v>0.44750000000000001</v>
      </c>
      <c r="H821">
        <v>0.19600000000000001</v>
      </c>
      <c r="I821">
        <v>0.26800000000000002</v>
      </c>
      <c r="J821">
        <v>8</v>
      </c>
      <c r="K821">
        <v>10</v>
      </c>
      <c r="L821" t="s">
        <v>37</v>
      </c>
      <c r="M821" t="s">
        <v>38</v>
      </c>
      <c r="N821" t="s">
        <v>39</v>
      </c>
      <c r="O821">
        <v>8</v>
      </c>
      <c r="P821" t="s">
        <v>13</v>
      </c>
      <c r="Q821">
        <v>12.3</v>
      </c>
    </row>
    <row r="822" spans="1:17">
      <c r="A822">
        <v>3974</v>
      </c>
      <c r="B822" t="s">
        <v>76</v>
      </c>
      <c r="C822">
        <v>0.41499999999999998</v>
      </c>
      <c r="D822">
        <v>0.33</v>
      </c>
      <c r="E822">
        <v>0.1</v>
      </c>
      <c r="F822">
        <v>0.39050000000000001</v>
      </c>
      <c r="G822">
        <v>0.1925</v>
      </c>
      <c r="H822">
        <v>7.5499999999999998E-2</v>
      </c>
      <c r="I822">
        <v>0.10249999999999999</v>
      </c>
      <c r="J822">
        <v>7</v>
      </c>
      <c r="K822">
        <v>6</v>
      </c>
      <c r="L822" t="s">
        <v>46</v>
      </c>
      <c r="M822" t="s">
        <v>47</v>
      </c>
      <c r="N822" t="s">
        <v>48</v>
      </c>
      <c r="O822">
        <v>8</v>
      </c>
      <c r="P822" t="s">
        <v>13</v>
      </c>
      <c r="Q822">
        <v>12.3</v>
      </c>
    </row>
    <row r="823" spans="1:17">
      <c r="A823">
        <v>175</v>
      </c>
      <c r="B823" t="s">
        <v>76</v>
      </c>
      <c r="C823">
        <v>0.23499999999999999</v>
      </c>
      <c r="D823">
        <v>0.16</v>
      </c>
      <c r="E823">
        <v>0.04</v>
      </c>
      <c r="F823">
        <v>4.8000000000000001E-2</v>
      </c>
      <c r="G823">
        <v>1.8499999999999999E-2</v>
      </c>
      <c r="H823">
        <v>1.7999999999999999E-2</v>
      </c>
      <c r="I823">
        <v>1.4999999999999999E-2</v>
      </c>
      <c r="J823">
        <v>5</v>
      </c>
      <c r="K823">
        <v>11</v>
      </c>
      <c r="L823" t="s">
        <v>65</v>
      </c>
      <c r="M823" t="s">
        <v>66</v>
      </c>
      <c r="N823" t="s">
        <v>45</v>
      </c>
      <c r="O823">
        <v>10</v>
      </c>
      <c r="P823" t="s">
        <v>11</v>
      </c>
      <c r="Q823">
        <v>24.1</v>
      </c>
    </row>
    <row r="824" spans="1:17">
      <c r="A824">
        <v>522</v>
      </c>
      <c r="B824" t="s">
        <v>76</v>
      </c>
      <c r="C824">
        <v>0.36</v>
      </c>
      <c r="D824">
        <v>0.27</v>
      </c>
      <c r="E824">
        <v>0.09</v>
      </c>
      <c r="F824">
        <v>0.1885</v>
      </c>
      <c r="G824">
        <v>8.4500000000000006E-2</v>
      </c>
      <c r="H824">
        <v>3.85E-2</v>
      </c>
      <c r="I824">
        <v>5.5E-2</v>
      </c>
      <c r="J824">
        <v>5</v>
      </c>
      <c r="K824">
        <v>13</v>
      </c>
      <c r="L824" t="s">
        <v>43</v>
      </c>
      <c r="M824" t="s">
        <v>44</v>
      </c>
      <c r="N824" t="s">
        <v>45</v>
      </c>
      <c r="O824">
        <v>5</v>
      </c>
      <c r="P824" t="s">
        <v>12</v>
      </c>
      <c r="Q824">
        <v>12.8</v>
      </c>
    </row>
    <row r="825" spans="1:17">
      <c r="A825">
        <v>3297</v>
      </c>
      <c r="B825" t="s">
        <v>76</v>
      </c>
      <c r="C825">
        <v>0.60499999999999998</v>
      </c>
      <c r="D825">
        <v>0.48499999999999999</v>
      </c>
      <c r="E825">
        <v>0.16500000000000001</v>
      </c>
      <c r="F825">
        <v>1.0734999999999999</v>
      </c>
      <c r="G825">
        <v>0.437</v>
      </c>
      <c r="H825">
        <v>0.20499999999999999</v>
      </c>
      <c r="I825">
        <v>0.33</v>
      </c>
      <c r="J825">
        <v>14</v>
      </c>
      <c r="K825">
        <v>15</v>
      </c>
      <c r="L825" t="s">
        <v>60</v>
      </c>
      <c r="M825" t="s">
        <v>61</v>
      </c>
      <c r="N825" t="s">
        <v>45</v>
      </c>
      <c r="O825">
        <v>1</v>
      </c>
      <c r="P825" t="s">
        <v>4</v>
      </c>
      <c r="Q825">
        <v>22.1</v>
      </c>
    </row>
    <row r="826" spans="1:17">
      <c r="A826">
        <v>3412</v>
      </c>
      <c r="B826" t="s">
        <v>76</v>
      </c>
      <c r="C826">
        <v>0.43</v>
      </c>
      <c r="D826">
        <v>0.32</v>
      </c>
      <c r="E826">
        <v>0.1</v>
      </c>
      <c r="F826">
        <v>0.38550000000000001</v>
      </c>
      <c r="G826">
        <v>0.192</v>
      </c>
      <c r="H826">
        <v>7.4499999999999997E-2</v>
      </c>
      <c r="I826">
        <v>0.1</v>
      </c>
      <c r="J826">
        <v>7</v>
      </c>
      <c r="K826">
        <v>11</v>
      </c>
      <c r="L826" t="s">
        <v>65</v>
      </c>
      <c r="M826" t="s">
        <v>66</v>
      </c>
      <c r="N826" t="s">
        <v>45</v>
      </c>
      <c r="O826">
        <v>6</v>
      </c>
      <c r="P826" t="s">
        <v>7</v>
      </c>
      <c r="Q826">
        <v>14.1</v>
      </c>
    </row>
    <row r="827" spans="1:17">
      <c r="A827">
        <v>858</v>
      </c>
      <c r="B827" t="s">
        <v>76</v>
      </c>
      <c r="C827">
        <v>0.59</v>
      </c>
      <c r="D827">
        <v>0.46</v>
      </c>
      <c r="E827">
        <v>0.13</v>
      </c>
      <c r="F827">
        <v>1.1020000000000001</v>
      </c>
      <c r="G827">
        <v>0.45500000000000002</v>
      </c>
      <c r="H827">
        <v>0.20549999999999999</v>
      </c>
      <c r="I827">
        <v>0.33</v>
      </c>
      <c r="J827">
        <v>12</v>
      </c>
      <c r="K827">
        <v>14</v>
      </c>
      <c r="L827" t="s">
        <v>72</v>
      </c>
      <c r="M827" t="s">
        <v>73</v>
      </c>
      <c r="N827" t="s">
        <v>74</v>
      </c>
      <c r="O827">
        <v>3</v>
      </c>
      <c r="P827" t="s">
        <v>10</v>
      </c>
      <c r="Q827">
        <v>3.6</v>
      </c>
    </row>
    <row r="828" spans="1:17">
      <c r="A828">
        <v>1245</v>
      </c>
      <c r="B828" t="s">
        <v>76</v>
      </c>
      <c r="C828">
        <v>0.38500000000000001</v>
      </c>
      <c r="D828">
        <v>0.3</v>
      </c>
      <c r="E828">
        <v>9.5000000000000001E-2</v>
      </c>
      <c r="F828">
        <v>0.30199999999999999</v>
      </c>
      <c r="G828">
        <v>0.152</v>
      </c>
      <c r="H828">
        <v>6.1499999999999999E-2</v>
      </c>
      <c r="I828">
        <v>7.3499999999999996E-2</v>
      </c>
      <c r="J828">
        <v>7</v>
      </c>
      <c r="K828">
        <v>13</v>
      </c>
      <c r="L828" t="s">
        <v>43</v>
      </c>
      <c r="M828" t="s">
        <v>44</v>
      </c>
      <c r="N828" t="s">
        <v>45</v>
      </c>
      <c r="O828">
        <v>7</v>
      </c>
      <c r="P828" t="s">
        <v>6</v>
      </c>
      <c r="Q828">
        <v>2.5</v>
      </c>
    </row>
    <row r="829" spans="1:17">
      <c r="A829">
        <v>1677</v>
      </c>
      <c r="B829" t="s">
        <v>76</v>
      </c>
      <c r="C829">
        <v>0.61499999999999999</v>
      </c>
      <c r="D829">
        <v>0.47</v>
      </c>
      <c r="E829">
        <v>0.16</v>
      </c>
      <c r="F829">
        <v>1.0175000000000001</v>
      </c>
      <c r="G829">
        <v>0.47299999999999998</v>
      </c>
      <c r="H829">
        <v>0.23949999999999999</v>
      </c>
      <c r="I829">
        <v>0.28000000000000003</v>
      </c>
      <c r="J829">
        <v>10</v>
      </c>
      <c r="K829">
        <v>6</v>
      </c>
      <c r="L829" t="s">
        <v>46</v>
      </c>
      <c r="M829" t="s">
        <v>47</v>
      </c>
      <c r="N829" t="s">
        <v>48</v>
      </c>
      <c r="O829">
        <v>2</v>
      </c>
      <c r="P829" t="s">
        <v>5</v>
      </c>
      <c r="Q829">
        <v>18</v>
      </c>
    </row>
    <row r="830" spans="1:17">
      <c r="A830">
        <v>2365</v>
      </c>
      <c r="B830" t="s">
        <v>76</v>
      </c>
      <c r="C830">
        <v>0.6</v>
      </c>
      <c r="D830">
        <v>0.47</v>
      </c>
      <c r="E830">
        <v>0.2</v>
      </c>
      <c r="F830">
        <v>1.0309999999999999</v>
      </c>
      <c r="G830">
        <v>0.39200000000000002</v>
      </c>
      <c r="H830">
        <v>0.20349999999999999</v>
      </c>
      <c r="I830">
        <v>0.28999999999999998</v>
      </c>
      <c r="J830">
        <v>15</v>
      </c>
      <c r="K830">
        <v>14</v>
      </c>
      <c r="L830" t="s">
        <v>72</v>
      </c>
      <c r="M830" t="s">
        <v>73</v>
      </c>
      <c r="N830" t="s">
        <v>74</v>
      </c>
      <c r="O830">
        <v>10</v>
      </c>
      <c r="P830" t="s">
        <v>11</v>
      </c>
      <c r="Q830">
        <v>24.1</v>
      </c>
    </row>
    <row r="831" spans="1:17">
      <c r="A831">
        <v>148</v>
      </c>
      <c r="B831" t="s">
        <v>76</v>
      </c>
      <c r="C831">
        <v>0.28000000000000003</v>
      </c>
      <c r="D831">
        <v>0.20499999999999999</v>
      </c>
      <c r="E831">
        <v>0.08</v>
      </c>
      <c r="F831">
        <v>0.127</v>
      </c>
      <c r="G831">
        <v>5.1999999999999998E-2</v>
      </c>
      <c r="H831">
        <v>3.9E-2</v>
      </c>
      <c r="I831">
        <v>4.2000000000000003E-2</v>
      </c>
      <c r="J831">
        <v>9</v>
      </c>
      <c r="K831">
        <v>7</v>
      </c>
      <c r="L831" t="s">
        <v>62</v>
      </c>
      <c r="M831" t="s">
        <v>63</v>
      </c>
      <c r="N831" t="s">
        <v>64</v>
      </c>
      <c r="O831">
        <v>5</v>
      </c>
      <c r="P831" t="s">
        <v>12</v>
      </c>
      <c r="Q831">
        <v>12.8</v>
      </c>
    </row>
    <row r="832" spans="1:17">
      <c r="A832">
        <v>3737</v>
      </c>
      <c r="B832" t="s">
        <v>76</v>
      </c>
      <c r="C832">
        <v>0.625</v>
      </c>
      <c r="D832">
        <v>0.48</v>
      </c>
      <c r="E832">
        <v>0.18</v>
      </c>
      <c r="F832">
        <v>1.2230000000000001</v>
      </c>
      <c r="G832">
        <v>0.56499999999999995</v>
      </c>
      <c r="H832">
        <v>0.29749999999999999</v>
      </c>
      <c r="I832">
        <v>0.33750000000000002</v>
      </c>
      <c r="J832">
        <v>10</v>
      </c>
      <c r="K832">
        <v>11</v>
      </c>
      <c r="L832" t="s">
        <v>65</v>
      </c>
      <c r="M832" t="s">
        <v>66</v>
      </c>
      <c r="N832" t="s">
        <v>45</v>
      </c>
      <c r="O832">
        <v>6</v>
      </c>
      <c r="P832" t="s">
        <v>7</v>
      </c>
      <c r="Q832">
        <v>14.1</v>
      </c>
    </row>
    <row r="833" spans="1:17">
      <c r="A833">
        <v>250</v>
      </c>
      <c r="B833" t="s">
        <v>76</v>
      </c>
      <c r="C833">
        <v>0.34499999999999997</v>
      </c>
      <c r="D833">
        <v>0.27</v>
      </c>
      <c r="E833">
        <v>0.11</v>
      </c>
      <c r="F833">
        <v>0.2135</v>
      </c>
      <c r="G833">
        <v>8.2000000000000003E-2</v>
      </c>
      <c r="H833">
        <v>5.45E-2</v>
      </c>
      <c r="I833">
        <v>7.0000000000000007E-2</v>
      </c>
      <c r="J833">
        <v>7</v>
      </c>
      <c r="K833">
        <v>14</v>
      </c>
      <c r="L833" t="s">
        <v>72</v>
      </c>
      <c r="M833" t="s">
        <v>73</v>
      </c>
      <c r="N833" t="s">
        <v>74</v>
      </c>
      <c r="O833">
        <v>7</v>
      </c>
      <c r="P833" t="s">
        <v>6</v>
      </c>
      <c r="Q833">
        <v>2.5</v>
      </c>
    </row>
    <row r="834" spans="1:17">
      <c r="A834">
        <v>4069</v>
      </c>
      <c r="B834" t="s">
        <v>76</v>
      </c>
      <c r="C834">
        <v>0.41</v>
      </c>
      <c r="D834">
        <v>0.30499999999999999</v>
      </c>
      <c r="E834">
        <v>0.1</v>
      </c>
      <c r="F834">
        <v>0.26450000000000001</v>
      </c>
      <c r="G834">
        <v>0.1</v>
      </c>
      <c r="H834">
        <v>6.5500000000000003E-2</v>
      </c>
      <c r="I834">
        <v>8.5000000000000006E-2</v>
      </c>
      <c r="J834">
        <v>7</v>
      </c>
      <c r="K834">
        <v>1</v>
      </c>
      <c r="L834" t="s">
        <v>70</v>
      </c>
      <c r="M834" t="s">
        <v>71</v>
      </c>
      <c r="N834" t="s">
        <v>45</v>
      </c>
      <c r="O834">
        <v>7</v>
      </c>
      <c r="P834" t="s">
        <v>6</v>
      </c>
      <c r="Q834">
        <v>2.5</v>
      </c>
    </row>
    <row r="835" spans="1:17">
      <c r="A835">
        <v>3061</v>
      </c>
      <c r="B835" t="s">
        <v>76</v>
      </c>
      <c r="C835">
        <v>0.63</v>
      </c>
      <c r="D835">
        <v>0.51500000000000001</v>
      </c>
      <c r="E835">
        <v>0.17499999999999999</v>
      </c>
      <c r="F835">
        <v>1.1955</v>
      </c>
      <c r="G835">
        <v>0.49199999999999999</v>
      </c>
      <c r="H835">
        <v>0.247</v>
      </c>
      <c r="I835">
        <v>0.37</v>
      </c>
      <c r="J835">
        <v>11</v>
      </c>
      <c r="K835">
        <v>12</v>
      </c>
      <c r="L835" t="s">
        <v>58</v>
      </c>
      <c r="M835" t="s">
        <v>59</v>
      </c>
      <c r="N835" t="s">
        <v>45</v>
      </c>
      <c r="O835">
        <v>9</v>
      </c>
      <c r="P835" t="s">
        <v>9</v>
      </c>
      <c r="Q835">
        <v>1.9</v>
      </c>
    </row>
    <row r="836" spans="1:17">
      <c r="A836">
        <v>3867</v>
      </c>
      <c r="B836" t="s">
        <v>76</v>
      </c>
      <c r="C836">
        <v>0.52500000000000002</v>
      </c>
      <c r="D836">
        <v>0.43</v>
      </c>
      <c r="E836">
        <v>0.16500000000000001</v>
      </c>
      <c r="F836">
        <v>0.71699999999999997</v>
      </c>
      <c r="G836">
        <v>0.28899999999999998</v>
      </c>
      <c r="H836">
        <v>0.17449999999999999</v>
      </c>
      <c r="I836">
        <v>0.19500000000000001</v>
      </c>
      <c r="J836">
        <v>10</v>
      </c>
      <c r="K836">
        <v>2</v>
      </c>
      <c r="L836" t="s">
        <v>49</v>
      </c>
      <c r="M836" t="s">
        <v>50</v>
      </c>
      <c r="N836" t="s">
        <v>51</v>
      </c>
      <c r="O836">
        <v>1</v>
      </c>
      <c r="P836" t="s">
        <v>4</v>
      </c>
      <c r="Q836">
        <v>22.1</v>
      </c>
    </row>
    <row r="837" spans="1:17">
      <c r="A837">
        <v>1490</v>
      </c>
      <c r="B837" t="s">
        <v>76</v>
      </c>
      <c r="C837">
        <v>0.60499999999999998</v>
      </c>
      <c r="D837">
        <v>0.48499999999999999</v>
      </c>
      <c r="E837">
        <v>0.16500000000000001</v>
      </c>
      <c r="F837">
        <v>0.95150000000000001</v>
      </c>
      <c r="G837">
        <v>0.45350000000000001</v>
      </c>
      <c r="H837">
        <v>0.193</v>
      </c>
      <c r="I837">
        <v>0.27650000000000002</v>
      </c>
      <c r="J837">
        <v>11</v>
      </c>
      <c r="K837">
        <v>9</v>
      </c>
      <c r="L837" t="s">
        <v>34</v>
      </c>
      <c r="M837" t="s">
        <v>35</v>
      </c>
      <c r="N837" t="s">
        <v>36</v>
      </c>
      <c r="O837">
        <v>8</v>
      </c>
      <c r="P837" t="s">
        <v>13</v>
      </c>
      <c r="Q837">
        <v>12.3</v>
      </c>
    </row>
    <row r="838" spans="1:17">
      <c r="A838">
        <v>1004</v>
      </c>
      <c r="B838" t="s">
        <v>76</v>
      </c>
      <c r="C838">
        <v>0.59499999999999997</v>
      </c>
      <c r="D838">
        <v>0.45500000000000002</v>
      </c>
      <c r="E838">
        <v>0.15</v>
      </c>
      <c r="F838">
        <v>1.044</v>
      </c>
      <c r="G838">
        <v>0.51800000000000002</v>
      </c>
      <c r="H838">
        <v>0.2205</v>
      </c>
      <c r="I838">
        <v>0.27</v>
      </c>
      <c r="J838">
        <v>9</v>
      </c>
      <c r="K838">
        <v>14</v>
      </c>
      <c r="L838" t="s">
        <v>72</v>
      </c>
      <c r="M838" t="s">
        <v>73</v>
      </c>
      <c r="N838" t="s">
        <v>74</v>
      </c>
      <c r="O838">
        <v>6</v>
      </c>
      <c r="P838" t="s">
        <v>7</v>
      </c>
      <c r="Q838">
        <v>14.1</v>
      </c>
    </row>
    <row r="839" spans="1:17">
      <c r="A839">
        <v>2685</v>
      </c>
      <c r="B839" t="s">
        <v>76</v>
      </c>
      <c r="C839">
        <v>0.625</v>
      </c>
      <c r="D839">
        <v>0.49</v>
      </c>
      <c r="E839">
        <v>0.155</v>
      </c>
      <c r="F839">
        <v>1.115</v>
      </c>
      <c r="G839">
        <v>0.48399999999999999</v>
      </c>
      <c r="H839">
        <v>0.27700000000000002</v>
      </c>
      <c r="I839">
        <v>0.3095</v>
      </c>
      <c r="J839">
        <v>9</v>
      </c>
      <c r="K839">
        <v>8</v>
      </c>
      <c r="L839" t="s">
        <v>55</v>
      </c>
      <c r="M839" t="s">
        <v>56</v>
      </c>
      <c r="N839" t="s">
        <v>57</v>
      </c>
      <c r="O839">
        <v>9</v>
      </c>
      <c r="P839" t="s">
        <v>9</v>
      </c>
      <c r="Q839">
        <v>1.9</v>
      </c>
    </row>
    <row r="840" spans="1:17">
      <c r="A840">
        <v>2079</v>
      </c>
      <c r="B840" t="s">
        <v>76</v>
      </c>
      <c r="C840">
        <v>0.61</v>
      </c>
      <c r="D840">
        <v>0.48</v>
      </c>
      <c r="E840">
        <v>0.16500000000000001</v>
      </c>
      <c r="F840">
        <v>1.2435</v>
      </c>
      <c r="G840">
        <v>0.5575</v>
      </c>
      <c r="H840">
        <v>0.26750000000000002</v>
      </c>
      <c r="I840">
        <v>0.372</v>
      </c>
      <c r="J840">
        <v>8</v>
      </c>
      <c r="K840">
        <v>7</v>
      </c>
      <c r="L840" t="s">
        <v>62</v>
      </c>
      <c r="M840" t="s">
        <v>63</v>
      </c>
      <c r="N840" t="s">
        <v>64</v>
      </c>
      <c r="O840">
        <v>4</v>
      </c>
      <c r="P840" t="s">
        <v>8</v>
      </c>
      <c r="Q840">
        <v>6.1</v>
      </c>
    </row>
    <row r="841" spans="1:17">
      <c r="A841">
        <v>3729</v>
      </c>
      <c r="B841" t="s">
        <v>76</v>
      </c>
      <c r="C841">
        <v>0.51</v>
      </c>
      <c r="D841">
        <v>0.375</v>
      </c>
      <c r="E841">
        <v>0.15</v>
      </c>
      <c r="F841">
        <v>0.84150000000000003</v>
      </c>
      <c r="G841">
        <v>0.38450000000000001</v>
      </c>
      <c r="H841">
        <v>0.156</v>
      </c>
      <c r="I841">
        <v>0.255</v>
      </c>
      <c r="J841">
        <v>10</v>
      </c>
      <c r="K841">
        <v>4</v>
      </c>
      <c r="L841" t="s">
        <v>40</v>
      </c>
      <c r="M841" t="s">
        <v>41</v>
      </c>
      <c r="N841" t="s">
        <v>42</v>
      </c>
      <c r="O841">
        <v>10</v>
      </c>
      <c r="P841" t="s">
        <v>11</v>
      </c>
      <c r="Q841">
        <v>24.1</v>
      </c>
    </row>
    <row r="842" spans="1:17">
      <c r="A842">
        <v>1649</v>
      </c>
      <c r="B842" t="s">
        <v>76</v>
      </c>
      <c r="C842">
        <v>0.59</v>
      </c>
      <c r="D842">
        <v>0.49</v>
      </c>
      <c r="E842">
        <v>0.16500000000000001</v>
      </c>
      <c r="F842">
        <v>1.2070000000000001</v>
      </c>
      <c r="G842">
        <v>0.55900000000000005</v>
      </c>
      <c r="H842">
        <v>0.23499999999999999</v>
      </c>
      <c r="I842">
        <v>0.309</v>
      </c>
      <c r="J842">
        <v>10</v>
      </c>
      <c r="K842">
        <v>13</v>
      </c>
      <c r="L842" t="s">
        <v>43</v>
      </c>
      <c r="M842" t="s">
        <v>44</v>
      </c>
      <c r="N842" t="s">
        <v>45</v>
      </c>
      <c r="O842">
        <v>6</v>
      </c>
      <c r="P842" t="s">
        <v>7</v>
      </c>
      <c r="Q842">
        <v>14.1</v>
      </c>
    </row>
    <row r="843" spans="1:17">
      <c r="A843">
        <v>265</v>
      </c>
      <c r="B843" t="s">
        <v>76</v>
      </c>
      <c r="C843">
        <v>0.27</v>
      </c>
      <c r="D843">
        <v>0.2</v>
      </c>
      <c r="E843">
        <v>0.08</v>
      </c>
      <c r="F843">
        <v>0.1205</v>
      </c>
      <c r="G843">
        <v>4.65E-2</v>
      </c>
      <c r="H843">
        <v>2.8000000000000001E-2</v>
      </c>
      <c r="I843">
        <v>0.04</v>
      </c>
      <c r="J843">
        <v>6</v>
      </c>
      <c r="K843">
        <v>8</v>
      </c>
      <c r="L843" t="s">
        <v>55</v>
      </c>
      <c r="M843" t="s">
        <v>56</v>
      </c>
      <c r="N843" t="s">
        <v>57</v>
      </c>
      <c r="O843">
        <v>4</v>
      </c>
      <c r="P843" t="s">
        <v>8</v>
      </c>
      <c r="Q843">
        <v>6.1</v>
      </c>
    </row>
    <row r="844" spans="1:17">
      <c r="A844">
        <v>1840</v>
      </c>
      <c r="B844" t="s">
        <v>76</v>
      </c>
      <c r="C844">
        <v>0.42</v>
      </c>
      <c r="D844">
        <v>0.32500000000000001</v>
      </c>
      <c r="E844">
        <v>0.1</v>
      </c>
      <c r="F844">
        <v>0.36799999999999999</v>
      </c>
      <c r="G844">
        <v>0.16750000000000001</v>
      </c>
      <c r="H844">
        <v>6.25E-2</v>
      </c>
      <c r="I844">
        <v>0.1135</v>
      </c>
      <c r="J844">
        <v>11</v>
      </c>
      <c r="K844">
        <v>13</v>
      </c>
      <c r="L844" t="s">
        <v>43</v>
      </c>
      <c r="M844" t="s">
        <v>44</v>
      </c>
      <c r="N844" t="s">
        <v>45</v>
      </c>
      <c r="O844">
        <v>4</v>
      </c>
      <c r="P844" t="s">
        <v>8</v>
      </c>
      <c r="Q844">
        <v>6.1</v>
      </c>
    </row>
    <row r="845" spans="1:17">
      <c r="A845">
        <v>3299</v>
      </c>
      <c r="B845" t="s">
        <v>76</v>
      </c>
      <c r="C845">
        <v>0.62</v>
      </c>
      <c r="D845">
        <v>0.5</v>
      </c>
      <c r="E845">
        <v>0.17499999999999999</v>
      </c>
      <c r="F845">
        <v>1.1459999999999999</v>
      </c>
      <c r="G845">
        <v>0.47699999999999998</v>
      </c>
      <c r="H845">
        <v>0.23</v>
      </c>
      <c r="I845">
        <v>0.39</v>
      </c>
      <c r="J845">
        <v>13</v>
      </c>
      <c r="K845">
        <v>1</v>
      </c>
      <c r="L845" t="s">
        <v>70</v>
      </c>
      <c r="M845" t="s">
        <v>71</v>
      </c>
      <c r="N845" t="s">
        <v>45</v>
      </c>
      <c r="O845">
        <v>5</v>
      </c>
      <c r="P845" t="s">
        <v>12</v>
      </c>
      <c r="Q845">
        <v>12.8</v>
      </c>
    </row>
    <row r="846" spans="1:17">
      <c r="A846">
        <v>3898</v>
      </c>
      <c r="B846" t="s">
        <v>76</v>
      </c>
      <c r="C846">
        <v>0.61499999999999999</v>
      </c>
      <c r="D846">
        <v>0.5</v>
      </c>
      <c r="E846">
        <v>0.16500000000000001</v>
      </c>
      <c r="F846">
        <v>1.1765000000000001</v>
      </c>
      <c r="G846">
        <v>0.48799999999999999</v>
      </c>
      <c r="H846">
        <v>0.24399999999999999</v>
      </c>
      <c r="I846">
        <v>0.34499999999999997</v>
      </c>
      <c r="J846">
        <v>17</v>
      </c>
      <c r="K846">
        <v>1</v>
      </c>
      <c r="L846" t="s">
        <v>70</v>
      </c>
      <c r="M846" t="s">
        <v>71</v>
      </c>
      <c r="N846" t="s">
        <v>45</v>
      </c>
      <c r="O846">
        <v>1</v>
      </c>
      <c r="P846" t="s">
        <v>4</v>
      </c>
      <c r="Q846">
        <v>22.1</v>
      </c>
    </row>
    <row r="847" spans="1:17">
      <c r="A847">
        <v>3164</v>
      </c>
      <c r="B847" t="s">
        <v>76</v>
      </c>
      <c r="C847">
        <v>0.55000000000000004</v>
      </c>
      <c r="D847">
        <v>0.44</v>
      </c>
      <c r="E847">
        <v>0.125</v>
      </c>
      <c r="F847">
        <v>0.76500000000000001</v>
      </c>
      <c r="G847">
        <v>0.33</v>
      </c>
      <c r="H847">
        <v>0.21249999999999999</v>
      </c>
      <c r="I847">
        <v>0.245</v>
      </c>
      <c r="J847">
        <v>9</v>
      </c>
      <c r="K847">
        <v>1</v>
      </c>
      <c r="L847" t="s">
        <v>70</v>
      </c>
      <c r="M847" t="s">
        <v>71</v>
      </c>
      <c r="N847" t="s">
        <v>45</v>
      </c>
      <c r="O847">
        <v>1</v>
      </c>
      <c r="P847" t="s">
        <v>4</v>
      </c>
      <c r="Q847">
        <v>22.1</v>
      </c>
    </row>
    <row r="848" spans="1:17">
      <c r="A848">
        <v>2294</v>
      </c>
      <c r="B848" t="s">
        <v>76</v>
      </c>
      <c r="C848">
        <v>0.34</v>
      </c>
      <c r="D848">
        <v>0.26</v>
      </c>
      <c r="E848">
        <v>0.09</v>
      </c>
      <c r="F848">
        <v>0.17899999999999999</v>
      </c>
      <c r="G848">
        <v>7.5999999999999998E-2</v>
      </c>
      <c r="H848">
        <v>5.2499999999999998E-2</v>
      </c>
      <c r="I848">
        <v>5.5E-2</v>
      </c>
      <c r="J848">
        <v>6</v>
      </c>
      <c r="K848">
        <v>11</v>
      </c>
      <c r="L848" t="s">
        <v>65</v>
      </c>
      <c r="M848" t="s">
        <v>66</v>
      </c>
      <c r="N848" t="s">
        <v>45</v>
      </c>
      <c r="O848">
        <v>9</v>
      </c>
      <c r="P848" t="s">
        <v>9</v>
      </c>
      <c r="Q848">
        <v>1.9</v>
      </c>
    </row>
    <row r="849" spans="1:17">
      <c r="A849">
        <v>3322</v>
      </c>
      <c r="B849" t="s">
        <v>76</v>
      </c>
      <c r="C849">
        <v>0.49</v>
      </c>
      <c r="D849">
        <v>0.38500000000000001</v>
      </c>
      <c r="E849">
        <v>0.14000000000000001</v>
      </c>
      <c r="F849">
        <v>0.54249999999999998</v>
      </c>
      <c r="G849">
        <v>0.19800000000000001</v>
      </c>
      <c r="H849">
        <v>0.127</v>
      </c>
      <c r="I849">
        <v>0.17499999999999999</v>
      </c>
      <c r="J849">
        <v>11</v>
      </c>
      <c r="K849">
        <v>2</v>
      </c>
      <c r="L849" t="s">
        <v>49</v>
      </c>
      <c r="M849" t="s">
        <v>50</v>
      </c>
      <c r="N849" t="s">
        <v>51</v>
      </c>
      <c r="O849">
        <v>1</v>
      </c>
      <c r="P849" t="s">
        <v>4</v>
      </c>
      <c r="Q849">
        <v>22.1</v>
      </c>
    </row>
    <row r="850" spans="1:17">
      <c r="A850">
        <v>3330</v>
      </c>
      <c r="B850" t="s">
        <v>76</v>
      </c>
      <c r="C850">
        <v>0.54500000000000004</v>
      </c>
      <c r="D850">
        <v>0.435</v>
      </c>
      <c r="E850">
        <v>0.15</v>
      </c>
      <c r="F850">
        <v>0.6855</v>
      </c>
      <c r="G850">
        <v>0.29049999999999998</v>
      </c>
      <c r="H850">
        <v>0.14499999999999999</v>
      </c>
      <c r="I850">
        <v>0.22500000000000001</v>
      </c>
      <c r="J850">
        <v>10</v>
      </c>
      <c r="K850">
        <v>12</v>
      </c>
      <c r="L850" t="s">
        <v>58</v>
      </c>
      <c r="M850" t="s">
        <v>59</v>
      </c>
      <c r="N850" t="s">
        <v>45</v>
      </c>
      <c r="O850">
        <v>4</v>
      </c>
      <c r="P850" t="s">
        <v>8</v>
      </c>
      <c r="Q850">
        <v>6.1</v>
      </c>
    </row>
    <row r="851" spans="1:17">
      <c r="A851">
        <v>177</v>
      </c>
      <c r="B851" t="s">
        <v>76</v>
      </c>
      <c r="C851">
        <v>0.315</v>
      </c>
      <c r="D851">
        <v>0.21</v>
      </c>
      <c r="E851">
        <v>0.06</v>
      </c>
      <c r="F851">
        <v>0.125</v>
      </c>
      <c r="G851">
        <v>0.06</v>
      </c>
      <c r="H851">
        <v>3.7499999999999999E-2</v>
      </c>
      <c r="I851">
        <v>3.5000000000000003E-2</v>
      </c>
      <c r="J851">
        <v>5</v>
      </c>
      <c r="K851">
        <v>8</v>
      </c>
      <c r="L851" t="s">
        <v>55</v>
      </c>
      <c r="M851" t="s">
        <v>56</v>
      </c>
      <c r="N851" t="s">
        <v>57</v>
      </c>
      <c r="O851">
        <v>8</v>
      </c>
      <c r="P851" t="s">
        <v>13</v>
      </c>
      <c r="Q851">
        <v>12.3</v>
      </c>
    </row>
    <row r="852" spans="1:17">
      <c r="A852">
        <v>1770</v>
      </c>
      <c r="B852" t="s">
        <v>76</v>
      </c>
      <c r="C852">
        <v>0.44500000000000001</v>
      </c>
      <c r="D852">
        <v>0.32</v>
      </c>
      <c r="E852">
        <v>0.12</v>
      </c>
      <c r="F852">
        <v>0.41399999999999998</v>
      </c>
      <c r="G852">
        <v>0.19900000000000001</v>
      </c>
      <c r="H852">
        <v>0.09</v>
      </c>
      <c r="I852">
        <v>0.11700000000000001</v>
      </c>
      <c r="J852">
        <v>7</v>
      </c>
      <c r="K852">
        <v>10</v>
      </c>
      <c r="L852" t="s">
        <v>37</v>
      </c>
      <c r="M852" t="s">
        <v>38</v>
      </c>
      <c r="N852" t="s">
        <v>39</v>
      </c>
      <c r="O852">
        <v>6</v>
      </c>
      <c r="P852" t="s">
        <v>7</v>
      </c>
      <c r="Q852">
        <v>14.1</v>
      </c>
    </row>
    <row r="853" spans="1:17">
      <c r="A853">
        <v>982</v>
      </c>
      <c r="B853" t="s">
        <v>76</v>
      </c>
      <c r="C853">
        <v>0.55000000000000004</v>
      </c>
      <c r="D853">
        <v>0.43</v>
      </c>
      <c r="E853">
        <v>0.14000000000000001</v>
      </c>
      <c r="F853">
        <v>0.8105</v>
      </c>
      <c r="G853">
        <v>0.36799999999999999</v>
      </c>
      <c r="H853">
        <v>0.161</v>
      </c>
      <c r="I853">
        <v>0.27500000000000002</v>
      </c>
      <c r="J853">
        <v>9</v>
      </c>
      <c r="K853">
        <v>13</v>
      </c>
      <c r="L853" t="s">
        <v>43</v>
      </c>
      <c r="M853" t="s">
        <v>44</v>
      </c>
      <c r="N853" t="s">
        <v>45</v>
      </c>
      <c r="O853">
        <v>2</v>
      </c>
      <c r="P853" t="s">
        <v>5</v>
      </c>
      <c r="Q853">
        <v>18</v>
      </c>
    </row>
    <row r="854" spans="1:17">
      <c r="A854">
        <v>4062</v>
      </c>
      <c r="B854" t="s">
        <v>76</v>
      </c>
      <c r="C854">
        <v>0.62</v>
      </c>
      <c r="D854">
        <v>0.46500000000000002</v>
      </c>
      <c r="E854">
        <v>0.14499999999999999</v>
      </c>
      <c r="F854">
        <v>0.91100000000000003</v>
      </c>
      <c r="G854">
        <v>0.375</v>
      </c>
      <c r="H854">
        <v>0.2145</v>
      </c>
      <c r="I854">
        <v>0.27800000000000002</v>
      </c>
      <c r="J854">
        <v>10</v>
      </c>
      <c r="K854">
        <v>9</v>
      </c>
      <c r="L854" t="s">
        <v>34</v>
      </c>
      <c r="M854" t="s">
        <v>35</v>
      </c>
      <c r="N854" t="s">
        <v>36</v>
      </c>
      <c r="O854">
        <v>7</v>
      </c>
      <c r="P854" t="s">
        <v>6</v>
      </c>
      <c r="Q854">
        <v>2.5</v>
      </c>
    </row>
    <row r="855" spans="1:17">
      <c r="A855">
        <v>3907</v>
      </c>
      <c r="B855" t="s">
        <v>76</v>
      </c>
      <c r="C855">
        <v>0.245</v>
      </c>
      <c r="D855">
        <v>0.18</v>
      </c>
      <c r="E855">
        <v>6.5000000000000002E-2</v>
      </c>
      <c r="F855">
        <v>6.3500000000000001E-2</v>
      </c>
      <c r="G855">
        <v>2.4500000000000001E-2</v>
      </c>
      <c r="H855">
        <v>1.35E-2</v>
      </c>
      <c r="I855">
        <v>0.02</v>
      </c>
      <c r="J855">
        <v>4</v>
      </c>
      <c r="K855">
        <v>12</v>
      </c>
      <c r="L855" t="s">
        <v>58</v>
      </c>
      <c r="M855" t="s">
        <v>59</v>
      </c>
      <c r="N855" t="s">
        <v>45</v>
      </c>
      <c r="O855">
        <v>3</v>
      </c>
      <c r="P855" t="s">
        <v>10</v>
      </c>
      <c r="Q855">
        <v>3.6</v>
      </c>
    </row>
    <row r="856" spans="1:17">
      <c r="A856">
        <v>2331</v>
      </c>
      <c r="B856" t="s">
        <v>76</v>
      </c>
      <c r="C856">
        <v>0.42</v>
      </c>
      <c r="D856">
        <v>0.34499999999999997</v>
      </c>
      <c r="E856">
        <v>0.115</v>
      </c>
      <c r="F856">
        <v>0.34350000000000003</v>
      </c>
      <c r="G856">
        <v>0.1515</v>
      </c>
      <c r="H856">
        <v>7.9500000000000001E-2</v>
      </c>
      <c r="I856">
        <v>0.115</v>
      </c>
      <c r="J856">
        <v>9</v>
      </c>
      <c r="K856">
        <v>3</v>
      </c>
      <c r="L856" t="s">
        <v>52</v>
      </c>
      <c r="M856" t="s">
        <v>53</v>
      </c>
      <c r="N856" t="s">
        <v>54</v>
      </c>
      <c r="O856">
        <v>2</v>
      </c>
      <c r="P856" t="s">
        <v>5</v>
      </c>
      <c r="Q856">
        <v>18</v>
      </c>
    </row>
    <row r="857" spans="1:17">
      <c r="A857">
        <v>1562</v>
      </c>
      <c r="B857" t="s">
        <v>76</v>
      </c>
      <c r="C857">
        <v>0.45</v>
      </c>
      <c r="D857">
        <v>0.34</v>
      </c>
      <c r="E857">
        <v>9.5000000000000001E-2</v>
      </c>
      <c r="F857">
        <v>0.32450000000000001</v>
      </c>
      <c r="G857">
        <v>0.13850000000000001</v>
      </c>
      <c r="H857">
        <v>6.4000000000000001E-2</v>
      </c>
      <c r="I857">
        <v>0.105</v>
      </c>
      <c r="J857">
        <v>8</v>
      </c>
      <c r="K857">
        <v>7</v>
      </c>
      <c r="L857" t="s">
        <v>62</v>
      </c>
      <c r="M857" t="s">
        <v>63</v>
      </c>
      <c r="N857" t="s">
        <v>64</v>
      </c>
      <c r="O857">
        <v>7</v>
      </c>
      <c r="P857" t="s">
        <v>6</v>
      </c>
      <c r="Q857">
        <v>2.5</v>
      </c>
    </row>
    <row r="858" spans="1:17">
      <c r="A858">
        <v>65</v>
      </c>
      <c r="B858" t="s">
        <v>76</v>
      </c>
      <c r="C858">
        <v>0.52</v>
      </c>
      <c r="D858">
        <v>0.4</v>
      </c>
      <c r="E858">
        <v>0.12</v>
      </c>
      <c r="F858">
        <v>0.57999999999999996</v>
      </c>
      <c r="G858">
        <v>0.23400000000000001</v>
      </c>
      <c r="H858">
        <v>0.13150000000000001</v>
      </c>
      <c r="I858">
        <v>0.185</v>
      </c>
      <c r="J858">
        <v>8</v>
      </c>
      <c r="K858">
        <v>4</v>
      </c>
      <c r="L858" t="s">
        <v>40</v>
      </c>
      <c r="M858" t="s">
        <v>41</v>
      </c>
      <c r="N858" t="s">
        <v>42</v>
      </c>
      <c r="O858">
        <v>7</v>
      </c>
      <c r="P858" t="s">
        <v>6</v>
      </c>
      <c r="Q858">
        <v>2.5</v>
      </c>
    </row>
    <row r="859" spans="1:17">
      <c r="A859">
        <v>942</v>
      </c>
      <c r="B859" t="s">
        <v>76</v>
      </c>
      <c r="C859">
        <v>0.46500000000000002</v>
      </c>
      <c r="D859">
        <v>0.36499999999999999</v>
      </c>
      <c r="E859">
        <v>0.115</v>
      </c>
      <c r="F859">
        <v>0.46700000000000003</v>
      </c>
      <c r="G859">
        <v>0.23150000000000001</v>
      </c>
      <c r="H859">
        <v>9.2499999999999999E-2</v>
      </c>
      <c r="I859">
        <v>0.113</v>
      </c>
      <c r="J859">
        <v>7</v>
      </c>
      <c r="K859">
        <v>8</v>
      </c>
      <c r="L859" t="s">
        <v>55</v>
      </c>
      <c r="M859" t="s">
        <v>56</v>
      </c>
      <c r="N859" t="s">
        <v>57</v>
      </c>
      <c r="O859">
        <v>5</v>
      </c>
      <c r="P859" t="s">
        <v>12</v>
      </c>
      <c r="Q859">
        <v>12.8</v>
      </c>
    </row>
    <row r="860" spans="1:17">
      <c r="A860">
        <v>3524</v>
      </c>
      <c r="B860" t="s">
        <v>76</v>
      </c>
      <c r="C860">
        <v>0.26</v>
      </c>
      <c r="D860">
        <v>0.20499999999999999</v>
      </c>
      <c r="E860">
        <v>7.0000000000000007E-2</v>
      </c>
      <c r="F860">
        <v>9.7000000000000003E-2</v>
      </c>
      <c r="G860">
        <v>4.1500000000000002E-2</v>
      </c>
      <c r="H860">
        <v>1.9E-2</v>
      </c>
      <c r="I860">
        <v>3.0499999999999999E-2</v>
      </c>
      <c r="J860">
        <v>4</v>
      </c>
      <c r="K860">
        <v>6</v>
      </c>
      <c r="L860" t="s">
        <v>46</v>
      </c>
      <c r="M860" t="s">
        <v>47</v>
      </c>
      <c r="N860" t="s">
        <v>48</v>
      </c>
      <c r="O860">
        <v>10</v>
      </c>
      <c r="P860" t="s">
        <v>11</v>
      </c>
      <c r="Q860">
        <v>24.1</v>
      </c>
    </row>
    <row r="861" spans="1:17">
      <c r="A861">
        <v>3265</v>
      </c>
      <c r="B861" t="s">
        <v>76</v>
      </c>
      <c r="C861">
        <v>0.65500000000000003</v>
      </c>
      <c r="D861">
        <v>0.5</v>
      </c>
      <c r="E861">
        <v>0.14000000000000001</v>
      </c>
      <c r="F861">
        <v>1.1705000000000001</v>
      </c>
      <c r="G861">
        <v>0.54049999999999998</v>
      </c>
      <c r="H861">
        <v>0.3175</v>
      </c>
      <c r="I861">
        <v>0.28499999999999998</v>
      </c>
      <c r="J861">
        <v>12</v>
      </c>
      <c r="K861">
        <v>7</v>
      </c>
      <c r="L861" t="s">
        <v>62</v>
      </c>
      <c r="M861" t="s">
        <v>63</v>
      </c>
      <c r="N861" t="s">
        <v>64</v>
      </c>
      <c r="O861">
        <v>7</v>
      </c>
      <c r="P861" t="s">
        <v>6</v>
      </c>
      <c r="Q861">
        <v>2.5</v>
      </c>
    </row>
    <row r="862" spans="1:17">
      <c r="A862">
        <v>3332</v>
      </c>
      <c r="B862" t="s">
        <v>76</v>
      </c>
      <c r="C862">
        <v>0.51</v>
      </c>
      <c r="D862">
        <v>0.34</v>
      </c>
      <c r="E862">
        <v>0.18</v>
      </c>
      <c r="F862">
        <v>0.70050000000000001</v>
      </c>
      <c r="G862">
        <v>0.312</v>
      </c>
      <c r="H862">
        <v>0.16500000000000001</v>
      </c>
      <c r="I862">
        <v>0.2</v>
      </c>
      <c r="J862">
        <v>11</v>
      </c>
      <c r="K862">
        <v>5</v>
      </c>
      <c r="L862" t="s">
        <v>67</v>
      </c>
      <c r="M862" t="s">
        <v>68</v>
      </c>
      <c r="N862" t="s">
        <v>69</v>
      </c>
      <c r="O862">
        <v>1</v>
      </c>
      <c r="P862" t="s">
        <v>4</v>
      </c>
      <c r="Q862">
        <v>22.1</v>
      </c>
    </row>
    <row r="863" spans="1:17">
      <c r="A863">
        <v>27</v>
      </c>
      <c r="B863" t="s">
        <v>76</v>
      </c>
      <c r="C863">
        <v>0.57999999999999996</v>
      </c>
      <c r="D863">
        <v>0.45</v>
      </c>
      <c r="E863">
        <v>0.185</v>
      </c>
      <c r="F863">
        <v>0.99550000000000005</v>
      </c>
      <c r="G863">
        <v>0.39450000000000002</v>
      </c>
      <c r="H863">
        <v>0.27200000000000002</v>
      </c>
      <c r="I863">
        <v>0.28499999999999998</v>
      </c>
      <c r="J863">
        <v>11</v>
      </c>
      <c r="K863">
        <v>14</v>
      </c>
      <c r="L863" t="s">
        <v>72</v>
      </c>
      <c r="M863" t="s">
        <v>73</v>
      </c>
      <c r="N863" t="s">
        <v>74</v>
      </c>
      <c r="O863">
        <v>8</v>
      </c>
      <c r="P863" t="s">
        <v>13</v>
      </c>
      <c r="Q863">
        <v>12.3</v>
      </c>
    </row>
    <row r="864" spans="1:17">
      <c r="A864">
        <v>1660</v>
      </c>
      <c r="B864" t="s">
        <v>76</v>
      </c>
      <c r="C864">
        <v>0.6</v>
      </c>
      <c r="D864">
        <v>0.48</v>
      </c>
      <c r="E864">
        <v>0.18</v>
      </c>
      <c r="F864">
        <v>1.0645</v>
      </c>
      <c r="G864">
        <v>0.44950000000000001</v>
      </c>
      <c r="H864">
        <v>0.2455</v>
      </c>
      <c r="I864">
        <v>0.32500000000000001</v>
      </c>
      <c r="J864">
        <v>10</v>
      </c>
      <c r="K864">
        <v>6</v>
      </c>
      <c r="L864" t="s">
        <v>46</v>
      </c>
      <c r="M864" t="s">
        <v>47</v>
      </c>
      <c r="N864" t="s">
        <v>48</v>
      </c>
      <c r="O864">
        <v>4</v>
      </c>
      <c r="P864" t="s">
        <v>8</v>
      </c>
      <c r="Q864">
        <v>6.1</v>
      </c>
    </row>
    <row r="865" spans="1:17">
      <c r="A865">
        <v>3506</v>
      </c>
      <c r="B865" t="s">
        <v>76</v>
      </c>
      <c r="C865">
        <v>0.625</v>
      </c>
      <c r="D865">
        <v>0.495</v>
      </c>
      <c r="E865">
        <v>0.18</v>
      </c>
      <c r="F865">
        <v>1.0814999999999999</v>
      </c>
      <c r="G865">
        <v>0.47149999999999997</v>
      </c>
      <c r="H865">
        <v>0.254</v>
      </c>
      <c r="I865">
        <v>0.3135</v>
      </c>
      <c r="J865">
        <v>10</v>
      </c>
      <c r="K865">
        <v>1</v>
      </c>
      <c r="L865" t="s">
        <v>70</v>
      </c>
      <c r="M865" t="s">
        <v>71</v>
      </c>
      <c r="N865" t="s">
        <v>45</v>
      </c>
      <c r="O865">
        <v>4</v>
      </c>
      <c r="P865" t="s">
        <v>8</v>
      </c>
      <c r="Q865">
        <v>6.1</v>
      </c>
    </row>
    <row r="866" spans="1:17">
      <c r="A866">
        <v>2402</v>
      </c>
      <c r="B866" t="s">
        <v>76</v>
      </c>
      <c r="C866">
        <v>0.58499999999999996</v>
      </c>
      <c r="D866">
        <v>0.41499999999999998</v>
      </c>
      <c r="E866">
        <v>0.155</v>
      </c>
      <c r="F866">
        <v>0.69850000000000001</v>
      </c>
      <c r="G866">
        <v>0.3</v>
      </c>
      <c r="H866">
        <v>0.14599999999999999</v>
      </c>
      <c r="I866">
        <v>0.19500000000000001</v>
      </c>
      <c r="J866">
        <v>12</v>
      </c>
      <c r="K866">
        <v>4</v>
      </c>
      <c r="L866" t="s">
        <v>40</v>
      </c>
      <c r="M866" t="s">
        <v>41</v>
      </c>
      <c r="N866" t="s">
        <v>42</v>
      </c>
      <c r="O866">
        <v>4</v>
      </c>
      <c r="P866" t="s">
        <v>8</v>
      </c>
      <c r="Q866">
        <v>6.1</v>
      </c>
    </row>
    <row r="867" spans="1:17">
      <c r="A867">
        <v>24</v>
      </c>
      <c r="B867" t="s">
        <v>76</v>
      </c>
      <c r="C867">
        <v>0.55000000000000004</v>
      </c>
      <c r="D867">
        <v>0.41499999999999998</v>
      </c>
      <c r="E867">
        <v>0.13500000000000001</v>
      </c>
      <c r="F867">
        <v>0.76349999999999996</v>
      </c>
      <c r="G867">
        <v>0.318</v>
      </c>
      <c r="H867">
        <v>0.21</v>
      </c>
      <c r="I867">
        <v>0.2</v>
      </c>
      <c r="J867">
        <v>9</v>
      </c>
      <c r="K867">
        <v>7</v>
      </c>
      <c r="L867" t="s">
        <v>62</v>
      </c>
      <c r="M867" t="s">
        <v>63</v>
      </c>
      <c r="N867" t="s">
        <v>64</v>
      </c>
      <c r="O867">
        <v>8</v>
      </c>
      <c r="P867" t="s">
        <v>13</v>
      </c>
      <c r="Q867">
        <v>12.3</v>
      </c>
    </row>
    <row r="868" spans="1:17">
      <c r="A868">
        <v>2118</v>
      </c>
      <c r="B868" t="s">
        <v>76</v>
      </c>
      <c r="C868">
        <v>0.375</v>
      </c>
      <c r="D868">
        <v>0.28999999999999998</v>
      </c>
      <c r="E868">
        <v>0.08</v>
      </c>
      <c r="F868">
        <v>0.28199999999999997</v>
      </c>
      <c r="G868">
        <v>0.14050000000000001</v>
      </c>
      <c r="H868">
        <v>7.2499999999999995E-2</v>
      </c>
      <c r="I868">
        <v>0.08</v>
      </c>
      <c r="J868">
        <v>7</v>
      </c>
      <c r="K868">
        <v>10</v>
      </c>
      <c r="L868" t="s">
        <v>37</v>
      </c>
      <c r="M868" t="s">
        <v>38</v>
      </c>
      <c r="N868" t="s">
        <v>39</v>
      </c>
      <c r="O868">
        <v>4</v>
      </c>
      <c r="P868" t="s">
        <v>8</v>
      </c>
      <c r="Q868">
        <v>6.1</v>
      </c>
    </row>
    <row r="869" spans="1:17">
      <c r="A869">
        <v>3681</v>
      </c>
      <c r="B869" t="s">
        <v>76</v>
      </c>
      <c r="C869">
        <v>0.61</v>
      </c>
      <c r="D869">
        <v>0.495</v>
      </c>
      <c r="E869">
        <v>0.16500000000000001</v>
      </c>
      <c r="F869">
        <v>1.0834999999999999</v>
      </c>
      <c r="G869">
        <v>0.45250000000000001</v>
      </c>
      <c r="H869">
        <v>0.27300000000000002</v>
      </c>
      <c r="I869">
        <v>0.317</v>
      </c>
      <c r="J869">
        <v>9</v>
      </c>
      <c r="K869">
        <v>9</v>
      </c>
      <c r="L869" t="s">
        <v>34</v>
      </c>
      <c r="M869" t="s">
        <v>35</v>
      </c>
      <c r="N869" t="s">
        <v>36</v>
      </c>
      <c r="O869">
        <v>3</v>
      </c>
      <c r="P869" t="s">
        <v>10</v>
      </c>
      <c r="Q869">
        <v>3.6</v>
      </c>
    </row>
    <row r="870" spans="1:17">
      <c r="A870">
        <v>737</v>
      </c>
      <c r="B870" t="s">
        <v>76</v>
      </c>
      <c r="C870">
        <v>0.52</v>
      </c>
      <c r="D870">
        <v>0.38500000000000001</v>
      </c>
      <c r="E870">
        <v>0.115</v>
      </c>
      <c r="F870">
        <v>0.66900000000000004</v>
      </c>
      <c r="G870">
        <v>0.23849999999999999</v>
      </c>
      <c r="H870">
        <v>0.17199999999999999</v>
      </c>
      <c r="I870">
        <v>0.20499999999999999</v>
      </c>
      <c r="J870">
        <v>12</v>
      </c>
      <c r="K870">
        <v>7</v>
      </c>
      <c r="L870" t="s">
        <v>62</v>
      </c>
      <c r="M870" t="s">
        <v>63</v>
      </c>
      <c r="N870" t="s">
        <v>64</v>
      </c>
      <c r="O870">
        <v>2</v>
      </c>
      <c r="P870" t="s">
        <v>5</v>
      </c>
      <c r="Q870">
        <v>18</v>
      </c>
    </row>
    <row r="871" spans="1:17">
      <c r="A871">
        <v>2078</v>
      </c>
      <c r="B871" t="s">
        <v>76</v>
      </c>
      <c r="C871">
        <v>0.61</v>
      </c>
      <c r="D871">
        <v>0.43</v>
      </c>
      <c r="E871">
        <v>0.14000000000000001</v>
      </c>
      <c r="F871">
        <v>0.90900000000000003</v>
      </c>
      <c r="G871">
        <v>0.438</v>
      </c>
      <c r="H871">
        <v>0.2</v>
      </c>
      <c r="I871">
        <v>0.22</v>
      </c>
      <c r="J871">
        <v>8</v>
      </c>
      <c r="K871">
        <v>15</v>
      </c>
      <c r="L871" t="s">
        <v>60</v>
      </c>
      <c r="M871" t="s">
        <v>61</v>
      </c>
      <c r="N871" t="s">
        <v>45</v>
      </c>
      <c r="O871">
        <v>3</v>
      </c>
      <c r="P871" t="s">
        <v>10</v>
      </c>
      <c r="Q871">
        <v>3.6</v>
      </c>
    </row>
    <row r="872" spans="1:17">
      <c r="A872">
        <v>4169</v>
      </c>
      <c r="B872" t="s">
        <v>76</v>
      </c>
      <c r="C872">
        <v>0.51500000000000001</v>
      </c>
      <c r="D872">
        <v>0.4</v>
      </c>
      <c r="E872">
        <v>0.125</v>
      </c>
      <c r="F872">
        <v>0.61499999999999999</v>
      </c>
      <c r="G872">
        <v>0.28649999999999998</v>
      </c>
      <c r="H872">
        <v>0.123</v>
      </c>
      <c r="I872">
        <v>0.17649999999999999</v>
      </c>
      <c r="J872">
        <v>8</v>
      </c>
      <c r="K872">
        <v>5</v>
      </c>
      <c r="L872" t="s">
        <v>67</v>
      </c>
      <c r="M872" t="s">
        <v>68</v>
      </c>
      <c r="N872" t="s">
        <v>69</v>
      </c>
      <c r="O872">
        <v>10</v>
      </c>
      <c r="P872" t="s">
        <v>11</v>
      </c>
      <c r="Q872">
        <v>24.1</v>
      </c>
    </row>
    <row r="873" spans="1:17">
      <c r="A873">
        <v>2788</v>
      </c>
      <c r="B873" t="s">
        <v>76</v>
      </c>
      <c r="C873">
        <v>0.61</v>
      </c>
      <c r="D873">
        <v>0.45</v>
      </c>
      <c r="E873">
        <v>0.13</v>
      </c>
      <c r="F873">
        <v>0.87250000000000005</v>
      </c>
      <c r="G873">
        <v>0.38900000000000001</v>
      </c>
      <c r="H873">
        <v>0.17150000000000001</v>
      </c>
      <c r="I873">
        <v>0.27200000000000002</v>
      </c>
      <c r="J873">
        <v>11</v>
      </c>
      <c r="K873">
        <v>5</v>
      </c>
      <c r="L873" t="s">
        <v>67</v>
      </c>
      <c r="M873" t="s">
        <v>68</v>
      </c>
      <c r="N873" t="s">
        <v>69</v>
      </c>
      <c r="O873">
        <v>5</v>
      </c>
      <c r="P873" t="s">
        <v>12</v>
      </c>
      <c r="Q873">
        <v>12.8</v>
      </c>
    </row>
    <row r="874" spans="1:17">
      <c r="A874">
        <v>306</v>
      </c>
      <c r="B874" t="s">
        <v>76</v>
      </c>
      <c r="C874">
        <v>0.2</v>
      </c>
      <c r="D874">
        <v>0.14499999999999999</v>
      </c>
      <c r="E874">
        <v>0.06</v>
      </c>
      <c r="F874">
        <v>3.6999999999999998E-2</v>
      </c>
      <c r="G874">
        <v>1.2500000000000001E-2</v>
      </c>
      <c r="H874">
        <v>9.4999999999999998E-3</v>
      </c>
      <c r="I874">
        <v>1.0999999999999999E-2</v>
      </c>
      <c r="J874">
        <v>4</v>
      </c>
      <c r="K874">
        <v>6</v>
      </c>
      <c r="L874" t="s">
        <v>46</v>
      </c>
      <c r="M874" t="s">
        <v>47</v>
      </c>
      <c r="N874" t="s">
        <v>48</v>
      </c>
      <c r="O874">
        <v>1</v>
      </c>
      <c r="P874" t="s">
        <v>4</v>
      </c>
      <c r="Q874">
        <v>22.1</v>
      </c>
    </row>
    <row r="875" spans="1:17">
      <c r="A875">
        <v>3294</v>
      </c>
      <c r="B875" t="s">
        <v>76</v>
      </c>
      <c r="C875">
        <v>0.57499999999999996</v>
      </c>
      <c r="D875">
        <v>0.45500000000000002</v>
      </c>
      <c r="E875">
        <v>0.185</v>
      </c>
      <c r="F875">
        <v>1.1559999999999999</v>
      </c>
      <c r="G875">
        <v>0.55249999999999999</v>
      </c>
      <c r="H875">
        <v>0.24299999999999999</v>
      </c>
      <c r="I875">
        <v>0.29499999999999998</v>
      </c>
      <c r="J875">
        <v>13</v>
      </c>
      <c r="K875">
        <v>3</v>
      </c>
      <c r="L875" t="s">
        <v>52</v>
      </c>
      <c r="M875" t="s">
        <v>53</v>
      </c>
      <c r="N875" t="s">
        <v>54</v>
      </c>
      <c r="O875">
        <v>9</v>
      </c>
      <c r="P875" t="s">
        <v>9</v>
      </c>
      <c r="Q875">
        <v>1.9</v>
      </c>
    </row>
    <row r="876" spans="1:17">
      <c r="A876">
        <v>3399</v>
      </c>
      <c r="B876" t="s">
        <v>76</v>
      </c>
      <c r="C876">
        <v>0.36499999999999999</v>
      </c>
      <c r="D876">
        <v>0.28499999999999998</v>
      </c>
      <c r="E876">
        <v>8.5000000000000006E-2</v>
      </c>
      <c r="F876">
        <v>0.2205</v>
      </c>
      <c r="G876">
        <v>8.5500000000000007E-2</v>
      </c>
      <c r="H876">
        <v>5.1499999999999997E-2</v>
      </c>
      <c r="I876">
        <v>7.0000000000000007E-2</v>
      </c>
      <c r="J876">
        <v>9</v>
      </c>
      <c r="K876">
        <v>5</v>
      </c>
      <c r="L876" t="s">
        <v>67</v>
      </c>
      <c r="M876" t="s">
        <v>68</v>
      </c>
      <c r="N876" t="s">
        <v>69</v>
      </c>
      <c r="O876">
        <v>2</v>
      </c>
      <c r="P876" t="s">
        <v>5</v>
      </c>
      <c r="Q876">
        <v>18</v>
      </c>
    </row>
    <row r="877" spans="1:17">
      <c r="A877">
        <v>2453</v>
      </c>
      <c r="B877" t="s">
        <v>76</v>
      </c>
      <c r="C877">
        <v>0.39500000000000002</v>
      </c>
      <c r="D877">
        <v>0.30499999999999999</v>
      </c>
      <c r="E877">
        <v>0.105</v>
      </c>
      <c r="F877">
        <v>0.28199999999999997</v>
      </c>
      <c r="G877">
        <v>9.7500000000000003E-2</v>
      </c>
      <c r="H877">
        <v>6.5000000000000002E-2</v>
      </c>
      <c r="I877">
        <v>9.6000000000000002E-2</v>
      </c>
      <c r="J877">
        <v>9</v>
      </c>
      <c r="K877">
        <v>2</v>
      </c>
      <c r="L877" t="s">
        <v>49</v>
      </c>
      <c r="M877" t="s">
        <v>50</v>
      </c>
      <c r="N877" t="s">
        <v>51</v>
      </c>
      <c r="O877">
        <v>1</v>
      </c>
      <c r="P877" t="s">
        <v>4</v>
      </c>
      <c r="Q877">
        <v>22.1</v>
      </c>
    </row>
    <row r="878" spans="1:17">
      <c r="A878">
        <v>508</v>
      </c>
      <c r="B878" t="s">
        <v>76</v>
      </c>
      <c r="C878">
        <v>0.58499999999999996</v>
      </c>
      <c r="D878">
        <v>0.45500000000000002</v>
      </c>
      <c r="E878">
        <v>0.22500000000000001</v>
      </c>
      <c r="F878">
        <v>1.0549999999999999</v>
      </c>
      <c r="G878">
        <v>0.38150000000000001</v>
      </c>
      <c r="H878">
        <v>0.221</v>
      </c>
      <c r="I878">
        <v>0.36499999999999999</v>
      </c>
      <c r="J878">
        <v>15</v>
      </c>
      <c r="K878">
        <v>4</v>
      </c>
      <c r="L878" t="s">
        <v>40</v>
      </c>
      <c r="M878" t="s">
        <v>41</v>
      </c>
      <c r="N878" t="s">
        <v>42</v>
      </c>
      <c r="O878">
        <v>4</v>
      </c>
      <c r="P878" t="s">
        <v>8</v>
      </c>
      <c r="Q878">
        <v>6.1</v>
      </c>
    </row>
    <row r="879" spans="1:17">
      <c r="A879">
        <v>3566</v>
      </c>
      <c r="B879" t="s">
        <v>76</v>
      </c>
      <c r="C879">
        <v>0.57499999999999996</v>
      </c>
      <c r="D879">
        <v>0.47499999999999998</v>
      </c>
      <c r="E879">
        <v>0.16</v>
      </c>
      <c r="F879">
        <v>0.89500000000000002</v>
      </c>
      <c r="G879">
        <v>0.36049999999999999</v>
      </c>
      <c r="H879">
        <v>0.221</v>
      </c>
      <c r="I879">
        <v>0.27100000000000002</v>
      </c>
      <c r="J879">
        <v>9</v>
      </c>
      <c r="K879">
        <v>13</v>
      </c>
      <c r="L879" t="s">
        <v>43</v>
      </c>
      <c r="M879" t="s">
        <v>44</v>
      </c>
      <c r="N879" t="s">
        <v>45</v>
      </c>
      <c r="O879">
        <v>5</v>
      </c>
      <c r="P879" t="s">
        <v>12</v>
      </c>
      <c r="Q879">
        <v>12.8</v>
      </c>
    </row>
    <row r="880" spans="1:17">
      <c r="A880">
        <v>2555</v>
      </c>
      <c r="B880" t="s">
        <v>76</v>
      </c>
      <c r="C880">
        <v>0.34</v>
      </c>
      <c r="D880">
        <v>0.26500000000000001</v>
      </c>
      <c r="E880">
        <v>7.0000000000000007E-2</v>
      </c>
      <c r="F880">
        <v>0.185</v>
      </c>
      <c r="G880">
        <v>6.25E-2</v>
      </c>
      <c r="H880">
        <v>3.95E-2</v>
      </c>
      <c r="I880">
        <v>7.0000000000000007E-2</v>
      </c>
      <c r="J880">
        <v>7</v>
      </c>
      <c r="K880">
        <v>1</v>
      </c>
      <c r="L880" t="s">
        <v>70</v>
      </c>
      <c r="M880" t="s">
        <v>71</v>
      </c>
      <c r="N880" t="s">
        <v>45</v>
      </c>
      <c r="O880">
        <v>10</v>
      </c>
      <c r="P880" t="s">
        <v>11</v>
      </c>
      <c r="Q880">
        <v>24.1</v>
      </c>
    </row>
    <row r="881" spans="1:17">
      <c r="A881">
        <v>1632</v>
      </c>
      <c r="B881" t="s">
        <v>76</v>
      </c>
      <c r="C881">
        <v>0.56999999999999995</v>
      </c>
      <c r="D881">
        <v>0.44500000000000001</v>
      </c>
      <c r="E881">
        <v>0.14499999999999999</v>
      </c>
      <c r="F881">
        <v>0.74050000000000005</v>
      </c>
      <c r="G881">
        <v>0.30599999999999999</v>
      </c>
      <c r="H881">
        <v>0.17199999999999999</v>
      </c>
      <c r="I881">
        <v>0.1825</v>
      </c>
      <c r="J881">
        <v>12</v>
      </c>
      <c r="K881">
        <v>9</v>
      </c>
      <c r="L881" t="s">
        <v>34</v>
      </c>
      <c r="M881" t="s">
        <v>35</v>
      </c>
      <c r="N881" t="s">
        <v>36</v>
      </c>
      <c r="O881">
        <v>8</v>
      </c>
      <c r="P881" t="s">
        <v>13</v>
      </c>
      <c r="Q881">
        <v>12.3</v>
      </c>
    </row>
    <row r="882" spans="1:17">
      <c r="A882">
        <v>1087</v>
      </c>
      <c r="B882" t="s">
        <v>76</v>
      </c>
      <c r="C882">
        <v>0.44500000000000001</v>
      </c>
      <c r="D882">
        <v>0.33500000000000002</v>
      </c>
      <c r="E882">
        <v>0.11</v>
      </c>
      <c r="F882">
        <v>0.41099999999999998</v>
      </c>
      <c r="G882">
        <v>0.19850000000000001</v>
      </c>
      <c r="H882">
        <v>9.35E-2</v>
      </c>
      <c r="I882">
        <v>0.109</v>
      </c>
      <c r="J882">
        <v>8</v>
      </c>
      <c r="K882">
        <v>10</v>
      </c>
      <c r="L882" t="s">
        <v>37</v>
      </c>
      <c r="M882" t="s">
        <v>38</v>
      </c>
      <c r="N882" t="s">
        <v>39</v>
      </c>
      <c r="O882">
        <v>7</v>
      </c>
      <c r="P882" t="s">
        <v>6</v>
      </c>
      <c r="Q882">
        <v>2.5</v>
      </c>
    </row>
    <row r="883" spans="1:17">
      <c r="A883">
        <v>3231</v>
      </c>
      <c r="B883" t="s">
        <v>76</v>
      </c>
      <c r="C883">
        <v>0.56999999999999995</v>
      </c>
      <c r="D883">
        <v>0.45500000000000002</v>
      </c>
      <c r="E883">
        <v>0.15</v>
      </c>
      <c r="F883">
        <v>0.96</v>
      </c>
      <c r="G883">
        <v>0.38700000000000001</v>
      </c>
      <c r="H883">
        <v>0.23849999999999999</v>
      </c>
      <c r="I883">
        <v>0.27500000000000002</v>
      </c>
      <c r="J883">
        <v>11</v>
      </c>
      <c r="K883">
        <v>14</v>
      </c>
      <c r="L883" t="s">
        <v>72</v>
      </c>
      <c r="M883" t="s">
        <v>73</v>
      </c>
      <c r="N883" t="s">
        <v>74</v>
      </c>
      <c r="O883">
        <v>6</v>
      </c>
      <c r="P883" t="s">
        <v>7</v>
      </c>
      <c r="Q883">
        <v>14.1</v>
      </c>
    </row>
    <row r="884" spans="1:17">
      <c r="A884">
        <v>3786</v>
      </c>
      <c r="B884" t="s">
        <v>76</v>
      </c>
      <c r="C884">
        <v>0.625</v>
      </c>
      <c r="D884">
        <v>0.495</v>
      </c>
      <c r="E884">
        <v>0.155</v>
      </c>
      <c r="F884">
        <v>1.177</v>
      </c>
      <c r="G884">
        <v>0.50549999999999995</v>
      </c>
      <c r="H884">
        <v>0.27800000000000002</v>
      </c>
      <c r="I884">
        <v>0.34499999999999997</v>
      </c>
      <c r="J884">
        <v>9</v>
      </c>
      <c r="K884">
        <v>7</v>
      </c>
      <c r="L884" t="s">
        <v>62</v>
      </c>
      <c r="M884" t="s">
        <v>63</v>
      </c>
      <c r="N884" t="s">
        <v>64</v>
      </c>
      <c r="O884">
        <v>10</v>
      </c>
      <c r="P884" t="s">
        <v>11</v>
      </c>
      <c r="Q884">
        <v>24.1</v>
      </c>
    </row>
    <row r="885" spans="1:17">
      <c r="A885">
        <v>3645</v>
      </c>
      <c r="B885" t="s">
        <v>76</v>
      </c>
      <c r="C885">
        <v>0.47499999999999998</v>
      </c>
      <c r="D885">
        <v>0.36499999999999999</v>
      </c>
      <c r="E885">
        <v>0.105</v>
      </c>
      <c r="F885">
        <v>0.41749999999999998</v>
      </c>
      <c r="G885">
        <v>0.16450000000000001</v>
      </c>
      <c r="H885">
        <v>9.9000000000000005E-2</v>
      </c>
      <c r="I885">
        <v>0.127</v>
      </c>
      <c r="J885">
        <v>7</v>
      </c>
      <c r="K885">
        <v>9</v>
      </c>
      <c r="L885" t="s">
        <v>34</v>
      </c>
      <c r="M885" t="s">
        <v>35</v>
      </c>
      <c r="N885" t="s">
        <v>36</v>
      </c>
      <c r="O885">
        <v>9</v>
      </c>
      <c r="P885" t="s">
        <v>9</v>
      </c>
      <c r="Q885">
        <v>1.9</v>
      </c>
    </row>
    <row r="886" spans="1:17">
      <c r="A886">
        <v>2720</v>
      </c>
      <c r="B886" t="s">
        <v>76</v>
      </c>
      <c r="C886">
        <v>0.36</v>
      </c>
      <c r="D886">
        <v>0.26</v>
      </c>
      <c r="E886">
        <v>0.08</v>
      </c>
      <c r="F886">
        <v>0.17949999999999999</v>
      </c>
      <c r="G886">
        <v>7.3999999999999996E-2</v>
      </c>
      <c r="H886">
        <v>3.15E-2</v>
      </c>
      <c r="I886">
        <v>0.06</v>
      </c>
      <c r="J886">
        <v>5</v>
      </c>
      <c r="K886">
        <v>7</v>
      </c>
      <c r="L886" t="s">
        <v>62</v>
      </c>
      <c r="M886" t="s">
        <v>63</v>
      </c>
      <c r="N886" t="s">
        <v>64</v>
      </c>
      <c r="O886">
        <v>6</v>
      </c>
      <c r="P886" t="s">
        <v>7</v>
      </c>
      <c r="Q886">
        <v>14.1</v>
      </c>
    </row>
    <row r="887" spans="1:17">
      <c r="A887">
        <v>776</v>
      </c>
      <c r="B887" t="s">
        <v>76</v>
      </c>
      <c r="C887">
        <v>0.53</v>
      </c>
      <c r="D887">
        <v>0.41</v>
      </c>
      <c r="E887">
        <v>0.16500000000000001</v>
      </c>
      <c r="F887">
        <v>0.73199999999999998</v>
      </c>
      <c r="G887">
        <v>0.189</v>
      </c>
      <c r="H887">
        <v>0.17</v>
      </c>
      <c r="I887">
        <v>0.31</v>
      </c>
      <c r="J887">
        <v>11</v>
      </c>
      <c r="K887">
        <v>2</v>
      </c>
      <c r="L887" t="s">
        <v>49</v>
      </c>
      <c r="M887" t="s">
        <v>50</v>
      </c>
      <c r="N887" t="s">
        <v>51</v>
      </c>
      <c r="O887">
        <v>6</v>
      </c>
      <c r="P887" t="s">
        <v>7</v>
      </c>
      <c r="Q887">
        <v>14.1</v>
      </c>
    </row>
    <row r="888" spans="1:17">
      <c r="A888">
        <v>3731</v>
      </c>
      <c r="B888" t="s">
        <v>76</v>
      </c>
      <c r="C888">
        <v>0.51500000000000001</v>
      </c>
      <c r="D888">
        <v>0.37</v>
      </c>
      <c r="E888">
        <v>0.115</v>
      </c>
      <c r="F888">
        <v>0.61450000000000005</v>
      </c>
      <c r="G888">
        <v>0.34150000000000003</v>
      </c>
      <c r="H888">
        <v>0.155</v>
      </c>
      <c r="I888">
        <v>0.14599999999999999</v>
      </c>
      <c r="J888">
        <v>9</v>
      </c>
      <c r="K888">
        <v>8</v>
      </c>
      <c r="L888" t="s">
        <v>55</v>
      </c>
      <c r="M888" t="s">
        <v>56</v>
      </c>
      <c r="N888" t="s">
        <v>57</v>
      </c>
      <c r="O888">
        <v>9</v>
      </c>
      <c r="P888" t="s">
        <v>9</v>
      </c>
      <c r="Q888">
        <v>1.9</v>
      </c>
    </row>
    <row r="889" spans="1:17">
      <c r="A889">
        <v>779</v>
      </c>
      <c r="B889" t="s">
        <v>76</v>
      </c>
      <c r="C889">
        <v>0.46500000000000002</v>
      </c>
      <c r="D889">
        <v>0.35</v>
      </c>
      <c r="E889">
        <v>0.14000000000000001</v>
      </c>
      <c r="F889">
        <v>0.57550000000000001</v>
      </c>
      <c r="G889">
        <v>0.20150000000000001</v>
      </c>
      <c r="H889">
        <v>0.15049999999999999</v>
      </c>
      <c r="I889">
        <v>0.19</v>
      </c>
      <c r="J889">
        <v>15</v>
      </c>
      <c r="K889">
        <v>12</v>
      </c>
      <c r="L889" t="s">
        <v>58</v>
      </c>
      <c r="M889" t="s">
        <v>59</v>
      </c>
      <c r="N889" t="s">
        <v>45</v>
      </c>
      <c r="O889">
        <v>4</v>
      </c>
      <c r="P889" t="s">
        <v>8</v>
      </c>
      <c r="Q889">
        <v>6.1</v>
      </c>
    </row>
    <row r="890" spans="1:17">
      <c r="A890">
        <v>424</v>
      </c>
      <c r="B890" t="s">
        <v>76</v>
      </c>
      <c r="C890">
        <v>0.28999999999999998</v>
      </c>
      <c r="D890">
        <v>0.22500000000000001</v>
      </c>
      <c r="E890">
        <v>7.0000000000000007E-2</v>
      </c>
      <c r="F890">
        <v>0.10100000000000001</v>
      </c>
      <c r="G890">
        <v>3.5999999999999997E-2</v>
      </c>
      <c r="H890">
        <v>2.35E-2</v>
      </c>
      <c r="I890">
        <v>3.5000000000000003E-2</v>
      </c>
      <c r="J890">
        <v>8</v>
      </c>
      <c r="K890">
        <v>12</v>
      </c>
      <c r="L890" t="s">
        <v>58</v>
      </c>
      <c r="M890" t="s">
        <v>59</v>
      </c>
      <c r="N890" t="s">
        <v>45</v>
      </c>
      <c r="O890">
        <v>8</v>
      </c>
      <c r="P890" t="s">
        <v>13</v>
      </c>
      <c r="Q890">
        <v>12.3</v>
      </c>
    </row>
    <row r="891" spans="1:17">
      <c r="A891">
        <v>2243</v>
      </c>
      <c r="B891" t="s">
        <v>76</v>
      </c>
      <c r="C891">
        <v>0.47499999999999998</v>
      </c>
      <c r="D891">
        <v>0.38</v>
      </c>
      <c r="E891">
        <v>0.13500000000000001</v>
      </c>
      <c r="F891">
        <v>0.48599999999999999</v>
      </c>
      <c r="G891">
        <v>0.17349999999999999</v>
      </c>
      <c r="H891">
        <v>7.0000000000000007E-2</v>
      </c>
      <c r="I891">
        <v>0.185</v>
      </c>
      <c r="J891">
        <v>7</v>
      </c>
      <c r="K891">
        <v>11</v>
      </c>
      <c r="L891" t="s">
        <v>65</v>
      </c>
      <c r="M891" t="s">
        <v>66</v>
      </c>
      <c r="N891" t="s">
        <v>45</v>
      </c>
      <c r="O891">
        <v>10</v>
      </c>
      <c r="P891" t="s">
        <v>11</v>
      </c>
      <c r="Q891">
        <v>24.1</v>
      </c>
    </row>
    <row r="892" spans="1:17">
      <c r="A892">
        <v>350</v>
      </c>
      <c r="B892" t="s">
        <v>76</v>
      </c>
      <c r="C892">
        <v>0.61</v>
      </c>
      <c r="D892">
        <v>0.48</v>
      </c>
      <c r="E892">
        <v>0.15</v>
      </c>
      <c r="F892">
        <v>1.2</v>
      </c>
      <c r="G892">
        <v>0.56000000000000005</v>
      </c>
      <c r="H892">
        <v>0.2455</v>
      </c>
      <c r="I892">
        <v>0.28000000000000003</v>
      </c>
      <c r="J892">
        <v>14</v>
      </c>
      <c r="K892">
        <v>7</v>
      </c>
      <c r="L892" t="s">
        <v>62</v>
      </c>
      <c r="M892" t="s">
        <v>63</v>
      </c>
      <c r="N892" t="s">
        <v>64</v>
      </c>
      <c r="O892">
        <v>5</v>
      </c>
      <c r="P892" t="s">
        <v>12</v>
      </c>
      <c r="Q892">
        <v>12.8</v>
      </c>
    </row>
    <row r="893" spans="1:17">
      <c r="A893">
        <v>211</v>
      </c>
      <c r="B893" t="s">
        <v>76</v>
      </c>
      <c r="C893">
        <v>0.49</v>
      </c>
      <c r="D893">
        <v>0.36499999999999999</v>
      </c>
      <c r="E893">
        <v>0.14499999999999999</v>
      </c>
      <c r="F893">
        <v>0.63449999999999995</v>
      </c>
      <c r="G893">
        <v>0.19950000000000001</v>
      </c>
      <c r="H893">
        <v>0.16250000000000001</v>
      </c>
      <c r="I893">
        <v>0.22</v>
      </c>
      <c r="J893">
        <v>10</v>
      </c>
      <c r="K893">
        <v>8</v>
      </c>
      <c r="L893" t="s">
        <v>55</v>
      </c>
      <c r="M893" t="s">
        <v>56</v>
      </c>
      <c r="N893" t="s">
        <v>57</v>
      </c>
      <c r="O893">
        <v>1</v>
      </c>
      <c r="P893" t="s">
        <v>4</v>
      </c>
      <c r="Q893">
        <v>22.1</v>
      </c>
    </row>
    <row r="894" spans="1:17">
      <c r="A894">
        <v>558</v>
      </c>
      <c r="B894" t="s">
        <v>76</v>
      </c>
      <c r="C894">
        <v>0.66</v>
      </c>
      <c r="D894">
        <v>0.5</v>
      </c>
      <c r="E894">
        <v>0.16500000000000001</v>
      </c>
      <c r="F894">
        <v>1.1904999999999999</v>
      </c>
      <c r="G894">
        <v>0.45850000000000002</v>
      </c>
      <c r="H894">
        <v>0.29799999999999999</v>
      </c>
      <c r="I894">
        <v>0.37</v>
      </c>
      <c r="J894">
        <v>12</v>
      </c>
      <c r="K894">
        <v>6</v>
      </c>
      <c r="L894" t="s">
        <v>46</v>
      </c>
      <c r="M894" t="s">
        <v>47</v>
      </c>
      <c r="N894" t="s">
        <v>48</v>
      </c>
      <c r="O894">
        <v>4</v>
      </c>
      <c r="P894" t="s">
        <v>8</v>
      </c>
      <c r="Q894">
        <v>6.1</v>
      </c>
    </row>
    <row r="895" spans="1:17">
      <c r="A895">
        <v>510</v>
      </c>
      <c r="B895" t="s">
        <v>76</v>
      </c>
      <c r="C895">
        <v>0.56000000000000005</v>
      </c>
      <c r="D895">
        <v>0.44500000000000001</v>
      </c>
      <c r="E895">
        <v>0.155</v>
      </c>
      <c r="F895">
        <v>0.87350000000000005</v>
      </c>
      <c r="G895">
        <v>0.30049999999999999</v>
      </c>
      <c r="H895">
        <v>0.20899999999999999</v>
      </c>
      <c r="I895">
        <v>0.27500000000000002</v>
      </c>
      <c r="J895">
        <v>16</v>
      </c>
      <c r="K895">
        <v>6</v>
      </c>
      <c r="L895" t="s">
        <v>46</v>
      </c>
      <c r="M895" t="s">
        <v>47</v>
      </c>
      <c r="N895" t="s">
        <v>48</v>
      </c>
      <c r="O895">
        <v>3</v>
      </c>
      <c r="P895" t="s">
        <v>10</v>
      </c>
      <c r="Q895">
        <v>3.6</v>
      </c>
    </row>
    <row r="896" spans="1:17">
      <c r="A896">
        <v>3535</v>
      </c>
      <c r="B896" t="s">
        <v>76</v>
      </c>
      <c r="C896">
        <v>0.4</v>
      </c>
      <c r="D896">
        <v>0.315</v>
      </c>
      <c r="E896">
        <v>0.09</v>
      </c>
      <c r="F896">
        <v>0.33</v>
      </c>
      <c r="G896">
        <v>0.151</v>
      </c>
      <c r="H896">
        <v>6.8000000000000005E-2</v>
      </c>
      <c r="I896">
        <v>0.08</v>
      </c>
      <c r="J896">
        <v>6</v>
      </c>
      <c r="K896">
        <v>3</v>
      </c>
      <c r="L896" t="s">
        <v>52</v>
      </c>
      <c r="M896" t="s">
        <v>53</v>
      </c>
      <c r="N896" t="s">
        <v>54</v>
      </c>
      <c r="O896">
        <v>6</v>
      </c>
      <c r="P896" t="s">
        <v>7</v>
      </c>
      <c r="Q896">
        <v>14.1</v>
      </c>
    </row>
    <row r="897" spans="1:17">
      <c r="A897">
        <v>2166</v>
      </c>
      <c r="B897" t="s">
        <v>76</v>
      </c>
      <c r="C897">
        <v>0.61</v>
      </c>
      <c r="D897">
        <v>0.45</v>
      </c>
      <c r="E897">
        <v>0.16</v>
      </c>
      <c r="F897">
        <v>1.1359999999999999</v>
      </c>
      <c r="G897">
        <v>0.41399999999999998</v>
      </c>
      <c r="H897">
        <v>0.311</v>
      </c>
      <c r="I897">
        <v>0.3</v>
      </c>
      <c r="J897">
        <v>9</v>
      </c>
      <c r="K897">
        <v>2</v>
      </c>
      <c r="L897" t="s">
        <v>49</v>
      </c>
      <c r="M897" t="s">
        <v>50</v>
      </c>
      <c r="N897" t="s">
        <v>51</v>
      </c>
      <c r="O897">
        <v>3</v>
      </c>
      <c r="P897" t="s">
        <v>10</v>
      </c>
      <c r="Q897">
        <v>3.6</v>
      </c>
    </row>
    <row r="898" spans="1:17">
      <c r="A898">
        <v>3806</v>
      </c>
      <c r="B898" t="s">
        <v>76</v>
      </c>
      <c r="C898">
        <v>0.42499999999999999</v>
      </c>
      <c r="D898">
        <v>0.30499999999999999</v>
      </c>
      <c r="E898">
        <v>0.11</v>
      </c>
      <c r="F898">
        <v>0.35899999999999999</v>
      </c>
      <c r="G898">
        <v>0.17299999999999999</v>
      </c>
      <c r="H898">
        <v>8.7499999999999994E-2</v>
      </c>
      <c r="I898">
        <v>9.7500000000000003E-2</v>
      </c>
      <c r="J898">
        <v>9</v>
      </c>
      <c r="K898">
        <v>15</v>
      </c>
      <c r="L898" t="s">
        <v>60</v>
      </c>
      <c r="M898" t="s">
        <v>61</v>
      </c>
      <c r="N898" t="s">
        <v>45</v>
      </c>
      <c r="O898">
        <v>3</v>
      </c>
      <c r="P898" t="s">
        <v>10</v>
      </c>
      <c r="Q898">
        <v>3.6</v>
      </c>
    </row>
    <row r="899" spans="1:17">
      <c r="A899">
        <v>428</v>
      </c>
      <c r="B899" t="s">
        <v>76</v>
      </c>
      <c r="C899">
        <v>0.6</v>
      </c>
      <c r="D899">
        <v>0.5</v>
      </c>
      <c r="E899">
        <v>0.16</v>
      </c>
      <c r="F899">
        <v>1.0149999999999999</v>
      </c>
      <c r="G899">
        <v>0.39950000000000002</v>
      </c>
      <c r="H899">
        <v>0.17349999999999999</v>
      </c>
      <c r="I899">
        <v>0.33</v>
      </c>
      <c r="J899">
        <v>19</v>
      </c>
      <c r="K899">
        <v>12</v>
      </c>
      <c r="L899" t="s">
        <v>58</v>
      </c>
      <c r="M899" t="s">
        <v>59</v>
      </c>
      <c r="N899" t="s">
        <v>45</v>
      </c>
      <c r="O899">
        <v>5</v>
      </c>
      <c r="P899" t="s">
        <v>12</v>
      </c>
      <c r="Q899">
        <v>12.8</v>
      </c>
    </row>
    <row r="900" spans="1:17">
      <c r="A900">
        <v>996</v>
      </c>
      <c r="B900" t="s">
        <v>76</v>
      </c>
      <c r="C900">
        <v>0.57999999999999996</v>
      </c>
      <c r="D900">
        <v>0.49</v>
      </c>
      <c r="E900">
        <v>0.13</v>
      </c>
      <c r="F900">
        <v>1.1335</v>
      </c>
      <c r="G900">
        <v>0.58599999999999997</v>
      </c>
      <c r="H900">
        <v>0.25650000000000001</v>
      </c>
      <c r="I900">
        <v>0.23699999999999999</v>
      </c>
      <c r="J900">
        <v>9</v>
      </c>
      <c r="K900">
        <v>4</v>
      </c>
      <c r="L900" t="s">
        <v>40</v>
      </c>
      <c r="M900" t="s">
        <v>41</v>
      </c>
      <c r="N900" t="s">
        <v>42</v>
      </c>
      <c r="O900">
        <v>8</v>
      </c>
      <c r="P900" t="s">
        <v>13</v>
      </c>
      <c r="Q900">
        <v>12.3</v>
      </c>
    </row>
    <row r="901" spans="1:17">
      <c r="A901">
        <v>1909</v>
      </c>
      <c r="B901" t="s">
        <v>76</v>
      </c>
      <c r="C901">
        <v>0.57499999999999996</v>
      </c>
      <c r="D901">
        <v>0.47499999999999998</v>
      </c>
      <c r="E901">
        <v>0.14499999999999999</v>
      </c>
      <c r="F901">
        <v>0.85699999999999998</v>
      </c>
      <c r="G901">
        <v>0.36649999999999999</v>
      </c>
      <c r="H901">
        <v>0.17299999999999999</v>
      </c>
      <c r="I901">
        <v>0.26900000000000002</v>
      </c>
      <c r="J901">
        <v>9</v>
      </c>
      <c r="K901">
        <v>1</v>
      </c>
      <c r="L901" t="s">
        <v>70</v>
      </c>
      <c r="M901" t="s">
        <v>71</v>
      </c>
      <c r="N901" t="s">
        <v>45</v>
      </c>
      <c r="O901">
        <v>7</v>
      </c>
      <c r="P901" t="s">
        <v>6</v>
      </c>
      <c r="Q901">
        <v>2.5</v>
      </c>
    </row>
    <row r="902" spans="1:17">
      <c r="A902">
        <v>1154</v>
      </c>
      <c r="B902" t="s">
        <v>76</v>
      </c>
      <c r="C902">
        <v>0.6</v>
      </c>
      <c r="D902">
        <v>0.47499999999999998</v>
      </c>
      <c r="E902">
        <v>0.16</v>
      </c>
      <c r="F902">
        <v>1.0265</v>
      </c>
      <c r="G902">
        <v>0.48499999999999999</v>
      </c>
      <c r="H902">
        <v>0.2495</v>
      </c>
      <c r="I902">
        <v>0.25650000000000001</v>
      </c>
      <c r="J902">
        <v>9</v>
      </c>
      <c r="K902">
        <v>14</v>
      </c>
      <c r="L902" t="s">
        <v>72</v>
      </c>
      <c r="M902" t="s">
        <v>73</v>
      </c>
      <c r="N902" t="s">
        <v>74</v>
      </c>
      <c r="O902">
        <v>7</v>
      </c>
      <c r="P902" t="s">
        <v>6</v>
      </c>
      <c r="Q902">
        <v>2.5</v>
      </c>
    </row>
    <row r="903" spans="1:17">
      <c r="A903">
        <v>1071</v>
      </c>
      <c r="B903" t="s">
        <v>76</v>
      </c>
      <c r="C903">
        <v>0.375</v>
      </c>
      <c r="D903">
        <v>0.27500000000000002</v>
      </c>
      <c r="E903">
        <v>0.1</v>
      </c>
      <c r="F903">
        <v>0.23250000000000001</v>
      </c>
      <c r="G903">
        <v>0.11650000000000001</v>
      </c>
      <c r="H903">
        <v>4.2000000000000003E-2</v>
      </c>
      <c r="I903">
        <v>6.5000000000000002E-2</v>
      </c>
      <c r="J903">
        <v>6</v>
      </c>
      <c r="K903">
        <v>6</v>
      </c>
      <c r="L903" t="s">
        <v>46</v>
      </c>
      <c r="M903" t="s">
        <v>47</v>
      </c>
      <c r="N903" t="s">
        <v>48</v>
      </c>
      <c r="O903">
        <v>5</v>
      </c>
      <c r="P903" t="s">
        <v>12</v>
      </c>
      <c r="Q903">
        <v>12.8</v>
      </c>
    </row>
    <row r="904" spans="1:17">
      <c r="A904">
        <v>915</v>
      </c>
      <c r="B904" t="s">
        <v>76</v>
      </c>
      <c r="C904">
        <v>0.37</v>
      </c>
      <c r="D904">
        <v>0.28000000000000003</v>
      </c>
      <c r="E904">
        <v>9.5000000000000001E-2</v>
      </c>
      <c r="F904">
        <v>0.28649999999999998</v>
      </c>
      <c r="G904">
        <v>0.15049999999999999</v>
      </c>
      <c r="H904">
        <v>6.9000000000000006E-2</v>
      </c>
      <c r="I904">
        <v>7.9500000000000001E-2</v>
      </c>
      <c r="J904">
        <v>7</v>
      </c>
      <c r="K904">
        <v>12</v>
      </c>
      <c r="L904" t="s">
        <v>58</v>
      </c>
      <c r="M904" t="s">
        <v>59</v>
      </c>
      <c r="N904" t="s">
        <v>45</v>
      </c>
      <c r="O904">
        <v>1</v>
      </c>
      <c r="P904" t="s">
        <v>4</v>
      </c>
      <c r="Q904">
        <v>22.1</v>
      </c>
    </row>
    <row r="905" spans="1:17">
      <c r="A905">
        <v>1320</v>
      </c>
      <c r="B905" t="s">
        <v>76</v>
      </c>
      <c r="C905">
        <v>0.55500000000000005</v>
      </c>
      <c r="D905">
        <v>0.42499999999999999</v>
      </c>
      <c r="E905">
        <v>0.14499999999999999</v>
      </c>
      <c r="F905">
        <v>0.79049999999999998</v>
      </c>
      <c r="G905">
        <v>0.34849999999999998</v>
      </c>
      <c r="H905">
        <v>0.17649999999999999</v>
      </c>
      <c r="I905">
        <v>0.22500000000000001</v>
      </c>
      <c r="J905">
        <v>9</v>
      </c>
      <c r="K905">
        <v>2</v>
      </c>
      <c r="L905" t="s">
        <v>49</v>
      </c>
      <c r="M905" t="s">
        <v>50</v>
      </c>
      <c r="N905" t="s">
        <v>51</v>
      </c>
      <c r="O905">
        <v>8</v>
      </c>
      <c r="P905" t="s">
        <v>13</v>
      </c>
      <c r="Q905">
        <v>12.3</v>
      </c>
    </row>
    <row r="906" spans="1:17">
      <c r="A906">
        <v>789</v>
      </c>
      <c r="B906" t="s">
        <v>76</v>
      </c>
      <c r="C906">
        <v>0.505</v>
      </c>
      <c r="D906">
        <v>0.39</v>
      </c>
      <c r="E906">
        <v>0.16</v>
      </c>
      <c r="F906">
        <v>0.64400000000000002</v>
      </c>
      <c r="G906">
        <v>0.2475</v>
      </c>
      <c r="H906">
        <v>0.20250000000000001</v>
      </c>
      <c r="I906">
        <v>0.16350000000000001</v>
      </c>
      <c r="J906">
        <v>9</v>
      </c>
      <c r="K906">
        <v>15</v>
      </c>
      <c r="L906" t="s">
        <v>60</v>
      </c>
      <c r="M906" t="s">
        <v>61</v>
      </c>
      <c r="N906" t="s">
        <v>45</v>
      </c>
      <c r="O906">
        <v>7</v>
      </c>
      <c r="P906" t="s">
        <v>6</v>
      </c>
      <c r="Q906">
        <v>2.5</v>
      </c>
    </row>
    <row r="907" spans="1:17">
      <c r="A907">
        <v>1614</v>
      </c>
      <c r="B907" t="s">
        <v>76</v>
      </c>
      <c r="C907">
        <v>0.55000000000000004</v>
      </c>
      <c r="D907">
        <v>0.42</v>
      </c>
      <c r="E907">
        <v>0.13500000000000001</v>
      </c>
      <c r="F907">
        <v>0.81599999999999995</v>
      </c>
      <c r="G907">
        <v>0.39950000000000002</v>
      </c>
      <c r="H907">
        <v>0.14849999999999999</v>
      </c>
      <c r="I907">
        <v>0.23</v>
      </c>
      <c r="J907">
        <v>12</v>
      </c>
      <c r="K907">
        <v>5</v>
      </c>
      <c r="L907" t="s">
        <v>67</v>
      </c>
      <c r="M907" t="s">
        <v>68</v>
      </c>
      <c r="N907" t="s">
        <v>69</v>
      </c>
      <c r="O907">
        <v>7</v>
      </c>
      <c r="P907" t="s">
        <v>6</v>
      </c>
      <c r="Q907">
        <v>2.5</v>
      </c>
    </row>
    <row r="908" spans="1:17">
      <c r="A908">
        <v>1995</v>
      </c>
      <c r="B908" t="s">
        <v>76</v>
      </c>
      <c r="C908">
        <v>0.28999999999999998</v>
      </c>
      <c r="D908">
        <v>0.21</v>
      </c>
      <c r="E908">
        <v>6.5000000000000002E-2</v>
      </c>
      <c r="F908">
        <v>9.7000000000000003E-2</v>
      </c>
      <c r="G908">
        <v>3.7499999999999999E-2</v>
      </c>
      <c r="H908">
        <v>2.1999999999999999E-2</v>
      </c>
      <c r="I908">
        <v>0.03</v>
      </c>
      <c r="J908">
        <v>6</v>
      </c>
      <c r="K908">
        <v>2</v>
      </c>
      <c r="L908" t="s">
        <v>49</v>
      </c>
      <c r="M908" t="s">
        <v>50</v>
      </c>
      <c r="N908" t="s">
        <v>51</v>
      </c>
      <c r="O908">
        <v>10</v>
      </c>
      <c r="P908" t="s">
        <v>11</v>
      </c>
      <c r="Q908">
        <v>24.1</v>
      </c>
    </row>
    <row r="909" spans="1:17">
      <c r="A909">
        <v>2071</v>
      </c>
      <c r="B909" t="s">
        <v>76</v>
      </c>
      <c r="C909">
        <v>0.55000000000000004</v>
      </c>
      <c r="D909">
        <v>0.42</v>
      </c>
      <c r="E909">
        <v>0.115</v>
      </c>
      <c r="F909">
        <v>0.66800000000000004</v>
      </c>
      <c r="G909">
        <v>0.29249999999999998</v>
      </c>
      <c r="H909">
        <v>0.13700000000000001</v>
      </c>
      <c r="I909">
        <v>0.20899999999999999</v>
      </c>
      <c r="J909">
        <v>11</v>
      </c>
      <c r="K909">
        <v>11</v>
      </c>
      <c r="L909" t="s">
        <v>65</v>
      </c>
      <c r="M909" t="s">
        <v>66</v>
      </c>
      <c r="N909" t="s">
        <v>45</v>
      </c>
      <c r="O909">
        <v>3</v>
      </c>
      <c r="P909" t="s">
        <v>10</v>
      </c>
      <c r="Q909">
        <v>3.6</v>
      </c>
    </row>
    <row r="910" spans="1:17">
      <c r="A910">
        <v>3484</v>
      </c>
      <c r="B910" t="s">
        <v>76</v>
      </c>
      <c r="C910">
        <v>0.47</v>
      </c>
      <c r="D910">
        <v>0.35499999999999998</v>
      </c>
      <c r="E910">
        <v>0.115</v>
      </c>
      <c r="F910">
        <v>0.41549999999999998</v>
      </c>
      <c r="G910">
        <v>0.16700000000000001</v>
      </c>
      <c r="H910">
        <v>8.4000000000000005E-2</v>
      </c>
      <c r="I910">
        <v>0.13900000000000001</v>
      </c>
      <c r="J910">
        <v>7</v>
      </c>
      <c r="K910">
        <v>7</v>
      </c>
      <c r="L910" t="s">
        <v>62</v>
      </c>
      <c r="M910" t="s">
        <v>63</v>
      </c>
      <c r="N910" t="s">
        <v>64</v>
      </c>
      <c r="O910">
        <v>8</v>
      </c>
      <c r="P910" t="s">
        <v>13</v>
      </c>
      <c r="Q910">
        <v>12.3</v>
      </c>
    </row>
    <row r="911" spans="1:17">
      <c r="A911">
        <v>2770</v>
      </c>
      <c r="B911" t="s">
        <v>76</v>
      </c>
      <c r="C911">
        <v>0.56499999999999995</v>
      </c>
      <c r="D911">
        <v>0.43</v>
      </c>
      <c r="E911">
        <v>0.15</v>
      </c>
      <c r="F911">
        <v>0.82150000000000001</v>
      </c>
      <c r="G911">
        <v>0.33200000000000002</v>
      </c>
      <c r="H911">
        <v>0.16850000000000001</v>
      </c>
      <c r="I911">
        <v>0.28999999999999998</v>
      </c>
      <c r="J911">
        <v>11</v>
      </c>
      <c r="K911">
        <v>3</v>
      </c>
      <c r="L911" t="s">
        <v>52</v>
      </c>
      <c r="M911" t="s">
        <v>53</v>
      </c>
      <c r="N911" t="s">
        <v>54</v>
      </c>
      <c r="O911">
        <v>10</v>
      </c>
      <c r="P911" t="s">
        <v>11</v>
      </c>
      <c r="Q911">
        <v>24.1</v>
      </c>
    </row>
    <row r="912" spans="1:17">
      <c r="A912">
        <v>8</v>
      </c>
      <c r="B912" t="s">
        <v>76</v>
      </c>
      <c r="C912">
        <v>0.54500000000000004</v>
      </c>
      <c r="D912">
        <v>0.42499999999999999</v>
      </c>
      <c r="E912">
        <v>0.125</v>
      </c>
      <c r="F912">
        <v>0.76800000000000002</v>
      </c>
      <c r="G912">
        <v>0.29399999999999998</v>
      </c>
      <c r="H912">
        <v>0.14949999999999999</v>
      </c>
      <c r="I912">
        <v>0.26</v>
      </c>
      <c r="J912">
        <v>16</v>
      </c>
      <c r="K912">
        <v>4</v>
      </c>
      <c r="L912" t="s">
        <v>40</v>
      </c>
      <c r="M912" t="s">
        <v>41</v>
      </c>
      <c r="N912" t="s">
        <v>42</v>
      </c>
      <c r="O912">
        <v>8</v>
      </c>
      <c r="P912" t="s">
        <v>13</v>
      </c>
      <c r="Q912">
        <v>12.3</v>
      </c>
    </row>
    <row r="913" spans="1:17">
      <c r="A913">
        <v>2827</v>
      </c>
      <c r="B913" t="s">
        <v>76</v>
      </c>
      <c r="C913">
        <v>0.5</v>
      </c>
      <c r="D913">
        <v>0.36499999999999999</v>
      </c>
      <c r="E913">
        <v>0.13</v>
      </c>
      <c r="F913">
        <v>0.59450000000000003</v>
      </c>
      <c r="G913">
        <v>0.309</v>
      </c>
      <c r="H913">
        <v>0.1085</v>
      </c>
      <c r="I913">
        <v>0.1535</v>
      </c>
      <c r="J913">
        <v>9</v>
      </c>
      <c r="K913">
        <v>3</v>
      </c>
      <c r="L913" t="s">
        <v>52</v>
      </c>
      <c r="M913" t="s">
        <v>53</v>
      </c>
      <c r="N913" t="s">
        <v>54</v>
      </c>
      <c r="O913">
        <v>1</v>
      </c>
      <c r="P913" t="s">
        <v>4</v>
      </c>
      <c r="Q913">
        <v>22.1</v>
      </c>
    </row>
    <row r="914" spans="1:17">
      <c r="A914">
        <v>2503</v>
      </c>
      <c r="B914" t="s">
        <v>76</v>
      </c>
      <c r="C914">
        <v>0.28499999999999998</v>
      </c>
      <c r="D914">
        <v>0.21</v>
      </c>
      <c r="E914">
        <v>7.0000000000000007E-2</v>
      </c>
      <c r="F914">
        <v>0.109</v>
      </c>
      <c r="G914">
        <v>4.3999999999999997E-2</v>
      </c>
      <c r="H914">
        <v>2.6499999999999999E-2</v>
      </c>
      <c r="I914">
        <v>3.3000000000000002E-2</v>
      </c>
      <c r="J914">
        <v>5</v>
      </c>
      <c r="K914">
        <v>5</v>
      </c>
      <c r="L914" t="s">
        <v>67</v>
      </c>
      <c r="M914" t="s">
        <v>68</v>
      </c>
      <c r="N914" t="s">
        <v>69</v>
      </c>
      <c r="O914">
        <v>8</v>
      </c>
      <c r="P914" t="s">
        <v>13</v>
      </c>
      <c r="Q914">
        <v>12.3</v>
      </c>
    </row>
    <row r="915" spans="1:17">
      <c r="A915">
        <v>977</v>
      </c>
      <c r="B915" t="s">
        <v>76</v>
      </c>
      <c r="C915">
        <v>0.53</v>
      </c>
      <c r="D915">
        <v>0.40500000000000003</v>
      </c>
      <c r="E915">
        <v>0.125</v>
      </c>
      <c r="F915">
        <v>0.65149999999999997</v>
      </c>
      <c r="G915">
        <v>0.27150000000000002</v>
      </c>
      <c r="H915">
        <v>0.1605</v>
      </c>
      <c r="I915">
        <v>0.186</v>
      </c>
      <c r="J915">
        <v>7</v>
      </c>
      <c r="K915">
        <v>10</v>
      </c>
      <c r="L915" t="s">
        <v>37</v>
      </c>
      <c r="M915" t="s">
        <v>38</v>
      </c>
      <c r="N915" t="s">
        <v>39</v>
      </c>
      <c r="O915">
        <v>10</v>
      </c>
      <c r="P915" t="s">
        <v>11</v>
      </c>
      <c r="Q915">
        <v>24.1</v>
      </c>
    </row>
    <row r="916" spans="1:17">
      <c r="A916">
        <v>2897</v>
      </c>
      <c r="B916" t="s">
        <v>76</v>
      </c>
      <c r="C916">
        <v>0.54500000000000004</v>
      </c>
      <c r="D916">
        <v>0.43</v>
      </c>
      <c r="E916">
        <v>0.13</v>
      </c>
      <c r="F916">
        <v>0.75949999999999995</v>
      </c>
      <c r="G916">
        <v>0.35799999999999998</v>
      </c>
      <c r="H916">
        <v>0.153</v>
      </c>
      <c r="I916">
        <v>0.20549999999999999</v>
      </c>
      <c r="J916">
        <v>8</v>
      </c>
      <c r="K916">
        <v>14</v>
      </c>
      <c r="L916" t="s">
        <v>72</v>
      </c>
      <c r="M916" t="s">
        <v>73</v>
      </c>
      <c r="N916" t="s">
        <v>74</v>
      </c>
      <c r="O916">
        <v>4</v>
      </c>
      <c r="P916" t="s">
        <v>8</v>
      </c>
      <c r="Q916">
        <v>6.1</v>
      </c>
    </row>
    <row r="917" spans="1:17">
      <c r="A917">
        <v>3882</v>
      </c>
      <c r="B917" t="s">
        <v>76</v>
      </c>
      <c r="C917">
        <v>0.56499999999999995</v>
      </c>
      <c r="D917">
        <v>0.45500000000000002</v>
      </c>
      <c r="E917">
        <v>0.13</v>
      </c>
      <c r="F917">
        <v>1.0580000000000001</v>
      </c>
      <c r="G917">
        <v>0.439</v>
      </c>
      <c r="H917">
        <v>0.26450000000000001</v>
      </c>
      <c r="I917">
        <v>0.3</v>
      </c>
      <c r="J917">
        <v>10</v>
      </c>
      <c r="K917">
        <v>12</v>
      </c>
      <c r="L917" t="s">
        <v>58</v>
      </c>
      <c r="M917" t="s">
        <v>59</v>
      </c>
      <c r="N917" t="s">
        <v>45</v>
      </c>
      <c r="O917">
        <v>6</v>
      </c>
      <c r="P917" t="s">
        <v>7</v>
      </c>
      <c r="Q917">
        <v>14.1</v>
      </c>
    </row>
    <row r="918" spans="1:17">
      <c r="A918">
        <v>504</v>
      </c>
      <c r="B918" t="s">
        <v>76</v>
      </c>
      <c r="C918">
        <v>0.6</v>
      </c>
      <c r="D918">
        <v>0.505</v>
      </c>
      <c r="E918">
        <v>0.19</v>
      </c>
      <c r="F918">
        <v>1.129</v>
      </c>
      <c r="G918">
        <v>0.4385</v>
      </c>
      <c r="H918">
        <v>0.25600000000000001</v>
      </c>
      <c r="I918">
        <v>0.36</v>
      </c>
      <c r="J918">
        <v>13</v>
      </c>
      <c r="K918">
        <v>15</v>
      </c>
      <c r="L918" t="s">
        <v>60</v>
      </c>
      <c r="M918" t="s">
        <v>61</v>
      </c>
      <c r="N918" t="s">
        <v>45</v>
      </c>
      <c r="O918">
        <v>7</v>
      </c>
      <c r="P918" t="s">
        <v>6</v>
      </c>
      <c r="Q918">
        <v>2.5</v>
      </c>
    </row>
    <row r="919" spans="1:17">
      <c r="A919">
        <v>2507</v>
      </c>
      <c r="B919" t="s">
        <v>76</v>
      </c>
      <c r="C919">
        <v>0.375</v>
      </c>
      <c r="D919">
        <v>0.3</v>
      </c>
      <c r="E919">
        <v>7.4999999999999997E-2</v>
      </c>
      <c r="F919">
        <v>0.14399999999999999</v>
      </c>
      <c r="G919">
        <v>5.8999999999999997E-2</v>
      </c>
      <c r="H919">
        <v>0.03</v>
      </c>
      <c r="I919">
        <v>4.3999999999999997E-2</v>
      </c>
      <c r="J919">
        <v>7</v>
      </c>
      <c r="K919">
        <v>3</v>
      </c>
      <c r="L919" t="s">
        <v>52</v>
      </c>
      <c r="M919" t="s">
        <v>53</v>
      </c>
      <c r="N919" t="s">
        <v>54</v>
      </c>
      <c r="O919">
        <v>8</v>
      </c>
      <c r="P919" t="s">
        <v>13</v>
      </c>
      <c r="Q919">
        <v>12.3</v>
      </c>
    </row>
    <row r="920" spans="1:17">
      <c r="A920">
        <v>1062</v>
      </c>
      <c r="B920" t="s">
        <v>76</v>
      </c>
      <c r="C920">
        <v>0.27500000000000002</v>
      </c>
      <c r="D920">
        <v>0.19500000000000001</v>
      </c>
      <c r="E920">
        <v>6.5000000000000002E-2</v>
      </c>
      <c r="F920">
        <v>0.106</v>
      </c>
      <c r="G920">
        <v>5.3999999999999999E-2</v>
      </c>
      <c r="H920">
        <v>0.02</v>
      </c>
      <c r="I920">
        <v>2.8000000000000001E-2</v>
      </c>
      <c r="J920">
        <v>6</v>
      </c>
      <c r="K920">
        <v>10</v>
      </c>
      <c r="L920" t="s">
        <v>37</v>
      </c>
      <c r="M920" t="s">
        <v>38</v>
      </c>
      <c r="N920" t="s">
        <v>39</v>
      </c>
      <c r="O920">
        <v>4</v>
      </c>
      <c r="P920" t="s">
        <v>8</v>
      </c>
      <c r="Q920">
        <v>6.1</v>
      </c>
    </row>
    <row r="921" spans="1:17">
      <c r="A921">
        <v>476</v>
      </c>
      <c r="B921" t="s">
        <v>76</v>
      </c>
      <c r="C921">
        <v>0.53</v>
      </c>
      <c r="D921">
        <v>0.41499999999999998</v>
      </c>
      <c r="E921">
        <v>0.17499999999999999</v>
      </c>
      <c r="F921">
        <v>0.73950000000000005</v>
      </c>
      <c r="G921">
        <v>0.26100000000000001</v>
      </c>
      <c r="H921">
        <v>0.13950000000000001</v>
      </c>
      <c r="I921">
        <v>0.26450000000000001</v>
      </c>
      <c r="J921">
        <v>17</v>
      </c>
      <c r="K921">
        <v>13</v>
      </c>
      <c r="L921" t="s">
        <v>43</v>
      </c>
      <c r="M921" t="s">
        <v>44</v>
      </c>
      <c r="N921" t="s">
        <v>45</v>
      </c>
      <c r="O921">
        <v>6</v>
      </c>
      <c r="P921" t="s">
        <v>7</v>
      </c>
      <c r="Q921">
        <v>14.1</v>
      </c>
    </row>
    <row r="922" spans="1:17">
      <c r="A922">
        <v>600</v>
      </c>
      <c r="B922" t="s">
        <v>76</v>
      </c>
      <c r="C922">
        <v>0.56000000000000005</v>
      </c>
      <c r="D922">
        <v>0.44500000000000001</v>
      </c>
      <c r="E922">
        <v>0.19500000000000001</v>
      </c>
      <c r="F922">
        <v>0.98099999999999998</v>
      </c>
      <c r="G922">
        <v>0.30499999999999999</v>
      </c>
      <c r="H922">
        <v>0.22450000000000001</v>
      </c>
      <c r="I922">
        <v>0.33500000000000002</v>
      </c>
      <c r="J922">
        <v>16</v>
      </c>
      <c r="K922">
        <v>4</v>
      </c>
      <c r="L922" t="s">
        <v>40</v>
      </c>
      <c r="M922" t="s">
        <v>41</v>
      </c>
      <c r="N922" t="s">
        <v>42</v>
      </c>
      <c r="O922">
        <v>5</v>
      </c>
      <c r="P922" t="s">
        <v>12</v>
      </c>
      <c r="Q922">
        <v>12.8</v>
      </c>
    </row>
    <row r="923" spans="1:17">
      <c r="A923">
        <v>2930</v>
      </c>
      <c r="B923" t="s">
        <v>76</v>
      </c>
      <c r="C923">
        <v>0.61</v>
      </c>
      <c r="D923">
        <v>0.49</v>
      </c>
      <c r="E923">
        <v>0.16</v>
      </c>
      <c r="F923">
        <v>1.1545000000000001</v>
      </c>
      <c r="G923">
        <v>0.58650000000000002</v>
      </c>
      <c r="H923">
        <v>0.23849999999999999</v>
      </c>
      <c r="I923">
        <v>0.29149999999999998</v>
      </c>
      <c r="J923">
        <v>11</v>
      </c>
      <c r="K923">
        <v>6</v>
      </c>
      <c r="L923" t="s">
        <v>46</v>
      </c>
      <c r="M923" t="s">
        <v>47</v>
      </c>
      <c r="N923" t="s">
        <v>48</v>
      </c>
      <c r="O923">
        <v>1</v>
      </c>
      <c r="P923" t="s">
        <v>4</v>
      </c>
      <c r="Q923">
        <v>22.1</v>
      </c>
    </row>
    <row r="924" spans="1:17">
      <c r="A924">
        <v>1879</v>
      </c>
      <c r="B924" t="s">
        <v>76</v>
      </c>
      <c r="C924">
        <v>0.54500000000000004</v>
      </c>
      <c r="D924">
        <v>0.42499999999999999</v>
      </c>
      <c r="E924">
        <v>0.14000000000000001</v>
      </c>
      <c r="F924">
        <v>0.8145</v>
      </c>
      <c r="G924">
        <v>0.30499999999999999</v>
      </c>
      <c r="H924">
        <v>0.23100000000000001</v>
      </c>
      <c r="I924">
        <v>0.24399999999999999</v>
      </c>
      <c r="J924">
        <v>10</v>
      </c>
      <c r="K924">
        <v>12</v>
      </c>
      <c r="L924" t="s">
        <v>58</v>
      </c>
      <c r="M924" t="s">
        <v>59</v>
      </c>
      <c r="N924" t="s">
        <v>45</v>
      </c>
      <c r="O924">
        <v>5</v>
      </c>
      <c r="P924" t="s">
        <v>12</v>
      </c>
      <c r="Q924">
        <v>12.8</v>
      </c>
    </row>
    <row r="925" spans="1:17">
      <c r="A925">
        <v>1389</v>
      </c>
      <c r="B925" t="s">
        <v>76</v>
      </c>
      <c r="C925">
        <v>0.63</v>
      </c>
      <c r="D925">
        <v>0.495</v>
      </c>
      <c r="E925">
        <v>0.16</v>
      </c>
      <c r="F925">
        <v>1.093</v>
      </c>
      <c r="G925">
        <v>0.497</v>
      </c>
      <c r="H925">
        <v>0.221</v>
      </c>
      <c r="I925">
        <v>0.315</v>
      </c>
      <c r="J925">
        <v>12</v>
      </c>
      <c r="K925">
        <v>5</v>
      </c>
      <c r="L925" t="s">
        <v>67</v>
      </c>
      <c r="M925" t="s">
        <v>68</v>
      </c>
      <c r="N925" t="s">
        <v>69</v>
      </c>
      <c r="O925">
        <v>10</v>
      </c>
      <c r="P925" t="s">
        <v>11</v>
      </c>
      <c r="Q925">
        <v>24.1</v>
      </c>
    </row>
    <row r="926" spans="1:17">
      <c r="A926">
        <v>2671</v>
      </c>
      <c r="B926" t="s">
        <v>76</v>
      </c>
      <c r="C926">
        <v>0.59</v>
      </c>
      <c r="D926">
        <v>0.46</v>
      </c>
      <c r="E926">
        <v>0.14000000000000001</v>
      </c>
      <c r="F926">
        <v>1.004</v>
      </c>
      <c r="G926">
        <v>0.496</v>
      </c>
      <c r="H926">
        <v>0.2165</v>
      </c>
      <c r="I926">
        <v>0.26</v>
      </c>
      <c r="J926">
        <v>9</v>
      </c>
      <c r="K926">
        <v>10</v>
      </c>
      <c r="L926" t="s">
        <v>37</v>
      </c>
      <c r="M926" t="s">
        <v>38</v>
      </c>
      <c r="N926" t="s">
        <v>39</v>
      </c>
      <c r="O926">
        <v>5</v>
      </c>
      <c r="P926" t="s">
        <v>12</v>
      </c>
      <c r="Q926">
        <v>12.8</v>
      </c>
    </row>
    <row r="927" spans="1:17">
      <c r="A927">
        <v>2781</v>
      </c>
      <c r="B927" t="s">
        <v>76</v>
      </c>
      <c r="C927">
        <v>0.59</v>
      </c>
      <c r="D927">
        <v>0.47499999999999998</v>
      </c>
      <c r="E927">
        <v>0.14000000000000001</v>
      </c>
      <c r="F927">
        <v>0.97699999999999998</v>
      </c>
      <c r="G927">
        <v>0.46250000000000002</v>
      </c>
      <c r="H927">
        <v>0.20250000000000001</v>
      </c>
      <c r="I927">
        <v>0.27500000000000002</v>
      </c>
      <c r="J927">
        <v>10</v>
      </c>
      <c r="K927">
        <v>5</v>
      </c>
      <c r="L927" t="s">
        <v>67</v>
      </c>
      <c r="M927" t="s">
        <v>68</v>
      </c>
      <c r="N927" t="s">
        <v>69</v>
      </c>
      <c r="O927">
        <v>9</v>
      </c>
      <c r="P927" t="s">
        <v>9</v>
      </c>
      <c r="Q927">
        <v>1.9</v>
      </c>
    </row>
    <row r="928" spans="1:17">
      <c r="A928">
        <v>1900</v>
      </c>
      <c r="B928" t="s">
        <v>76</v>
      </c>
      <c r="C928">
        <v>0.57499999999999996</v>
      </c>
      <c r="D928">
        <v>0.45</v>
      </c>
      <c r="E928">
        <v>0.13</v>
      </c>
      <c r="F928">
        <v>0.78500000000000003</v>
      </c>
      <c r="G928">
        <v>0.318</v>
      </c>
      <c r="H928">
        <v>0.193</v>
      </c>
      <c r="I928">
        <v>0.22650000000000001</v>
      </c>
      <c r="J928">
        <v>9</v>
      </c>
      <c r="K928">
        <v>8</v>
      </c>
      <c r="L928" t="s">
        <v>55</v>
      </c>
      <c r="M928" t="s">
        <v>56</v>
      </c>
      <c r="N928" t="s">
        <v>57</v>
      </c>
      <c r="O928">
        <v>3</v>
      </c>
      <c r="P928" t="s">
        <v>10</v>
      </c>
      <c r="Q928">
        <v>3.6</v>
      </c>
    </row>
    <row r="929" spans="1:17">
      <c r="A929">
        <v>2846</v>
      </c>
      <c r="B929" t="s">
        <v>76</v>
      </c>
      <c r="C929">
        <v>0.62</v>
      </c>
      <c r="D929">
        <v>0.48</v>
      </c>
      <c r="E929">
        <v>0.17</v>
      </c>
      <c r="F929">
        <v>1.1045</v>
      </c>
      <c r="G929">
        <v>0.53500000000000003</v>
      </c>
      <c r="H929">
        <v>0.25</v>
      </c>
      <c r="I929">
        <v>0.28699999999999998</v>
      </c>
      <c r="J929">
        <v>10</v>
      </c>
      <c r="K929">
        <v>1</v>
      </c>
      <c r="L929" t="s">
        <v>70</v>
      </c>
      <c r="M929" t="s">
        <v>71</v>
      </c>
      <c r="N929" t="s">
        <v>45</v>
      </c>
      <c r="O929">
        <v>10</v>
      </c>
      <c r="P929" t="s">
        <v>11</v>
      </c>
      <c r="Q929">
        <v>24.1</v>
      </c>
    </row>
    <row r="930" spans="1:17">
      <c r="A930">
        <v>3905</v>
      </c>
      <c r="B930" t="s">
        <v>76</v>
      </c>
      <c r="C930">
        <v>0.57499999999999996</v>
      </c>
      <c r="D930">
        <v>0.47</v>
      </c>
      <c r="E930">
        <v>0.16500000000000001</v>
      </c>
      <c r="F930">
        <v>0.85299999999999998</v>
      </c>
      <c r="G930">
        <v>0.29199999999999998</v>
      </c>
      <c r="H930">
        <v>0.17899999999999999</v>
      </c>
      <c r="I930">
        <v>0.35</v>
      </c>
      <c r="J930">
        <v>16</v>
      </c>
      <c r="K930">
        <v>3</v>
      </c>
      <c r="L930" t="s">
        <v>52</v>
      </c>
      <c r="M930" t="s">
        <v>53</v>
      </c>
      <c r="N930" t="s">
        <v>54</v>
      </c>
      <c r="O930">
        <v>7</v>
      </c>
      <c r="P930" t="s">
        <v>6</v>
      </c>
      <c r="Q930">
        <v>2.5</v>
      </c>
    </row>
    <row r="931" spans="1:17">
      <c r="A931">
        <v>2312</v>
      </c>
      <c r="B931" t="s">
        <v>76</v>
      </c>
      <c r="C931">
        <v>0.35</v>
      </c>
      <c r="D931">
        <v>0.26500000000000001</v>
      </c>
      <c r="E931">
        <v>0.11</v>
      </c>
      <c r="F931">
        <v>0.29649999999999999</v>
      </c>
      <c r="G931">
        <v>0.13650000000000001</v>
      </c>
      <c r="H931">
        <v>6.3E-2</v>
      </c>
      <c r="I931">
        <v>8.5000000000000006E-2</v>
      </c>
      <c r="J931">
        <v>7</v>
      </c>
      <c r="K931">
        <v>6</v>
      </c>
      <c r="L931" t="s">
        <v>46</v>
      </c>
      <c r="M931" t="s">
        <v>47</v>
      </c>
      <c r="N931" t="s">
        <v>48</v>
      </c>
      <c r="O931">
        <v>5</v>
      </c>
      <c r="P931" t="s">
        <v>12</v>
      </c>
      <c r="Q931">
        <v>12.8</v>
      </c>
    </row>
    <row r="932" spans="1:17">
      <c r="A932">
        <v>238</v>
      </c>
      <c r="B932" t="s">
        <v>76</v>
      </c>
      <c r="C932">
        <v>0.13</v>
      </c>
      <c r="D932">
        <v>0.1</v>
      </c>
      <c r="E932">
        <v>0.03</v>
      </c>
      <c r="F932">
        <v>1.2999999999999999E-2</v>
      </c>
      <c r="G932">
        <v>4.4999999999999997E-3</v>
      </c>
      <c r="H932">
        <v>3.0000000000000001E-3</v>
      </c>
      <c r="I932">
        <v>4.0000000000000001E-3</v>
      </c>
      <c r="J932">
        <v>3</v>
      </c>
      <c r="K932">
        <v>1</v>
      </c>
      <c r="L932" t="s">
        <v>70</v>
      </c>
      <c r="M932" t="s">
        <v>71</v>
      </c>
      <c r="N932" t="s">
        <v>45</v>
      </c>
      <c r="O932">
        <v>6</v>
      </c>
      <c r="P932" t="s">
        <v>7</v>
      </c>
      <c r="Q932">
        <v>14.1</v>
      </c>
    </row>
    <row r="933" spans="1:17">
      <c r="A933">
        <v>2869</v>
      </c>
      <c r="B933" t="s">
        <v>76</v>
      </c>
      <c r="C933">
        <v>0.33500000000000002</v>
      </c>
      <c r="D933">
        <v>0.26</v>
      </c>
      <c r="E933">
        <v>0.09</v>
      </c>
      <c r="F933">
        <v>0.19650000000000001</v>
      </c>
      <c r="G933">
        <v>8.7499999999999994E-2</v>
      </c>
      <c r="H933">
        <v>4.1000000000000002E-2</v>
      </c>
      <c r="I933">
        <v>5.6000000000000001E-2</v>
      </c>
      <c r="J933">
        <v>7</v>
      </c>
      <c r="K933">
        <v>7</v>
      </c>
      <c r="L933" t="s">
        <v>62</v>
      </c>
      <c r="M933" t="s">
        <v>63</v>
      </c>
      <c r="N933" t="s">
        <v>64</v>
      </c>
      <c r="O933">
        <v>5</v>
      </c>
      <c r="P933" t="s">
        <v>12</v>
      </c>
      <c r="Q933">
        <v>12.8</v>
      </c>
    </row>
    <row r="934" spans="1:17">
      <c r="A934">
        <v>3661</v>
      </c>
      <c r="B934" t="s">
        <v>76</v>
      </c>
      <c r="C934">
        <v>0.54500000000000004</v>
      </c>
      <c r="D934">
        <v>0.41</v>
      </c>
      <c r="E934">
        <v>0.125</v>
      </c>
      <c r="F934">
        <v>0.65400000000000003</v>
      </c>
      <c r="G934">
        <v>0.29449999999999998</v>
      </c>
      <c r="H934">
        <v>0.13150000000000001</v>
      </c>
      <c r="I934">
        <v>0.20499999999999999</v>
      </c>
      <c r="J934">
        <v>10</v>
      </c>
      <c r="K934">
        <v>11</v>
      </c>
      <c r="L934" t="s">
        <v>65</v>
      </c>
      <c r="M934" t="s">
        <v>66</v>
      </c>
      <c r="N934" t="s">
        <v>45</v>
      </c>
      <c r="O934">
        <v>9</v>
      </c>
      <c r="P934" t="s">
        <v>9</v>
      </c>
      <c r="Q934">
        <v>1.9</v>
      </c>
    </row>
    <row r="935" spans="1:17">
      <c r="A935">
        <v>577</v>
      </c>
      <c r="B935" t="s">
        <v>76</v>
      </c>
      <c r="C935">
        <v>0.56000000000000005</v>
      </c>
      <c r="D935">
        <v>0.42499999999999999</v>
      </c>
      <c r="E935">
        <v>0.14000000000000001</v>
      </c>
      <c r="F935">
        <v>0.91749999999999998</v>
      </c>
      <c r="G935">
        <v>0.40050000000000002</v>
      </c>
      <c r="H935">
        <v>0.19750000000000001</v>
      </c>
      <c r="I935">
        <v>0.26</v>
      </c>
      <c r="J935">
        <v>10</v>
      </c>
      <c r="K935">
        <v>5</v>
      </c>
      <c r="L935" t="s">
        <v>67</v>
      </c>
      <c r="M935" t="s">
        <v>68</v>
      </c>
      <c r="N935" t="s">
        <v>69</v>
      </c>
      <c r="O935">
        <v>9</v>
      </c>
      <c r="P935" t="s">
        <v>9</v>
      </c>
      <c r="Q935">
        <v>1.9</v>
      </c>
    </row>
    <row r="936" spans="1:17">
      <c r="A936">
        <v>623</v>
      </c>
      <c r="B936" t="s">
        <v>76</v>
      </c>
      <c r="C936">
        <v>0.5</v>
      </c>
      <c r="D936">
        <v>0.38500000000000001</v>
      </c>
      <c r="E936">
        <v>0.115</v>
      </c>
      <c r="F936">
        <v>0.67849999999999999</v>
      </c>
      <c r="G936">
        <v>0.29449999999999998</v>
      </c>
      <c r="H936">
        <v>0.13800000000000001</v>
      </c>
      <c r="I936">
        <v>0.19500000000000001</v>
      </c>
      <c r="J936">
        <v>12</v>
      </c>
      <c r="K936">
        <v>8</v>
      </c>
      <c r="L936" t="s">
        <v>55</v>
      </c>
      <c r="M936" t="s">
        <v>56</v>
      </c>
      <c r="N936" t="s">
        <v>57</v>
      </c>
      <c r="O936">
        <v>6</v>
      </c>
      <c r="P936" t="s">
        <v>7</v>
      </c>
      <c r="Q936">
        <v>14.1</v>
      </c>
    </row>
    <row r="937" spans="1:17">
      <c r="A937">
        <v>383</v>
      </c>
      <c r="B937" t="s">
        <v>76</v>
      </c>
      <c r="C937">
        <v>0.48499999999999999</v>
      </c>
      <c r="D937">
        <v>0.4</v>
      </c>
      <c r="E937">
        <v>0.13500000000000001</v>
      </c>
      <c r="F937">
        <v>0.66300000000000003</v>
      </c>
      <c r="G937">
        <v>0.313</v>
      </c>
      <c r="H937">
        <v>0.13700000000000001</v>
      </c>
      <c r="I937">
        <v>0.2</v>
      </c>
      <c r="J937">
        <v>10</v>
      </c>
      <c r="K937">
        <v>13</v>
      </c>
      <c r="L937" t="s">
        <v>43</v>
      </c>
      <c r="M937" t="s">
        <v>44</v>
      </c>
      <c r="N937" t="s">
        <v>45</v>
      </c>
      <c r="O937">
        <v>6</v>
      </c>
      <c r="P937" t="s">
        <v>7</v>
      </c>
      <c r="Q937">
        <v>14.1</v>
      </c>
    </row>
    <row r="938" spans="1:17">
      <c r="A938">
        <v>273</v>
      </c>
      <c r="B938" t="s">
        <v>76</v>
      </c>
      <c r="C938">
        <v>0.62</v>
      </c>
      <c r="D938">
        <v>0.48499999999999999</v>
      </c>
      <c r="E938">
        <v>0.20499999999999999</v>
      </c>
      <c r="F938">
        <v>1.2190000000000001</v>
      </c>
      <c r="G938">
        <v>0.38750000000000001</v>
      </c>
      <c r="H938">
        <v>0.2505</v>
      </c>
      <c r="I938">
        <v>0.38500000000000001</v>
      </c>
      <c r="J938">
        <v>14</v>
      </c>
      <c r="K938">
        <v>3</v>
      </c>
      <c r="L938" t="s">
        <v>52</v>
      </c>
      <c r="M938" t="s">
        <v>53</v>
      </c>
      <c r="N938" t="s">
        <v>54</v>
      </c>
      <c r="O938">
        <v>10</v>
      </c>
      <c r="P938" t="s">
        <v>11</v>
      </c>
      <c r="Q938">
        <v>24.1</v>
      </c>
    </row>
    <row r="939" spans="1:17">
      <c r="A939">
        <v>1344</v>
      </c>
      <c r="B939" t="s">
        <v>76</v>
      </c>
      <c r="C939">
        <v>0.58499999999999996</v>
      </c>
      <c r="D939">
        <v>0.46</v>
      </c>
      <c r="E939">
        <v>0.16500000000000001</v>
      </c>
      <c r="F939">
        <v>1.1134999999999999</v>
      </c>
      <c r="G939">
        <v>0.58250000000000002</v>
      </c>
      <c r="H939">
        <v>0.23449999999999999</v>
      </c>
      <c r="I939">
        <v>0.27400000000000002</v>
      </c>
      <c r="J939">
        <v>10</v>
      </c>
      <c r="K939">
        <v>7</v>
      </c>
      <c r="L939" t="s">
        <v>62</v>
      </c>
      <c r="M939" t="s">
        <v>63</v>
      </c>
      <c r="N939" t="s">
        <v>64</v>
      </c>
      <c r="O939">
        <v>10</v>
      </c>
      <c r="P939" t="s">
        <v>11</v>
      </c>
      <c r="Q939">
        <v>24.1</v>
      </c>
    </row>
    <row r="940" spans="1:17">
      <c r="A940">
        <v>527</v>
      </c>
      <c r="B940" t="s">
        <v>76</v>
      </c>
      <c r="C940">
        <v>0.155</v>
      </c>
      <c r="D940">
        <v>0.11</v>
      </c>
      <c r="E940">
        <v>0.04</v>
      </c>
      <c r="F940">
        <v>1.55E-2</v>
      </c>
      <c r="G940">
        <v>6.4999999999999997E-3</v>
      </c>
      <c r="H940">
        <v>3.0000000000000001E-3</v>
      </c>
      <c r="I940">
        <v>5.0000000000000001E-3</v>
      </c>
      <c r="J940">
        <v>3</v>
      </c>
      <c r="K940">
        <v>1</v>
      </c>
      <c r="L940" t="s">
        <v>70</v>
      </c>
      <c r="M940" t="s">
        <v>71</v>
      </c>
      <c r="N940" t="s">
        <v>45</v>
      </c>
      <c r="O940">
        <v>10</v>
      </c>
      <c r="P940" t="s">
        <v>11</v>
      </c>
      <c r="Q940">
        <v>24.1</v>
      </c>
    </row>
    <row r="941" spans="1:17">
      <c r="A941">
        <v>3936</v>
      </c>
      <c r="B941" t="s">
        <v>76</v>
      </c>
      <c r="C941">
        <v>0.52</v>
      </c>
      <c r="D941">
        <v>0.41</v>
      </c>
      <c r="E941">
        <v>0.115</v>
      </c>
      <c r="F941">
        <v>0.77</v>
      </c>
      <c r="G941">
        <v>0.26300000000000001</v>
      </c>
      <c r="H941">
        <v>0.157</v>
      </c>
      <c r="I941">
        <v>0.26</v>
      </c>
      <c r="J941">
        <v>11</v>
      </c>
      <c r="K941">
        <v>5</v>
      </c>
      <c r="L941" t="s">
        <v>67</v>
      </c>
      <c r="M941" t="s">
        <v>68</v>
      </c>
      <c r="N941" t="s">
        <v>69</v>
      </c>
      <c r="O941">
        <v>6</v>
      </c>
      <c r="P941" t="s">
        <v>7</v>
      </c>
      <c r="Q941">
        <v>14.1</v>
      </c>
    </row>
    <row r="942" spans="1:17">
      <c r="A942">
        <v>2517</v>
      </c>
      <c r="B942" t="s">
        <v>76</v>
      </c>
      <c r="C942">
        <v>0.47499999999999998</v>
      </c>
      <c r="D942">
        <v>0.36499999999999999</v>
      </c>
      <c r="E942">
        <v>0.12</v>
      </c>
      <c r="F942">
        <v>0.53</v>
      </c>
      <c r="G942">
        <v>0.2505</v>
      </c>
      <c r="H942">
        <v>9.7500000000000003E-2</v>
      </c>
      <c r="I942">
        <v>0.16250000000000001</v>
      </c>
      <c r="J942">
        <v>10</v>
      </c>
      <c r="K942">
        <v>7</v>
      </c>
      <c r="L942" t="s">
        <v>62</v>
      </c>
      <c r="M942" t="s">
        <v>63</v>
      </c>
      <c r="N942" t="s">
        <v>64</v>
      </c>
      <c r="O942">
        <v>10</v>
      </c>
      <c r="P942" t="s">
        <v>11</v>
      </c>
      <c r="Q942">
        <v>24.1</v>
      </c>
    </row>
    <row r="943" spans="1:17">
      <c r="A943">
        <v>2717</v>
      </c>
      <c r="B943" t="s">
        <v>76</v>
      </c>
      <c r="C943">
        <v>0.34</v>
      </c>
      <c r="D943">
        <v>0.245</v>
      </c>
      <c r="E943">
        <v>8.5000000000000006E-2</v>
      </c>
      <c r="F943">
        <v>0.20150000000000001</v>
      </c>
      <c r="G943">
        <v>0.10050000000000001</v>
      </c>
      <c r="H943">
        <v>3.7999999999999999E-2</v>
      </c>
      <c r="I943">
        <v>5.2999999999999999E-2</v>
      </c>
      <c r="J943">
        <v>6</v>
      </c>
      <c r="K943">
        <v>1</v>
      </c>
      <c r="L943" t="s">
        <v>70</v>
      </c>
      <c r="M943" t="s">
        <v>71</v>
      </c>
      <c r="N943" t="s">
        <v>45</v>
      </c>
      <c r="O943">
        <v>1</v>
      </c>
      <c r="P943" t="s">
        <v>4</v>
      </c>
      <c r="Q943">
        <v>22.1</v>
      </c>
    </row>
    <row r="944" spans="1:17">
      <c r="A944">
        <v>430</v>
      </c>
      <c r="B944" t="s">
        <v>76</v>
      </c>
      <c r="C944">
        <v>0.57499999999999996</v>
      </c>
      <c r="D944">
        <v>0.45</v>
      </c>
      <c r="E944">
        <v>0.17</v>
      </c>
      <c r="F944">
        <v>1.0475000000000001</v>
      </c>
      <c r="G944">
        <v>0.3775</v>
      </c>
      <c r="H944">
        <v>0.17050000000000001</v>
      </c>
      <c r="I944">
        <v>0.38500000000000001</v>
      </c>
      <c r="J944">
        <v>18</v>
      </c>
      <c r="K944">
        <v>3</v>
      </c>
      <c r="L944" t="s">
        <v>52</v>
      </c>
      <c r="M944" t="s">
        <v>53</v>
      </c>
      <c r="N944" t="s">
        <v>54</v>
      </c>
      <c r="O944">
        <v>6</v>
      </c>
      <c r="P944" t="s">
        <v>7</v>
      </c>
      <c r="Q944">
        <v>14.1</v>
      </c>
    </row>
    <row r="945" spans="1:17">
      <c r="A945">
        <v>3775</v>
      </c>
      <c r="B945" t="s">
        <v>76</v>
      </c>
      <c r="C945">
        <v>0.57999999999999996</v>
      </c>
      <c r="D945">
        <v>0.42</v>
      </c>
      <c r="E945">
        <v>0.14000000000000001</v>
      </c>
      <c r="F945">
        <v>0.70099999999999996</v>
      </c>
      <c r="G945">
        <v>0.32850000000000001</v>
      </c>
      <c r="H945">
        <v>0.10199999999999999</v>
      </c>
      <c r="I945">
        <v>0.22550000000000001</v>
      </c>
      <c r="J945">
        <v>9</v>
      </c>
      <c r="K945">
        <v>14</v>
      </c>
      <c r="L945" t="s">
        <v>72</v>
      </c>
      <c r="M945" t="s">
        <v>73</v>
      </c>
      <c r="N945" t="s">
        <v>74</v>
      </c>
      <c r="O945">
        <v>4</v>
      </c>
      <c r="P945" t="s">
        <v>8</v>
      </c>
      <c r="Q945">
        <v>6.1</v>
      </c>
    </row>
    <row r="946" spans="1:17">
      <c r="A946">
        <v>2791</v>
      </c>
      <c r="B946" t="s">
        <v>76</v>
      </c>
      <c r="C946">
        <v>0.62</v>
      </c>
      <c r="D946">
        <v>0.48</v>
      </c>
      <c r="E946">
        <v>0.16500000000000001</v>
      </c>
      <c r="F946">
        <v>1.0125</v>
      </c>
      <c r="G946">
        <v>0.53249999999999997</v>
      </c>
      <c r="H946">
        <v>0.4365</v>
      </c>
      <c r="I946">
        <v>0.32400000000000001</v>
      </c>
      <c r="J946">
        <v>10</v>
      </c>
      <c r="K946">
        <v>14</v>
      </c>
      <c r="L946" t="s">
        <v>72</v>
      </c>
      <c r="M946" t="s">
        <v>73</v>
      </c>
      <c r="N946" t="s">
        <v>74</v>
      </c>
      <c r="O946">
        <v>6</v>
      </c>
      <c r="P946" t="s">
        <v>7</v>
      </c>
      <c r="Q946">
        <v>14.1</v>
      </c>
    </row>
    <row r="947" spans="1:17">
      <c r="A947">
        <v>4096</v>
      </c>
      <c r="B947" t="s">
        <v>76</v>
      </c>
      <c r="C947">
        <v>0.63500000000000001</v>
      </c>
      <c r="D947">
        <v>0.48499999999999999</v>
      </c>
      <c r="E947">
        <v>0.155</v>
      </c>
      <c r="F947">
        <v>1.073</v>
      </c>
      <c r="G947">
        <v>0.46700000000000003</v>
      </c>
      <c r="H947">
        <v>0.19750000000000001</v>
      </c>
      <c r="I947">
        <v>0.35</v>
      </c>
      <c r="J947">
        <v>11</v>
      </c>
      <c r="K947">
        <v>11</v>
      </c>
      <c r="L947" t="s">
        <v>65</v>
      </c>
      <c r="M947" t="s">
        <v>66</v>
      </c>
      <c r="N947" t="s">
        <v>45</v>
      </c>
      <c r="O947">
        <v>9</v>
      </c>
      <c r="P947" t="s">
        <v>9</v>
      </c>
      <c r="Q947">
        <v>1.9</v>
      </c>
    </row>
    <row r="948" spans="1:17">
      <c r="A948">
        <v>3459</v>
      </c>
      <c r="B948" t="s">
        <v>76</v>
      </c>
      <c r="C948">
        <v>0.61</v>
      </c>
      <c r="D948">
        <v>0.47</v>
      </c>
      <c r="E948">
        <v>0.16</v>
      </c>
      <c r="F948">
        <v>1.0745</v>
      </c>
      <c r="G948">
        <v>0.49249999999999999</v>
      </c>
      <c r="H948">
        <v>0.23599999999999999</v>
      </c>
      <c r="I948">
        <v>0.28999999999999998</v>
      </c>
      <c r="J948">
        <v>8</v>
      </c>
      <c r="K948">
        <v>10</v>
      </c>
      <c r="L948" t="s">
        <v>37</v>
      </c>
      <c r="M948" t="s">
        <v>38</v>
      </c>
      <c r="N948" t="s">
        <v>39</v>
      </c>
      <c r="O948">
        <v>6</v>
      </c>
      <c r="P948" t="s">
        <v>7</v>
      </c>
      <c r="Q948">
        <v>14.1</v>
      </c>
    </row>
    <row r="949" spans="1:17">
      <c r="A949">
        <v>2508</v>
      </c>
      <c r="B949" t="s">
        <v>76</v>
      </c>
      <c r="C949">
        <v>0.41499999999999998</v>
      </c>
      <c r="D949">
        <v>0.32500000000000001</v>
      </c>
      <c r="E949">
        <v>0.1</v>
      </c>
      <c r="F949">
        <v>0.46650000000000003</v>
      </c>
      <c r="G949">
        <v>0.22850000000000001</v>
      </c>
      <c r="H949">
        <v>0.1065</v>
      </c>
      <c r="I949">
        <v>0.114</v>
      </c>
      <c r="J949">
        <v>7</v>
      </c>
      <c r="K949">
        <v>5</v>
      </c>
      <c r="L949" t="s">
        <v>67</v>
      </c>
      <c r="M949" t="s">
        <v>68</v>
      </c>
      <c r="N949" t="s">
        <v>69</v>
      </c>
      <c r="O949">
        <v>3</v>
      </c>
      <c r="P949" t="s">
        <v>10</v>
      </c>
      <c r="Q949">
        <v>3.6</v>
      </c>
    </row>
    <row r="950" spans="1:17">
      <c r="A950">
        <v>700</v>
      </c>
      <c r="B950" t="s">
        <v>76</v>
      </c>
      <c r="C950">
        <v>0.39500000000000002</v>
      </c>
      <c r="D950">
        <v>0.315</v>
      </c>
      <c r="E950">
        <v>0.105</v>
      </c>
      <c r="F950">
        <v>0.35149999999999998</v>
      </c>
      <c r="G950">
        <v>0.11849999999999999</v>
      </c>
      <c r="H950">
        <v>9.0999999999999998E-2</v>
      </c>
      <c r="I950">
        <v>0.1195</v>
      </c>
      <c r="J950">
        <v>16</v>
      </c>
      <c r="K950">
        <v>12</v>
      </c>
      <c r="L950" t="s">
        <v>58</v>
      </c>
      <c r="M950" t="s">
        <v>59</v>
      </c>
      <c r="N950" t="s">
        <v>45</v>
      </c>
      <c r="O950">
        <v>8</v>
      </c>
      <c r="P950" t="s">
        <v>13</v>
      </c>
      <c r="Q950">
        <v>12.3</v>
      </c>
    </row>
    <row r="951" spans="1:17">
      <c r="A951">
        <v>2883</v>
      </c>
      <c r="B951" t="s">
        <v>76</v>
      </c>
      <c r="C951">
        <v>0.5</v>
      </c>
      <c r="D951">
        <v>0.39</v>
      </c>
      <c r="E951">
        <v>0.13</v>
      </c>
      <c r="F951">
        <v>0.50749999999999995</v>
      </c>
      <c r="G951">
        <v>0.21149999999999999</v>
      </c>
      <c r="H951">
        <v>0.104</v>
      </c>
      <c r="I951">
        <v>0.17549999999999999</v>
      </c>
      <c r="J951">
        <v>9</v>
      </c>
      <c r="K951">
        <v>14</v>
      </c>
      <c r="L951" t="s">
        <v>72</v>
      </c>
      <c r="M951" t="s">
        <v>73</v>
      </c>
      <c r="N951" t="s">
        <v>74</v>
      </c>
      <c r="O951">
        <v>5</v>
      </c>
      <c r="P951" t="s">
        <v>12</v>
      </c>
      <c r="Q951">
        <v>12.8</v>
      </c>
    </row>
    <row r="952" spans="1:17">
      <c r="A952">
        <v>3653</v>
      </c>
      <c r="B952" t="s">
        <v>76</v>
      </c>
      <c r="C952">
        <v>0.52500000000000002</v>
      </c>
      <c r="D952">
        <v>0.42499999999999999</v>
      </c>
      <c r="E952">
        <v>0.14000000000000001</v>
      </c>
      <c r="F952">
        <v>0.87350000000000005</v>
      </c>
      <c r="G952">
        <v>0.42049999999999998</v>
      </c>
      <c r="H952">
        <v>0.182</v>
      </c>
      <c r="I952">
        <v>0.2225</v>
      </c>
      <c r="J952">
        <v>10</v>
      </c>
      <c r="K952">
        <v>3</v>
      </c>
      <c r="L952" t="s">
        <v>52</v>
      </c>
      <c r="M952" t="s">
        <v>53</v>
      </c>
      <c r="N952" t="s">
        <v>54</v>
      </c>
      <c r="O952">
        <v>7</v>
      </c>
      <c r="P952" t="s">
        <v>6</v>
      </c>
      <c r="Q952">
        <v>2.5</v>
      </c>
    </row>
    <row r="953" spans="1:17">
      <c r="A953">
        <v>3087</v>
      </c>
      <c r="B953" t="s">
        <v>76</v>
      </c>
      <c r="C953">
        <v>0.35499999999999998</v>
      </c>
      <c r="D953">
        <v>0.27</v>
      </c>
      <c r="E953">
        <v>7.4999999999999997E-2</v>
      </c>
      <c r="F953">
        <v>0.20399999999999999</v>
      </c>
      <c r="G953">
        <v>0.30449999999999999</v>
      </c>
      <c r="H953">
        <v>4.5999999999999999E-2</v>
      </c>
      <c r="I953">
        <v>5.9499999999999997E-2</v>
      </c>
      <c r="J953">
        <v>7</v>
      </c>
      <c r="K953">
        <v>15</v>
      </c>
      <c r="L953" t="s">
        <v>60</v>
      </c>
      <c r="M953" t="s">
        <v>61</v>
      </c>
      <c r="N953" t="s">
        <v>45</v>
      </c>
      <c r="O953">
        <v>8</v>
      </c>
      <c r="P953" t="s">
        <v>13</v>
      </c>
      <c r="Q953">
        <v>12.3</v>
      </c>
    </row>
    <row r="954" spans="1:17">
      <c r="A954">
        <v>3727</v>
      </c>
      <c r="B954" t="s">
        <v>76</v>
      </c>
      <c r="C954">
        <v>0.5</v>
      </c>
      <c r="D954">
        <v>0.39500000000000002</v>
      </c>
      <c r="E954">
        <v>0.14499999999999999</v>
      </c>
      <c r="F954">
        <v>0.78649999999999998</v>
      </c>
      <c r="G954">
        <v>0.33200000000000002</v>
      </c>
      <c r="H954">
        <v>0.18149999999999999</v>
      </c>
      <c r="I954">
        <v>0.2455</v>
      </c>
      <c r="J954">
        <v>8</v>
      </c>
      <c r="K954">
        <v>6</v>
      </c>
      <c r="L954" t="s">
        <v>46</v>
      </c>
      <c r="M954" t="s">
        <v>47</v>
      </c>
      <c r="N954" t="s">
        <v>48</v>
      </c>
      <c r="O954">
        <v>6</v>
      </c>
      <c r="P954" t="s">
        <v>7</v>
      </c>
      <c r="Q954">
        <v>14.1</v>
      </c>
    </row>
    <row r="955" spans="1:17">
      <c r="A955">
        <v>2724</v>
      </c>
      <c r="B955" t="s">
        <v>76</v>
      </c>
      <c r="C955">
        <v>0.38500000000000001</v>
      </c>
      <c r="D955">
        <v>0.3</v>
      </c>
      <c r="E955">
        <v>0.125</v>
      </c>
      <c r="F955">
        <v>0.34300000000000003</v>
      </c>
      <c r="G955">
        <v>0.17050000000000001</v>
      </c>
      <c r="H955">
        <v>7.3499999999999996E-2</v>
      </c>
      <c r="I955">
        <v>8.1000000000000003E-2</v>
      </c>
      <c r="J955">
        <v>7</v>
      </c>
      <c r="K955">
        <v>12</v>
      </c>
      <c r="L955" t="s">
        <v>58</v>
      </c>
      <c r="M955" t="s">
        <v>59</v>
      </c>
      <c r="N955" t="s">
        <v>45</v>
      </c>
      <c r="O955">
        <v>1</v>
      </c>
      <c r="P955" t="s">
        <v>4</v>
      </c>
      <c r="Q955">
        <v>22.1</v>
      </c>
    </row>
    <row r="956" spans="1:17">
      <c r="A956">
        <v>1140</v>
      </c>
      <c r="B956" t="s">
        <v>76</v>
      </c>
      <c r="C956">
        <v>0.57499999999999996</v>
      </c>
      <c r="D956">
        <v>0.47</v>
      </c>
      <c r="E956">
        <v>0.16500000000000001</v>
      </c>
      <c r="F956">
        <v>0.86899999999999999</v>
      </c>
      <c r="G956">
        <v>0.435</v>
      </c>
      <c r="H956">
        <v>0.19700000000000001</v>
      </c>
      <c r="I956">
        <v>0.23799999999999999</v>
      </c>
      <c r="J956">
        <v>9</v>
      </c>
      <c r="K956">
        <v>5</v>
      </c>
      <c r="L956" t="s">
        <v>67</v>
      </c>
      <c r="M956" t="s">
        <v>68</v>
      </c>
      <c r="N956" t="s">
        <v>69</v>
      </c>
      <c r="O956">
        <v>8</v>
      </c>
      <c r="P956" t="s">
        <v>13</v>
      </c>
      <c r="Q956">
        <v>12.3</v>
      </c>
    </row>
    <row r="957" spans="1:17">
      <c r="A957">
        <v>2667</v>
      </c>
      <c r="B957" t="s">
        <v>76</v>
      </c>
      <c r="C957">
        <v>0.57999999999999996</v>
      </c>
      <c r="D957">
        <v>0.45500000000000002</v>
      </c>
      <c r="E957">
        <v>0.13</v>
      </c>
      <c r="F957">
        <v>0.85199999999999998</v>
      </c>
      <c r="G957">
        <v>0.41</v>
      </c>
      <c r="H957">
        <v>0.17249999999999999</v>
      </c>
      <c r="I957">
        <v>0.22500000000000001</v>
      </c>
      <c r="J957">
        <v>8</v>
      </c>
      <c r="K957">
        <v>10</v>
      </c>
      <c r="L957" t="s">
        <v>37</v>
      </c>
      <c r="M957" t="s">
        <v>38</v>
      </c>
      <c r="N957" t="s">
        <v>39</v>
      </c>
      <c r="O957">
        <v>7</v>
      </c>
      <c r="P957" t="s">
        <v>6</v>
      </c>
      <c r="Q957">
        <v>2.5</v>
      </c>
    </row>
    <row r="958" spans="1:17">
      <c r="A958">
        <v>1567</v>
      </c>
      <c r="B958" t="s">
        <v>76</v>
      </c>
      <c r="C958">
        <v>0.46500000000000002</v>
      </c>
      <c r="D958">
        <v>0.37</v>
      </c>
      <c r="E958">
        <v>0.12</v>
      </c>
      <c r="F958">
        <v>0.4365</v>
      </c>
      <c r="G958">
        <v>0.188</v>
      </c>
      <c r="H958">
        <v>8.1500000000000003E-2</v>
      </c>
      <c r="I958">
        <v>0.14699999999999999</v>
      </c>
      <c r="J958">
        <v>9</v>
      </c>
      <c r="K958">
        <v>10</v>
      </c>
      <c r="L958" t="s">
        <v>37</v>
      </c>
      <c r="M958" t="s">
        <v>38</v>
      </c>
      <c r="N958" t="s">
        <v>39</v>
      </c>
      <c r="O958">
        <v>9</v>
      </c>
      <c r="P958" t="s">
        <v>9</v>
      </c>
      <c r="Q958">
        <v>1.9</v>
      </c>
    </row>
    <row r="959" spans="1:17">
      <c r="A959">
        <v>2761</v>
      </c>
      <c r="B959" t="s">
        <v>76</v>
      </c>
      <c r="C959">
        <v>0.55000000000000004</v>
      </c>
      <c r="D959">
        <v>0.43</v>
      </c>
      <c r="E959">
        <v>0.14499999999999999</v>
      </c>
      <c r="F959">
        <v>0.71199999999999997</v>
      </c>
      <c r="G959">
        <v>0.30249999999999999</v>
      </c>
      <c r="H959">
        <v>0.152</v>
      </c>
      <c r="I959">
        <v>0.22500000000000001</v>
      </c>
      <c r="J959">
        <v>10</v>
      </c>
      <c r="K959">
        <v>8</v>
      </c>
      <c r="L959" t="s">
        <v>55</v>
      </c>
      <c r="M959" t="s">
        <v>56</v>
      </c>
      <c r="N959" t="s">
        <v>57</v>
      </c>
      <c r="O959">
        <v>9</v>
      </c>
      <c r="P959" t="s">
        <v>9</v>
      </c>
      <c r="Q959">
        <v>1.9</v>
      </c>
    </row>
    <row r="960" spans="1:17">
      <c r="A960">
        <v>3916</v>
      </c>
      <c r="B960" t="s">
        <v>76</v>
      </c>
      <c r="C960">
        <v>0.56000000000000005</v>
      </c>
      <c r="D960">
        <v>0.44500000000000001</v>
      </c>
      <c r="E960">
        <v>0.16500000000000001</v>
      </c>
      <c r="F960">
        <v>1.0285</v>
      </c>
      <c r="G960">
        <v>0.45350000000000001</v>
      </c>
      <c r="H960">
        <v>0.253</v>
      </c>
      <c r="I960">
        <v>0.27500000000000002</v>
      </c>
      <c r="J960">
        <v>11</v>
      </c>
      <c r="K960">
        <v>15</v>
      </c>
      <c r="L960" t="s">
        <v>60</v>
      </c>
      <c r="M960" t="s">
        <v>61</v>
      </c>
      <c r="N960" t="s">
        <v>45</v>
      </c>
      <c r="O960">
        <v>8</v>
      </c>
      <c r="P960" t="s">
        <v>13</v>
      </c>
      <c r="Q960">
        <v>12.3</v>
      </c>
    </row>
    <row r="961" spans="1:17">
      <c r="A961">
        <v>704</v>
      </c>
      <c r="B961" t="s">
        <v>76</v>
      </c>
      <c r="C961">
        <v>0.39500000000000002</v>
      </c>
      <c r="D961">
        <v>0.29499999999999998</v>
      </c>
      <c r="E961">
        <v>0.115</v>
      </c>
      <c r="F961">
        <v>0.316</v>
      </c>
      <c r="G961">
        <v>0.1205</v>
      </c>
      <c r="H961">
        <v>5.9499999999999997E-2</v>
      </c>
      <c r="I961">
        <v>0.1105</v>
      </c>
      <c r="J961">
        <v>12</v>
      </c>
      <c r="K961">
        <v>8</v>
      </c>
      <c r="L961" t="s">
        <v>55</v>
      </c>
      <c r="M961" t="s">
        <v>56</v>
      </c>
      <c r="N961" t="s">
        <v>57</v>
      </c>
      <c r="O961">
        <v>10</v>
      </c>
      <c r="P961" t="s">
        <v>11</v>
      </c>
      <c r="Q961">
        <v>24.1</v>
      </c>
    </row>
    <row r="962" spans="1:17">
      <c r="A962">
        <v>3124</v>
      </c>
      <c r="B962" t="s">
        <v>76</v>
      </c>
      <c r="C962">
        <v>0.57499999999999996</v>
      </c>
      <c r="D962">
        <v>0.45</v>
      </c>
      <c r="E962">
        <v>0.13500000000000001</v>
      </c>
      <c r="F962">
        <v>0.92149999999999999</v>
      </c>
      <c r="G962">
        <v>0.35399999999999998</v>
      </c>
      <c r="H962">
        <v>0.20899999999999999</v>
      </c>
      <c r="I962">
        <v>0.23649999999999999</v>
      </c>
      <c r="J962">
        <v>9</v>
      </c>
      <c r="K962">
        <v>7</v>
      </c>
      <c r="L962" t="s">
        <v>62</v>
      </c>
      <c r="M962" t="s">
        <v>63</v>
      </c>
      <c r="N962" t="s">
        <v>64</v>
      </c>
      <c r="O962">
        <v>5</v>
      </c>
      <c r="P962" t="s">
        <v>12</v>
      </c>
      <c r="Q962">
        <v>12.8</v>
      </c>
    </row>
    <row r="963" spans="1:17">
      <c r="A963">
        <v>4175</v>
      </c>
      <c r="B963" t="s">
        <v>76</v>
      </c>
      <c r="C963">
        <v>0.6</v>
      </c>
      <c r="D963">
        <v>0.47499999999999998</v>
      </c>
      <c r="E963">
        <v>0.20499999999999999</v>
      </c>
      <c r="F963">
        <v>1.1759999999999999</v>
      </c>
      <c r="G963">
        <v>0.52549999999999997</v>
      </c>
      <c r="H963">
        <v>0.28749999999999998</v>
      </c>
      <c r="I963">
        <v>0.308</v>
      </c>
      <c r="J963">
        <v>9</v>
      </c>
      <c r="K963">
        <v>9</v>
      </c>
      <c r="L963" t="s">
        <v>34</v>
      </c>
      <c r="M963" t="s">
        <v>35</v>
      </c>
      <c r="N963" t="s">
        <v>36</v>
      </c>
      <c r="O963">
        <v>2</v>
      </c>
      <c r="P963" t="s">
        <v>5</v>
      </c>
      <c r="Q963">
        <v>18</v>
      </c>
    </row>
    <row r="964" spans="1:17">
      <c r="A964">
        <v>2297</v>
      </c>
      <c r="B964" t="s">
        <v>76</v>
      </c>
      <c r="C964">
        <v>0.53500000000000003</v>
      </c>
      <c r="D964">
        <v>0.45</v>
      </c>
      <c r="E964">
        <v>0.13500000000000001</v>
      </c>
      <c r="F964">
        <v>0.8075</v>
      </c>
      <c r="G964">
        <v>0.32200000000000001</v>
      </c>
      <c r="H964">
        <v>0.18099999999999999</v>
      </c>
      <c r="I964">
        <v>0.25</v>
      </c>
      <c r="J964">
        <v>13</v>
      </c>
      <c r="K964">
        <v>2</v>
      </c>
      <c r="L964" t="s">
        <v>49</v>
      </c>
      <c r="M964" t="s">
        <v>50</v>
      </c>
      <c r="N964" t="s">
        <v>51</v>
      </c>
      <c r="O964">
        <v>10</v>
      </c>
      <c r="P964" t="s">
        <v>11</v>
      </c>
      <c r="Q964">
        <v>24.1</v>
      </c>
    </row>
    <row r="965" spans="1:17">
      <c r="A965">
        <v>2328</v>
      </c>
      <c r="B965" t="s">
        <v>76</v>
      </c>
      <c r="C965">
        <v>0.47499999999999998</v>
      </c>
      <c r="D965">
        <v>0.39500000000000002</v>
      </c>
      <c r="E965">
        <v>0.13500000000000001</v>
      </c>
      <c r="F965">
        <v>0.59199999999999997</v>
      </c>
      <c r="G965">
        <v>0.2465</v>
      </c>
      <c r="H965">
        <v>0.16450000000000001</v>
      </c>
      <c r="I965">
        <v>0.2</v>
      </c>
      <c r="J965">
        <v>13</v>
      </c>
      <c r="K965">
        <v>15</v>
      </c>
      <c r="L965" t="s">
        <v>60</v>
      </c>
      <c r="M965" t="s">
        <v>61</v>
      </c>
      <c r="N965" t="s">
        <v>45</v>
      </c>
      <c r="O965">
        <v>1</v>
      </c>
      <c r="P965" t="s">
        <v>4</v>
      </c>
      <c r="Q965">
        <v>22.1</v>
      </c>
    </row>
    <row r="966" spans="1:17">
      <c r="A966">
        <v>3448</v>
      </c>
      <c r="B966" t="s">
        <v>76</v>
      </c>
      <c r="C966">
        <v>0.505</v>
      </c>
      <c r="D966">
        <v>0.39</v>
      </c>
      <c r="E966">
        <v>0.12</v>
      </c>
      <c r="F966">
        <v>0.57250000000000001</v>
      </c>
      <c r="G966">
        <v>0.2555</v>
      </c>
      <c r="H966">
        <v>0.13250000000000001</v>
      </c>
      <c r="I966">
        <v>0.14599999999999999</v>
      </c>
      <c r="J966">
        <v>8</v>
      </c>
      <c r="K966">
        <v>2</v>
      </c>
      <c r="L966" t="s">
        <v>49</v>
      </c>
      <c r="M966" t="s">
        <v>50</v>
      </c>
      <c r="N966" t="s">
        <v>51</v>
      </c>
      <c r="O966">
        <v>7</v>
      </c>
      <c r="P966" t="s">
        <v>6</v>
      </c>
      <c r="Q966">
        <v>2.5</v>
      </c>
    </row>
    <row r="967" spans="1:17">
      <c r="A967">
        <v>1471</v>
      </c>
      <c r="B967" t="s">
        <v>76</v>
      </c>
      <c r="C967">
        <v>0.53</v>
      </c>
      <c r="D967">
        <v>0.43</v>
      </c>
      <c r="E967">
        <v>0.13</v>
      </c>
      <c r="F967">
        <v>0.70450000000000002</v>
      </c>
      <c r="G967">
        <v>0.34599999999999997</v>
      </c>
      <c r="H967">
        <v>0.14149999999999999</v>
      </c>
      <c r="I967">
        <v>0.189</v>
      </c>
      <c r="J967">
        <v>9</v>
      </c>
      <c r="K967">
        <v>11</v>
      </c>
      <c r="L967" t="s">
        <v>65</v>
      </c>
      <c r="M967" t="s">
        <v>66</v>
      </c>
      <c r="N967" t="s">
        <v>45</v>
      </c>
      <c r="O967">
        <v>8</v>
      </c>
      <c r="P967" t="s">
        <v>13</v>
      </c>
      <c r="Q967">
        <v>12.3</v>
      </c>
    </row>
    <row r="968" spans="1:17">
      <c r="A968">
        <v>459</v>
      </c>
      <c r="B968" t="s">
        <v>76</v>
      </c>
      <c r="C968">
        <v>0.41499999999999998</v>
      </c>
      <c r="D968">
        <v>0.31</v>
      </c>
      <c r="E968">
        <v>0.11</v>
      </c>
      <c r="F968">
        <v>0.29649999999999999</v>
      </c>
      <c r="G968">
        <v>0.123</v>
      </c>
      <c r="H968">
        <v>5.7000000000000002E-2</v>
      </c>
      <c r="I968">
        <v>9.9500000000000005E-2</v>
      </c>
      <c r="J968">
        <v>10</v>
      </c>
      <c r="K968">
        <v>13</v>
      </c>
      <c r="L968" t="s">
        <v>43</v>
      </c>
      <c r="M968" t="s">
        <v>44</v>
      </c>
      <c r="N968" t="s">
        <v>45</v>
      </c>
      <c r="O968">
        <v>10</v>
      </c>
      <c r="P968" t="s">
        <v>11</v>
      </c>
      <c r="Q968">
        <v>24.1</v>
      </c>
    </row>
    <row r="969" spans="1:17">
      <c r="A969">
        <v>672</v>
      </c>
      <c r="B969" t="s">
        <v>76</v>
      </c>
      <c r="C969">
        <v>0.5</v>
      </c>
      <c r="D969">
        <v>0.38</v>
      </c>
      <c r="E969">
        <v>0.155</v>
      </c>
      <c r="F969">
        <v>0.65500000000000003</v>
      </c>
      <c r="G969">
        <v>0.24049999999999999</v>
      </c>
      <c r="H969">
        <v>0.14299999999999999</v>
      </c>
      <c r="I969">
        <v>0.20499999999999999</v>
      </c>
      <c r="J969">
        <v>17</v>
      </c>
      <c r="K969">
        <v>10</v>
      </c>
      <c r="L969" t="s">
        <v>37</v>
      </c>
      <c r="M969" t="s">
        <v>38</v>
      </c>
      <c r="N969" t="s">
        <v>39</v>
      </c>
      <c r="O969">
        <v>1</v>
      </c>
      <c r="P969" t="s">
        <v>4</v>
      </c>
      <c r="Q969">
        <v>22.1</v>
      </c>
    </row>
    <row r="970" spans="1:17">
      <c r="A970">
        <v>2910</v>
      </c>
      <c r="B970" t="s">
        <v>76</v>
      </c>
      <c r="C970">
        <v>0.57999999999999996</v>
      </c>
      <c r="D970">
        <v>0.45</v>
      </c>
      <c r="E970">
        <v>0.15</v>
      </c>
      <c r="F970">
        <v>0.92</v>
      </c>
      <c r="G970">
        <v>0.39300000000000002</v>
      </c>
      <c r="H970">
        <v>0.21199999999999999</v>
      </c>
      <c r="I970">
        <v>0.28949999999999998</v>
      </c>
      <c r="J970">
        <v>9</v>
      </c>
      <c r="K970">
        <v>14</v>
      </c>
      <c r="L970" t="s">
        <v>72</v>
      </c>
      <c r="M970" t="s">
        <v>73</v>
      </c>
      <c r="N970" t="s">
        <v>74</v>
      </c>
      <c r="O970">
        <v>9</v>
      </c>
      <c r="P970" t="s">
        <v>9</v>
      </c>
      <c r="Q970">
        <v>1.9</v>
      </c>
    </row>
    <row r="971" spans="1:17">
      <c r="A971">
        <v>2133</v>
      </c>
      <c r="B971" t="s">
        <v>76</v>
      </c>
      <c r="C971">
        <v>0.52</v>
      </c>
      <c r="D971">
        <v>0.41</v>
      </c>
      <c r="E971">
        <v>0.125</v>
      </c>
      <c r="F971">
        <v>0.69850000000000001</v>
      </c>
      <c r="G971">
        <v>0.29449999999999998</v>
      </c>
      <c r="H971">
        <v>0.16250000000000001</v>
      </c>
      <c r="I971">
        <v>0.215</v>
      </c>
      <c r="J971">
        <v>10</v>
      </c>
      <c r="K971">
        <v>14</v>
      </c>
      <c r="L971" t="s">
        <v>72</v>
      </c>
      <c r="M971" t="s">
        <v>73</v>
      </c>
      <c r="N971" t="s">
        <v>74</v>
      </c>
      <c r="O971">
        <v>7</v>
      </c>
      <c r="P971" t="s">
        <v>6</v>
      </c>
      <c r="Q971">
        <v>2.5</v>
      </c>
    </row>
    <row r="972" spans="1:17">
      <c r="A972">
        <v>2749</v>
      </c>
      <c r="B972" t="s">
        <v>76</v>
      </c>
      <c r="C972">
        <v>0.505</v>
      </c>
      <c r="D972">
        <v>0.38500000000000001</v>
      </c>
      <c r="E972">
        <v>0.125</v>
      </c>
      <c r="F972">
        <v>0.59599999999999997</v>
      </c>
      <c r="G972">
        <v>0.245</v>
      </c>
      <c r="H972">
        <v>9.7000000000000003E-2</v>
      </c>
      <c r="I972">
        <v>0.21</v>
      </c>
      <c r="J972">
        <v>9</v>
      </c>
      <c r="K972">
        <v>1</v>
      </c>
      <c r="L972" t="s">
        <v>70</v>
      </c>
      <c r="M972" t="s">
        <v>71</v>
      </c>
      <c r="N972" t="s">
        <v>45</v>
      </c>
      <c r="O972">
        <v>6</v>
      </c>
      <c r="P972" t="s">
        <v>7</v>
      </c>
      <c r="Q972">
        <v>14.1</v>
      </c>
    </row>
    <row r="973" spans="1:17">
      <c r="A973">
        <v>2648</v>
      </c>
      <c r="B973" t="s">
        <v>76</v>
      </c>
      <c r="C973">
        <v>0.5</v>
      </c>
      <c r="D973">
        <v>0.39</v>
      </c>
      <c r="E973">
        <v>0.125</v>
      </c>
      <c r="F973">
        <v>0.58299999999999996</v>
      </c>
      <c r="G973">
        <v>0.29399999999999998</v>
      </c>
      <c r="H973">
        <v>0.13200000000000001</v>
      </c>
      <c r="I973">
        <v>0.1605</v>
      </c>
      <c r="J973">
        <v>8</v>
      </c>
      <c r="K973">
        <v>5</v>
      </c>
      <c r="L973" t="s">
        <v>67</v>
      </c>
      <c r="M973" t="s">
        <v>68</v>
      </c>
      <c r="N973" t="s">
        <v>69</v>
      </c>
      <c r="O973">
        <v>8</v>
      </c>
      <c r="P973" t="s">
        <v>13</v>
      </c>
      <c r="Q973">
        <v>12.3</v>
      </c>
    </row>
    <row r="974" spans="1:17">
      <c r="A974">
        <v>2999</v>
      </c>
      <c r="B974" t="s">
        <v>76</v>
      </c>
      <c r="C974">
        <v>0.63500000000000001</v>
      </c>
      <c r="D974">
        <v>0.51</v>
      </c>
      <c r="E974">
        <v>0.17</v>
      </c>
      <c r="F974">
        <v>1.2235</v>
      </c>
      <c r="G974">
        <v>0.53200000000000003</v>
      </c>
      <c r="H974">
        <v>0.27100000000000002</v>
      </c>
      <c r="I974">
        <v>0.35399999999999998</v>
      </c>
      <c r="J974">
        <v>9</v>
      </c>
      <c r="K974">
        <v>2</v>
      </c>
      <c r="L974" t="s">
        <v>49</v>
      </c>
      <c r="M974" t="s">
        <v>50</v>
      </c>
      <c r="N974" t="s">
        <v>51</v>
      </c>
      <c r="O974">
        <v>5</v>
      </c>
      <c r="P974" t="s">
        <v>12</v>
      </c>
      <c r="Q974">
        <v>12.8</v>
      </c>
    </row>
    <row r="975" spans="1:17">
      <c r="A975">
        <v>3557</v>
      </c>
      <c r="B975" t="s">
        <v>76</v>
      </c>
      <c r="C975">
        <v>0.53500000000000003</v>
      </c>
      <c r="D975">
        <v>0.41</v>
      </c>
      <c r="E975">
        <v>0.13</v>
      </c>
      <c r="F975">
        <v>0.60750000000000004</v>
      </c>
      <c r="G975">
        <v>0.26800000000000002</v>
      </c>
      <c r="H975">
        <v>0.1225</v>
      </c>
      <c r="I975">
        <v>0.19750000000000001</v>
      </c>
      <c r="J975">
        <v>9</v>
      </c>
      <c r="K975">
        <v>9</v>
      </c>
      <c r="L975" t="s">
        <v>34</v>
      </c>
      <c r="M975" t="s">
        <v>35</v>
      </c>
      <c r="N975" t="s">
        <v>36</v>
      </c>
      <c r="O975">
        <v>3</v>
      </c>
      <c r="P975" t="s">
        <v>10</v>
      </c>
      <c r="Q975">
        <v>3.6</v>
      </c>
    </row>
    <row r="976" spans="1:17">
      <c r="A976">
        <v>1324</v>
      </c>
      <c r="B976" t="s">
        <v>76</v>
      </c>
      <c r="C976">
        <v>0.56000000000000005</v>
      </c>
      <c r="D976">
        <v>0.45500000000000002</v>
      </c>
      <c r="E976">
        <v>0.14499999999999999</v>
      </c>
      <c r="F976">
        <v>0.97399999999999998</v>
      </c>
      <c r="G976">
        <v>0.54700000000000004</v>
      </c>
      <c r="H976">
        <v>0.1615</v>
      </c>
      <c r="I976">
        <v>0.23499999999999999</v>
      </c>
      <c r="J976">
        <v>9</v>
      </c>
      <c r="K976">
        <v>9</v>
      </c>
      <c r="L976" t="s">
        <v>34</v>
      </c>
      <c r="M976" t="s">
        <v>35</v>
      </c>
      <c r="N976" t="s">
        <v>36</v>
      </c>
      <c r="O976">
        <v>10</v>
      </c>
      <c r="P976" t="s">
        <v>11</v>
      </c>
      <c r="Q976">
        <v>24.1</v>
      </c>
    </row>
    <row r="977" spans="1:17">
      <c r="A977">
        <v>2563</v>
      </c>
      <c r="B977" t="s">
        <v>76</v>
      </c>
      <c r="C977">
        <v>0.44</v>
      </c>
      <c r="D977">
        <v>0.32500000000000001</v>
      </c>
      <c r="E977">
        <v>0.1</v>
      </c>
      <c r="F977">
        <v>0.41649999999999998</v>
      </c>
      <c r="G977">
        <v>0.185</v>
      </c>
      <c r="H977">
        <v>8.6499999999999994E-2</v>
      </c>
      <c r="I977">
        <v>0.11</v>
      </c>
      <c r="J977">
        <v>6</v>
      </c>
      <c r="K977">
        <v>3</v>
      </c>
      <c r="L977" t="s">
        <v>52</v>
      </c>
      <c r="M977" t="s">
        <v>53</v>
      </c>
      <c r="N977" t="s">
        <v>54</v>
      </c>
      <c r="O977">
        <v>2</v>
      </c>
      <c r="P977" t="s">
        <v>5</v>
      </c>
      <c r="Q977">
        <v>18</v>
      </c>
    </row>
    <row r="978" spans="1:17">
      <c r="A978">
        <v>439</v>
      </c>
      <c r="B978" t="s">
        <v>76</v>
      </c>
      <c r="C978">
        <v>0.39</v>
      </c>
      <c r="D978">
        <v>0.3</v>
      </c>
      <c r="E978">
        <v>0.09</v>
      </c>
      <c r="F978">
        <v>0.30549999999999999</v>
      </c>
      <c r="G978">
        <v>0.14299999999999999</v>
      </c>
      <c r="H978">
        <v>6.4500000000000002E-2</v>
      </c>
      <c r="I978">
        <v>8.5000000000000006E-2</v>
      </c>
      <c r="J978">
        <v>9</v>
      </c>
      <c r="K978">
        <v>3</v>
      </c>
      <c r="L978" t="s">
        <v>52</v>
      </c>
      <c r="M978" t="s">
        <v>53</v>
      </c>
      <c r="N978" t="s">
        <v>54</v>
      </c>
      <c r="O978">
        <v>4</v>
      </c>
      <c r="P978" t="s">
        <v>8</v>
      </c>
      <c r="Q978">
        <v>6.1</v>
      </c>
    </row>
    <row r="979" spans="1:17">
      <c r="A979">
        <v>3891</v>
      </c>
      <c r="B979" t="s">
        <v>76</v>
      </c>
      <c r="C979">
        <v>0.51500000000000001</v>
      </c>
      <c r="D979">
        <v>0.4</v>
      </c>
      <c r="E979">
        <v>0.14000000000000001</v>
      </c>
      <c r="F979">
        <v>0.73650000000000004</v>
      </c>
      <c r="G979">
        <v>0.29549999999999998</v>
      </c>
      <c r="H979">
        <v>0.184</v>
      </c>
      <c r="I979">
        <v>0.185</v>
      </c>
      <c r="J979">
        <v>16</v>
      </c>
      <c r="K979">
        <v>3</v>
      </c>
      <c r="L979" t="s">
        <v>52</v>
      </c>
      <c r="M979" t="s">
        <v>53</v>
      </c>
      <c r="N979" t="s">
        <v>54</v>
      </c>
      <c r="O979">
        <v>4</v>
      </c>
      <c r="P979" t="s">
        <v>8</v>
      </c>
      <c r="Q979">
        <v>6.1</v>
      </c>
    </row>
    <row r="980" spans="1:17">
      <c r="A980">
        <v>3884</v>
      </c>
      <c r="B980" t="s">
        <v>76</v>
      </c>
      <c r="C980">
        <v>0.54</v>
      </c>
      <c r="D980">
        <v>0.42499999999999999</v>
      </c>
      <c r="E980">
        <v>0.12</v>
      </c>
      <c r="F980">
        <v>0.81699999999999995</v>
      </c>
      <c r="G980">
        <v>0.29449999999999998</v>
      </c>
      <c r="H980">
        <v>0.153</v>
      </c>
      <c r="I980">
        <v>0.19500000000000001</v>
      </c>
      <c r="J980">
        <v>10</v>
      </c>
      <c r="K980">
        <v>12</v>
      </c>
      <c r="L980" t="s">
        <v>58</v>
      </c>
      <c r="M980" t="s">
        <v>59</v>
      </c>
      <c r="N980" t="s">
        <v>45</v>
      </c>
      <c r="O980">
        <v>3</v>
      </c>
      <c r="P980" t="s">
        <v>10</v>
      </c>
      <c r="Q980">
        <v>3.6</v>
      </c>
    </row>
    <row r="981" spans="1:17">
      <c r="A981">
        <v>1959</v>
      </c>
      <c r="B981" t="s">
        <v>76</v>
      </c>
      <c r="C981">
        <v>0.65</v>
      </c>
      <c r="D981">
        <v>0.52</v>
      </c>
      <c r="E981">
        <v>0.15</v>
      </c>
      <c r="F981">
        <v>1.238</v>
      </c>
      <c r="G981">
        <v>0.54949999999999999</v>
      </c>
      <c r="H981">
        <v>0.29599999999999999</v>
      </c>
      <c r="I981">
        <v>0.33050000000000002</v>
      </c>
      <c r="J981">
        <v>10</v>
      </c>
      <c r="K981">
        <v>4</v>
      </c>
      <c r="L981" t="s">
        <v>40</v>
      </c>
      <c r="M981" t="s">
        <v>41</v>
      </c>
      <c r="N981" t="s">
        <v>42</v>
      </c>
      <c r="O981">
        <v>5</v>
      </c>
      <c r="P981" t="s">
        <v>12</v>
      </c>
      <c r="Q981">
        <v>12.8</v>
      </c>
    </row>
    <row r="982" spans="1:17">
      <c r="A982">
        <v>4038</v>
      </c>
      <c r="B982" t="s">
        <v>76</v>
      </c>
      <c r="C982">
        <v>0.54</v>
      </c>
      <c r="D982">
        <v>0.41499999999999998</v>
      </c>
      <c r="E982">
        <v>0.155</v>
      </c>
      <c r="F982">
        <v>0.70199999999999996</v>
      </c>
      <c r="G982">
        <v>0.32200000000000001</v>
      </c>
      <c r="H982">
        <v>0.16700000000000001</v>
      </c>
      <c r="I982">
        <v>0.19</v>
      </c>
      <c r="J982">
        <v>10</v>
      </c>
      <c r="K982">
        <v>13</v>
      </c>
      <c r="L982" t="s">
        <v>43</v>
      </c>
      <c r="M982" t="s">
        <v>44</v>
      </c>
      <c r="N982" t="s">
        <v>45</v>
      </c>
      <c r="O982">
        <v>3</v>
      </c>
      <c r="P982" t="s">
        <v>10</v>
      </c>
      <c r="Q982">
        <v>3.6</v>
      </c>
    </row>
    <row r="983" spans="1:17">
      <c r="A983">
        <v>2220</v>
      </c>
      <c r="B983" t="s">
        <v>76</v>
      </c>
      <c r="C983">
        <v>0.48499999999999999</v>
      </c>
      <c r="D983">
        <v>0.375</v>
      </c>
      <c r="E983">
        <v>0.14499999999999999</v>
      </c>
      <c r="F983">
        <v>0.58850000000000002</v>
      </c>
      <c r="G983">
        <v>0.23849999999999999</v>
      </c>
      <c r="H983">
        <v>0.11550000000000001</v>
      </c>
      <c r="I983">
        <v>0.19</v>
      </c>
      <c r="J983">
        <v>13</v>
      </c>
      <c r="K983">
        <v>14</v>
      </c>
      <c r="L983" t="s">
        <v>72</v>
      </c>
      <c r="M983" t="s">
        <v>73</v>
      </c>
      <c r="N983" t="s">
        <v>74</v>
      </c>
      <c r="O983">
        <v>5</v>
      </c>
      <c r="P983" t="s">
        <v>12</v>
      </c>
      <c r="Q983">
        <v>12.8</v>
      </c>
    </row>
    <row r="984" spans="1:17">
      <c r="A984">
        <v>3165</v>
      </c>
      <c r="B984" t="s">
        <v>76</v>
      </c>
      <c r="C984">
        <v>0.64</v>
      </c>
      <c r="D984">
        <v>0.47499999999999998</v>
      </c>
      <c r="E984">
        <v>0.19</v>
      </c>
      <c r="F984">
        <v>1.151</v>
      </c>
      <c r="G984">
        <v>0.4365</v>
      </c>
      <c r="H984">
        <v>0.28100000000000003</v>
      </c>
      <c r="I984">
        <v>0.3805</v>
      </c>
      <c r="J984">
        <v>13</v>
      </c>
      <c r="K984">
        <v>6</v>
      </c>
      <c r="L984" t="s">
        <v>46</v>
      </c>
      <c r="M984" t="s">
        <v>47</v>
      </c>
      <c r="N984" t="s">
        <v>48</v>
      </c>
      <c r="O984">
        <v>3</v>
      </c>
      <c r="P984" t="s">
        <v>10</v>
      </c>
      <c r="Q984">
        <v>3.6</v>
      </c>
    </row>
    <row r="985" spans="1:17">
      <c r="A985">
        <v>2417</v>
      </c>
      <c r="B985" t="s">
        <v>76</v>
      </c>
      <c r="C985">
        <v>0.42499999999999999</v>
      </c>
      <c r="D985">
        <v>0.315</v>
      </c>
      <c r="E985">
        <v>0.125</v>
      </c>
      <c r="F985">
        <v>0.35249999999999998</v>
      </c>
      <c r="G985">
        <v>0.1135</v>
      </c>
      <c r="H985">
        <v>5.6500000000000002E-2</v>
      </c>
      <c r="I985">
        <v>0.13</v>
      </c>
      <c r="J985">
        <v>18</v>
      </c>
      <c r="K985">
        <v>14</v>
      </c>
      <c r="L985" t="s">
        <v>72</v>
      </c>
      <c r="M985" t="s">
        <v>73</v>
      </c>
      <c r="N985" t="s">
        <v>74</v>
      </c>
      <c r="O985">
        <v>2</v>
      </c>
      <c r="P985" t="s">
        <v>5</v>
      </c>
      <c r="Q985">
        <v>18</v>
      </c>
    </row>
    <row r="986" spans="1:17">
      <c r="A986">
        <v>3646</v>
      </c>
      <c r="B986" t="s">
        <v>76</v>
      </c>
      <c r="C986">
        <v>0.47499999999999998</v>
      </c>
      <c r="D986">
        <v>0.33500000000000002</v>
      </c>
      <c r="E986">
        <v>0.1</v>
      </c>
      <c r="F986">
        <v>0.4425</v>
      </c>
      <c r="G986">
        <v>0.1895</v>
      </c>
      <c r="H986">
        <v>8.5999999999999993E-2</v>
      </c>
      <c r="I986">
        <v>0.13500000000000001</v>
      </c>
      <c r="J986">
        <v>9</v>
      </c>
      <c r="K986">
        <v>10</v>
      </c>
      <c r="L986" t="s">
        <v>37</v>
      </c>
      <c r="M986" t="s">
        <v>38</v>
      </c>
      <c r="N986" t="s">
        <v>39</v>
      </c>
      <c r="O986">
        <v>3</v>
      </c>
      <c r="P986" t="s">
        <v>10</v>
      </c>
      <c r="Q986">
        <v>3.6</v>
      </c>
    </row>
    <row r="987" spans="1:17">
      <c r="A987">
        <v>1646</v>
      </c>
      <c r="B987" t="s">
        <v>76</v>
      </c>
      <c r="C987">
        <v>0.57999999999999996</v>
      </c>
      <c r="D987">
        <v>0.43</v>
      </c>
      <c r="E987">
        <v>0.13</v>
      </c>
      <c r="F987">
        <v>0.79800000000000004</v>
      </c>
      <c r="G987">
        <v>0.36499999999999999</v>
      </c>
      <c r="H987">
        <v>0.17299999999999999</v>
      </c>
      <c r="I987">
        <v>0.22850000000000001</v>
      </c>
      <c r="J987">
        <v>10</v>
      </c>
      <c r="K987">
        <v>4</v>
      </c>
      <c r="L987" t="s">
        <v>40</v>
      </c>
      <c r="M987" t="s">
        <v>41</v>
      </c>
      <c r="N987" t="s">
        <v>42</v>
      </c>
      <c r="O987">
        <v>1</v>
      </c>
      <c r="P987" t="s">
        <v>4</v>
      </c>
      <c r="Q987">
        <v>22.1</v>
      </c>
    </row>
    <row r="988" spans="1:17">
      <c r="A988">
        <v>485</v>
      </c>
      <c r="B988" t="s">
        <v>76</v>
      </c>
      <c r="C988">
        <v>0.63</v>
      </c>
      <c r="D988">
        <v>0.48</v>
      </c>
      <c r="E988">
        <v>0.14499999999999999</v>
      </c>
      <c r="F988">
        <v>1.0115000000000001</v>
      </c>
      <c r="G988">
        <v>0.42349999999999999</v>
      </c>
      <c r="H988">
        <v>0.23699999999999999</v>
      </c>
      <c r="I988">
        <v>0.30499999999999999</v>
      </c>
      <c r="J988">
        <v>12</v>
      </c>
      <c r="K988">
        <v>12</v>
      </c>
      <c r="L988" t="s">
        <v>58</v>
      </c>
      <c r="M988" t="s">
        <v>59</v>
      </c>
      <c r="N988" t="s">
        <v>45</v>
      </c>
      <c r="O988">
        <v>2</v>
      </c>
      <c r="P988" t="s">
        <v>5</v>
      </c>
      <c r="Q988">
        <v>18</v>
      </c>
    </row>
    <row r="989" spans="1:17">
      <c r="A989">
        <v>3340</v>
      </c>
      <c r="B989" t="s">
        <v>76</v>
      </c>
      <c r="C989">
        <v>0.58499999999999996</v>
      </c>
      <c r="D989">
        <v>0.47499999999999998</v>
      </c>
      <c r="E989">
        <v>0.185</v>
      </c>
      <c r="F989">
        <v>0.85750000000000004</v>
      </c>
      <c r="G989">
        <v>0.34649999999999997</v>
      </c>
      <c r="H989">
        <v>0.17849999999999999</v>
      </c>
      <c r="I989">
        <v>0.27500000000000002</v>
      </c>
      <c r="J989">
        <v>12</v>
      </c>
      <c r="K989">
        <v>6</v>
      </c>
      <c r="L989" t="s">
        <v>46</v>
      </c>
      <c r="M989" t="s">
        <v>47</v>
      </c>
      <c r="N989" t="s">
        <v>48</v>
      </c>
      <c r="O989">
        <v>1</v>
      </c>
      <c r="P989" t="s">
        <v>4</v>
      </c>
      <c r="Q989">
        <v>22.1</v>
      </c>
    </row>
    <row r="990" spans="1:17">
      <c r="A990">
        <v>23</v>
      </c>
      <c r="B990" t="s">
        <v>76</v>
      </c>
      <c r="C990">
        <v>0.56499999999999995</v>
      </c>
      <c r="D990">
        <v>0.44</v>
      </c>
      <c r="E990">
        <v>0.155</v>
      </c>
      <c r="F990">
        <v>0.9395</v>
      </c>
      <c r="G990">
        <v>0.42749999999999999</v>
      </c>
      <c r="H990">
        <v>0.214</v>
      </c>
      <c r="I990">
        <v>0.27</v>
      </c>
      <c r="J990">
        <v>12</v>
      </c>
      <c r="K990">
        <v>8</v>
      </c>
      <c r="L990" t="s">
        <v>55</v>
      </c>
      <c r="M990" t="s">
        <v>56</v>
      </c>
      <c r="N990" t="s">
        <v>57</v>
      </c>
      <c r="O990">
        <v>8</v>
      </c>
      <c r="P990" t="s">
        <v>13</v>
      </c>
      <c r="Q990">
        <v>12.3</v>
      </c>
    </row>
    <row r="991" spans="1:17">
      <c r="A991">
        <v>2001</v>
      </c>
      <c r="B991" t="s">
        <v>76</v>
      </c>
      <c r="C991">
        <v>0.35499999999999998</v>
      </c>
      <c r="D991">
        <v>0.27</v>
      </c>
      <c r="E991">
        <v>0.105</v>
      </c>
      <c r="F991">
        <v>0.27100000000000002</v>
      </c>
      <c r="G991">
        <v>0.14249999999999999</v>
      </c>
      <c r="H991">
        <v>5.2499999999999998E-2</v>
      </c>
      <c r="I991">
        <v>7.3499999999999996E-2</v>
      </c>
      <c r="J991">
        <v>9</v>
      </c>
      <c r="K991">
        <v>15</v>
      </c>
      <c r="L991" t="s">
        <v>60</v>
      </c>
      <c r="M991" t="s">
        <v>61</v>
      </c>
      <c r="N991" t="s">
        <v>45</v>
      </c>
      <c r="O991">
        <v>4</v>
      </c>
      <c r="P991" t="s">
        <v>8</v>
      </c>
      <c r="Q991">
        <v>6.1</v>
      </c>
    </row>
    <row r="992" spans="1:17">
      <c r="A992">
        <v>1254</v>
      </c>
      <c r="B992" t="s">
        <v>76</v>
      </c>
      <c r="C992">
        <v>0.42</v>
      </c>
      <c r="D992">
        <v>0.30499999999999999</v>
      </c>
      <c r="E992">
        <v>0.09</v>
      </c>
      <c r="F992">
        <v>0.32800000000000001</v>
      </c>
      <c r="G992">
        <v>0.16800000000000001</v>
      </c>
      <c r="H992">
        <v>6.1499999999999999E-2</v>
      </c>
      <c r="I992">
        <v>8.2000000000000003E-2</v>
      </c>
      <c r="J992">
        <v>6</v>
      </c>
      <c r="K992">
        <v>6</v>
      </c>
      <c r="L992" t="s">
        <v>46</v>
      </c>
      <c r="M992" t="s">
        <v>47</v>
      </c>
      <c r="N992" t="s">
        <v>48</v>
      </c>
      <c r="O992">
        <v>6</v>
      </c>
      <c r="P992" t="s">
        <v>7</v>
      </c>
      <c r="Q992">
        <v>14.1</v>
      </c>
    </row>
    <row r="993" spans="1:17">
      <c r="A993">
        <v>2840</v>
      </c>
      <c r="B993" t="s">
        <v>76</v>
      </c>
      <c r="C993">
        <v>0.59</v>
      </c>
      <c r="D993">
        <v>0.45500000000000002</v>
      </c>
      <c r="E993">
        <v>0.15</v>
      </c>
      <c r="F993">
        <v>0.97599999999999998</v>
      </c>
      <c r="G993">
        <v>0.46500000000000002</v>
      </c>
      <c r="H993">
        <v>0.20549999999999999</v>
      </c>
      <c r="I993">
        <v>0.27650000000000002</v>
      </c>
      <c r="J993">
        <v>10</v>
      </c>
      <c r="K993">
        <v>10</v>
      </c>
      <c r="L993" t="s">
        <v>37</v>
      </c>
      <c r="M993" t="s">
        <v>38</v>
      </c>
      <c r="N993" t="s">
        <v>39</v>
      </c>
      <c r="O993">
        <v>8</v>
      </c>
      <c r="P993" t="s">
        <v>13</v>
      </c>
      <c r="Q993">
        <v>12.3</v>
      </c>
    </row>
    <row r="994" spans="1:17">
      <c r="A994">
        <v>1915</v>
      </c>
      <c r="B994" t="s">
        <v>76</v>
      </c>
      <c r="C994">
        <v>0.59499999999999997</v>
      </c>
      <c r="D994">
        <v>0.45500000000000002</v>
      </c>
      <c r="E994">
        <v>0.15</v>
      </c>
      <c r="F994">
        <v>0.88600000000000001</v>
      </c>
      <c r="G994">
        <v>0.43149999999999999</v>
      </c>
      <c r="H994">
        <v>0.20100000000000001</v>
      </c>
      <c r="I994">
        <v>0.223</v>
      </c>
      <c r="J994">
        <v>10</v>
      </c>
      <c r="K994">
        <v>4</v>
      </c>
      <c r="L994" t="s">
        <v>40</v>
      </c>
      <c r="M994" t="s">
        <v>41</v>
      </c>
      <c r="N994" t="s">
        <v>42</v>
      </c>
      <c r="O994">
        <v>7</v>
      </c>
      <c r="P994" t="s">
        <v>6</v>
      </c>
      <c r="Q994">
        <v>2.5</v>
      </c>
    </row>
    <row r="995" spans="1:17">
      <c r="A995">
        <v>634</v>
      </c>
      <c r="B995" t="s">
        <v>76</v>
      </c>
      <c r="C995">
        <v>0.47</v>
      </c>
      <c r="D995">
        <v>0.36</v>
      </c>
      <c r="E995">
        <v>0.13</v>
      </c>
      <c r="F995">
        <v>0.52249999999999996</v>
      </c>
      <c r="G995">
        <v>0.19800000000000001</v>
      </c>
      <c r="H995">
        <v>0.1065</v>
      </c>
      <c r="I995">
        <v>0.16500000000000001</v>
      </c>
      <c r="J995">
        <v>9</v>
      </c>
      <c r="K995">
        <v>8</v>
      </c>
      <c r="L995" t="s">
        <v>55</v>
      </c>
      <c r="M995" t="s">
        <v>56</v>
      </c>
      <c r="N995" t="s">
        <v>57</v>
      </c>
      <c r="O995">
        <v>7</v>
      </c>
      <c r="P995" t="s">
        <v>6</v>
      </c>
      <c r="Q995">
        <v>2.5</v>
      </c>
    </row>
    <row r="996" spans="1:17">
      <c r="A996">
        <v>3025</v>
      </c>
      <c r="B996" t="s">
        <v>76</v>
      </c>
      <c r="C996">
        <v>0.47499999999999998</v>
      </c>
      <c r="D996">
        <v>0.375</v>
      </c>
      <c r="E996">
        <v>0.11</v>
      </c>
      <c r="F996">
        <v>0.45600000000000002</v>
      </c>
      <c r="G996">
        <v>0.182</v>
      </c>
      <c r="H996">
        <v>9.9000000000000005E-2</v>
      </c>
      <c r="I996">
        <v>0.16</v>
      </c>
      <c r="J996">
        <v>9</v>
      </c>
      <c r="K996">
        <v>14</v>
      </c>
      <c r="L996" t="s">
        <v>72</v>
      </c>
      <c r="M996" t="s">
        <v>73</v>
      </c>
      <c r="N996" t="s">
        <v>74</v>
      </c>
      <c r="O996">
        <v>5</v>
      </c>
      <c r="P996" t="s">
        <v>12</v>
      </c>
      <c r="Q996">
        <v>12.8</v>
      </c>
    </row>
    <row r="997" spans="1:17">
      <c r="A997">
        <v>773</v>
      </c>
      <c r="B997" t="s">
        <v>76</v>
      </c>
      <c r="C997">
        <v>0.38500000000000001</v>
      </c>
      <c r="D997">
        <v>0.27500000000000002</v>
      </c>
      <c r="E997">
        <v>0.115</v>
      </c>
      <c r="F997">
        <v>0.26850000000000002</v>
      </c>
      <c r="G997">
        <v>9.7500000000000003E-2</v>
      </c>
      <c r="H997">
        <v>8.2500000000000004E-2</v>
      </c>
      <c r="I997">
        <v>8.5000000000000006E-2</v>
      </c>
      <c r="J997">
        <v>8</v>
      </c>
      <c r="K997">
        <v>2</v>
      </c>
      <c r="L997" t="s">
        <v>49</v>
      </c>
      <c r="M997" t="s">
        <v>50</v>
      </c>
      <c r="N997" t="s">
        <v>51</v>
      </c>
      <c r="O997">
        <v>10</v>
      </c>
      <c r="P997" t="s">
        <v>11</v>
      </c>
      <c r="Q997">
        <v>24.1</v>
      </c>
    </row>
    <row r="998" spans="1:17">
      <c r="A998">
        <v>1465</v>
      </c>
      <c r="B998" t="s">
        <v>76</v>
      </c>
      <c r="C998">
        <v>0.505</v>
      </c>
      <c r="D998">
        <v>0.38</v>
      </c>
      <c r="E998">
        <v>0.13500000000000001</v>
      </c>
      <c r="F998">
        <v>0.6855</v>
      </c>
      <c r="G998">
        <v>0.36099999999999999</v>
      </c>
      <c r="H998">
        <v>0.1565</v>
      </c>
      <c r="I998">
        <v>0.161</v>
      </c>
      <c r="J998">
        <v>9</v>
      </c>
      <c r="K998">
        <v>15</v>
      </c>
      <c r="L998" t="s">
        <v>60</v>
      </c>
      <c r="M998" t="s">
        <v>61</v>
      </c>
      <c r="N998" t="s">
        <v>45</v>
      </c>
      <c r="O998">
        <v>3</v>
      </c>
      <c r="P998" t="s">
        <v>10</v>
      </c>
      <c r="Q998">
        <v>3.6</v>
      </c>
    </row>
    <row r="999" spans="1:17">
      <c r="A999">
        <v>833</v>
      </c>
      <c r="B999" t="s">
        <v>76</v>
      </c>
      <c r="C999">
        <v>0.44</v>
      </c>
      <c r="D999">
        <v>0.36499999999999999</v>
      </c>
      <c r="E999">
        <v>0.115</v>
      </c>
      <c r="F999">
        <v>0.501</v>
      </c>
      <c r="G999">
        <v>0.24349999999999999</v>
      </c>
      <c r="H999">
        <v>8.4000000000000005E-2</v>
      </c>
      <c r="I999">
        <v>0.14649999999999999</v>
      </c>
      <c r="J999">
        <v>9</v>
      </c>
      <c r="K999">
        <v>12</v>
      </c>
      <c r="L999" t="s">
        <v>58</v>
      </c>
      <c r="M999" t="s">
        <v>59</v>
      </c>
      <c r="N999" t="s">
        <v>45</v>
      </c>
      <c r="O999">
        <v>3</v>
      </c>
      <c r="P999" t="s">
        <v>10</v>
      </c>
      <c r="Q999">
        <v>3.6</v>
      </c>
    </row>
    <row r="1000" spans="1:17">
      <c r="A1000">
        <v>4083</v>
      </c>
      <c r="B1000" t="s">
        <v>76</v>
      </c>
      <c r="C1000">
        <v>0.56499999999999995</v>
      </c>
      <c r="D1000">
        <v>0.46500000000000002</v>
      </c>
      <c r="E1000">
        <v>0.15</v>
      </c>
      <c r="F1000">
        <v>1.1815</v>
      </c>
      <c r="G1000">
        <v>0.58099999999999996</v>
      </c>
      <c r="H1000">
        <v>0.2215</v>
      </c>
      <c r="I1000">
        <v>0.3095</v>
      </c>
      <c r="J1000">
        <v>9</v>
      </c>
      <c r="K1000">
        <v>9</v>
      </c>
      <c r="L1000" t="s">
        <v>34</v>
      </c>
      <c r="M1000" t="s">
        <v>35</v>
      </c>
      <c r="N1000" t="s">
        <v>36</v>
      </c>
      <c r="O1000">
        <v>7</v>
      </c>
      <c r="P1000" t="s">
        <v>6</v>
      </c>
      <c r="Q1000">
        <v>2.5</v>
      </c>
    </row>
    <row r="1001" spans="1:17">
      <c r="A1001">
        <v>2207</v>
      </c>
      <c r="B1001" t="s">
        <v>76</v>
      </c>
      <c r="C1001">
        <v>0.28999999999999998</v>
      </c>
      <c r="D1001">
        <v>0.22500000000000001</v>
      </c>
      <c r="E1001">
        <v>7.4999999999999997E-2</v>
      </c>
      <c r="F1001">
        <v>0.14000000000000001</v>
      </c>
      <c r="G1001">
        <v>5.1499999999999997E-2</v>
      </c>
      <c r="H1001">
        <v>2.35E-2</v>
      </c>
      <c r="I1001">
        <v>0.04</v>
      </c>
      <c r="J1001">
        <v>5</v>
      </c>
      <c r="K1001">
        <v>3</v>
      </c>
      <c r="L1001" t="s">
        <v>52</v>
      </c>
      <c r="M1001" t="s">
        <v>53</v>
      </c>
      <c r="N1001" t="s">
        <v>54</v>
      </c>
      <c r="O1001">
        <v>5</v>
      </c>
      <c r="P1001" t="s">
        <v>12</v>
      </c>
      <c r="Q1001">
        <v>12.8</v>
      </c>
    </row>
    <row r="1002" spans="1:17">
      <c r="B1002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C24B-B060-49FE-BCBE-DED7158F8E86}">
  <dimension ref="A1:Q1002"/>
  <sheetViews>
    <sheetView workbookViewId="0">
      <selection activeCell="R16" sqref="R16"/>
    </sheetView>
  </sheetViews>
  <sheetFormatPr defaultRowHeight="15"/>
  <cols>
    <col min="6" max="6" width="12.7109375" bestFit="1" customWidth="1"/>
  </cols>
  <sheetData>
    <row r="1" spans="1:17">
      <c r="A1" t="s">
        <v>77</v>
      </c>
      <c r="B1" t="s">
        <v>17</v>
      </c>
      <c r="C1" t="s">
        <v>18</v>
      </c>
      <c r="D1" t="s">
        <v>19</v>
      </c>
      <c r="E1" t="s">
        <v>20</v>
      </c>
      <c r="F1" t="s">
        <v>78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79</v>
      </c>
      <c r="Q1" t="s">
        <v>32</v>
      </c>
    </row>
    <row r="2" spans="1:17">
      <c r="A2">
        <v>2424</v>
      </c>
      <c r="B2" t="s">
        <v>33</v>
      </c>
      <c r="C2">
        <v>0.41</v>
      </c>
      <c r="D2">
        <v>0.315</v>
      </c>
      <c r="E2">
        <v>0.11</v>
      </c>
      <c r="F2">
        <v>0.32100000000000001</v>
      </c>
      <c r="G2">
        <v>0.1255</v>
      </c>
      <c r="H2">
        <v>6.5500000000000003E-2</v>
      </c>
      <c r="I2">
        <v>9.5000000000000001E-2</v>
      </c>
      <c r="J2">
        <v>10</v>
      </c>
      <c r="K2">
        <v>9</v>
      </c>
      <c r="L2" t="s">
        <v>34</v>
      </c>
      <c r="M2" t="s">
        <v>35</v>
      </c>
      <c r="N2" t="s">
        <v>36</v>
      </c>
      <c r="O2">
        <v>9</v>
      </c>
      <c r="P2" t="s">
        <v>9</v>
      </c>
      <c r="Q2">
        <v>1.9</v>
      </c>
    </row>
    <row r="3" spans="1:17">
      <c r="A3">
        <v>484</v>
      </c>
      <c r="B3" t="s">
        <v>33</v>
      </c>
      <c r="C3">
        <v>0.57999999999999996</v>
      </c>
      <c r="D3">
        <v>0.46</v>
      </c>
      <c r="E3">
        <v>0.15</v>
      </c>
      <c r="F3">
        <v>0.99550000000000005</v>
      </c>
      <c r="G3">
        <v>0.42899999999999999</v>
      </c>
      <c r="H3">
        <v>0.21199999999999999</v>
      </c>
      <c r="I3">
        <v>0.26</v>
      </c>
      <c r="J3">
        <v>19</v>
      </c>
      <c r="K3">
        <v>10</v>
      </c>
      <c r="L3" t="s">
        <v>37</v>
      </c>
      <c r="M3" t="s">
        <v>38</v>
      </c>
      <c r="N3" t="s">
        <v>39</v>
      </c>
      <c r="O3">
        <v>9</v>
      </c>
      <c r="P3" t="s">
        <v>9</v>
      </c>
      <c r="Q3">
        <v>1.9</v>
      </c>
    </row>
    <row r="4" spans="1:17">
      <c r="A4">
        <v>2948</v>
      </c>
      <c r="B4" t="s">
        <v>33</v>
      </c>
      <c r="C4">
        <v>0.63500000000000001</v>
      </c>
      <c r="D4">
        <v>0.48499999999999999</v>
      </c>
      <c r="E4">
        <v>0.18</v>
      </c>
      <c r="F4">
        <v>1.1795</v>
      </c>
      <c r="G4">
        <v>0.47849999999999998</v>
      </c>
      <c r="H4">
        <v>0.27750000000000002</v>
      </c>
      <c r="I4">
        <v>0.35499999999999998</v>
      </c>
      <c r="J4">
        <v>10</v>
      </c>
      <c r="K4">
        <v>4</v>
      </c>
      <c r="L4" t="s">
        <v>40</v>
      </c>
      <c r="M4" t="s">
        <v>41</v>
      </c>
      <c r="N4" t="s">
        <v>42</v>
      </c>
      <c r="O4">
        <v>7</v>
      </c>
      <c r="P4" t="s">
        <v>6</v>
      </c>
      <c r="Q4">
        <v>2.5</v>
      </c>
    </row>
    <row r="5" spans="1:17">
      <c r="A5">
        <v>2404</v>
      </c>
      <c r="B5" t="s">
        <v>33</v>
      </c>
      <c r="C5">
        <v>0.28999999999999998</v>
      </c>
      <c r="D5">
        <v>0.22500000000000001</v>
      </c>
      <c r="E5">
        <v>0.08</v>
      </c>
      <c r="F5">
        <v>0.1295</v>
      </c>
      <c r="G5">
        <v>5.3499999999999999E-2</v>
      </c>
      <c r="H5">
        <v>2.5999999999999999E-2</v>
      </c>
      <c r="I5">
        <v>4.4999999999999998E-2</v>
      </c>
      <c r="J5">
        <v>10</v>
      </c>
      <c r="K5">
        <v>13</v>
      </c>
      <c r="L5" t="s">
        <v>43</v>
      </c>
      <c r="M5" t="s">
        <v>44</v>
      </c>
      <c r="N5" t="s">
        <v>45</v>
      </c>
      <c r="O5">
        <v>8</v>
      </c>
      <c r="P5" t="s">
        <v>13</v>
      </c>
      <c r="Q5">
        <v>12.3</v>
      </c>
    </row>
    <row r="6" spans="1:17">
      <c r="A6">
        <v>1480</v>
      </c>
      <c r="B6" t="s">
        <v>33</v>
      </c>
      <c r="C6">
        <v>0.57499999999999996</v>
      </c>
      <c r="D6">
        <v>0.46</v>
      </c>
      <c r="E6">
        <v>0.16500000000000001</v>
      </c>
      <c r="F6">
        <v>0.91549999999999998</v>
      </c>
      <c r="G6">
        <v>0.40050000000000002</v>
      </c>
      <c r="H6">
        <v>0.2465</v>
      </c>
      <c r="I6">
        <v>0.23849999999999999</v>
      </c>
      <c r="J6">
        <v>8</v>
      </c>
      <c r="K6">
        <v>6</v>
      </c>
      <c r="L6" t="s">
        <v>46</v>
      </c>
      <c r="M6" t="s">
        <v>47</v>
      </c>
      <c r="N6" t="s">
        <v>48</v>
      </c>
      <c r="O6">
        <v>3</v>
      </c>
      <c r="P6" t="s">
        <v>10</v>
      </c>
      <c r="Q6">
        <v>3.6</v>
      </c>
    </row>
    <row r="7" spans="1:17">
      <c r="A7">
        <v>1150</v>
      </c>
      <c r="B7" t="s">
        <v>33</v>
      </c>
      <c r="C7">
        <v>0.57999999999999996</v>
      </c>
      <c r="D7">
        <v>0.45</v>
      </c>
      <c r="E7">
        <v>0.155</v>
      </c>
      <c r="F7">
        <v>0.93</v>
      </c>
      <c r="G7">
        <v>0.38500000000000001</v>
      </c>
      <c r="H7">
        <v>0.246</v>
      </c>
      <c r="I7">
        <v>0.26500000000000001</v>
      </c>
      <c r="J7">
        <v>9</v>
      </c>
      <c r="K7">
        <v>2</v>
      </c>
      <c r="L7" t="s">
        <v>49</v>
      </c>
      <c r="M7" t="s">
        <v>50</v>
      </c>
      <c r="N7" t="s">
        <v>51</v>
      </c>
      <c r="O7">
        <v>2</v>
      </c>
      <c r="P7" t="s">
        <v>5</v>
      </c>
      <c r="Q7">
        <v>18</v>
      </c>
    </row>
    <row r="8" spans="1:17">
      <c r="A8">
        <v>1319</v>
      </c>
      <c r="B8" t="s">
        <v>33</v>
      </c>
      <c r="C8">
        <v>0.55500000000000005</v>
      </c>
      <c r="D8">
        <v>0.43</v>
      </c>
      <c r="E8">
        <v>0.14000000000000001</v>
      </c>
      <c r="F8">
        <v>0.76649999999999996</v>
      </c>
      <c r="G8">
        <v>0.34100000000000003</v>
      </c>
      <c r="H8">
        <v>0.16500000000000001</v>
      </c>
      <c r="I8">
        <v>0.23</v>
      </c>
      <c r="J8">
        <v>9</v>
      </c>
      <c r="K8">
        <v>3</v>
      </c>
      <c r="L8" t="s">
        <v>52</v>
      </c>
      <c r="M8" t="s">
        <v>53</v>
      </c>
      <c r="N8" t="s">
        <v>54</v>
      </c>
      <c r="O8">
        <v>3</v>
      </c>
      <c r="P8" t="s">
        <v>10</v>
      </c>
      <c r="Q8">
        <v>3.6</v>
      </c>
    </row>
    <row r="9" spans="1:17">
      <c r="A9">
        <v>2110</v>
      </c>
      <c r="B9" t="s">
        <v>33</v>
      </c>
      <c r="C9">
        <v>0.62</v>
      </c>
      <c r="D9">
        <v>0.49</v>
      </c>
      <c r="E9">
        <v>0.17</v>
      </c>
      <c r="F9">
        <v>1.2104999999999999</v>
      </c>
      <c r="G9">
        <v>0.51849999999999996</v>
      </c>
      <c r="H9">
        <v>0.2555</v>
      </c>
      <c r="I9">
        <v>0.33500000000000002</v>
      </c>
      <c r="J9">
        <v>13</v>
      </c>
      <c r="K9">
        <v>8</v>
      </c>
      <c r="L9" t="s">
        <v>55</v>
      </c>
      <c r="M9" t="s">
        <v>56</v>
      </c>
      <c r="N9" t="s">
        <v>57</v>
      </c>
      <c r="O9">
        <v>8</v>
      </c>
      <c r="P9" t="s">
        <v>13</v>
      </c>
      <c r="Q9">
        <v>12.3</v>
      </c>
    </row>
    <row r="10" spans="1:17">
      <c r="A10">
        <v>1000</v>
      </c>
      <c r="B10" t="s">
        <v>33</v>
      </c>
      <c r="C10">
        <v>0.59499999999999997</v>
      </c>
      <c r="D10">
        <v>0.47</v>
      </c>
      <c r="E10">
        <v>0.155</v>
      </c>
      <c r="F10">
        <v>1.121</v>
      </c>
      <c r="G10">
        <v>0.45150000000000001</v>
      </c>
      <c r="H10">
        <v>0.17799999999999999</v>
      </c>
      <c r="I10">
        <v>0.155</v>
      </c>
      <c r="J10">
        <v>11</v>
      </c>
      <c r="K10">
        <v>12</v>
      </c>
      <c r="L10" t="s">
        <v>58</v>
      </c>
      <c r="M10" t="s">
        <v>59</v>
      </c>
      <c r="N10" t="s">
        <v>45</v>
      </c>
      <c r="O10">
        <v>7</v>
      </c>
      <c r="P10" t="s">
        <v>6</v>
      </c>
      <c r="Q10">
        <v>2.5</v>
      </c>
    </row>
    <row r="11" spans="1:17">
      <c r="A11">
        <v>228</v>
      </c>
      <c r="B11" t="s">
        <v>33</v>
      </c>
      <c r="C11">
        <v>0.36499999999999999</v>
      </c>
      <c r="D11">
        <v>0.27</v>
      </c>
      <c r="E11">
        <v>8.5000000000000006E-2</v>
      </c>
      <c r="F11">
        <v>0.20499999999999999</v>
      </c>
      <c r="G11">
        <v>7.8E-2</v>
      </c>
      <c r="H11">
        <v>4.8500000000000001E-2</v>
      </c>
      <c r="I11">
        <v>7.0000000000000007E-2</v>
      </c>
      <c r="J11">
        <v>7</v>
      </c>
      <c r="K11">
        <v>2</v>
      </c>
      <c r="L11" t="s">
        <v>49</v>
      </c>
      <c r="M11" t="s">
        <v>50</v>
      </c>
      <c r="N11" t="s">
        <v>51</v>
      </c>
      <c r="O11">
        <v>4</v>
      </c>
      <c r="P11" t="s">
        <v>8</v>
      </c>
      <c r="Q11">
        <v>6.1</v>
      </c>
    </row>
    <row r="12" spans="1:17">
      <c r="A12">
        <v>3945</v>
      </c>
      <c r="B12" t="s">
        <v>33</v>
      </c>
      <c r="C12">
        <v>0.55000000000000004</v>
      </c>
      <c r="D12">
        <v>0.44</v>
      </c>
      <c r="E12">
        <v>0.16</v>
      </c>
      <c r="F12">
        <v>0.99099999999999999</v>
      </c>
      <c r="G12">
        <v>0.34799999999999998</v>
      </c>
      <c r="H12">
        <v>0.16800000000000001</v>
      </c>
      <c r="I12">
        <v>0.375</v>
      </c>
      <c r="J12">
        <v>20</v>
      </c>
      <c r="K12">
        <v>8</v>
      </c>
      <c r="L12" t="s">
        <v>55</v>
      </c>
      <c r="M12" t="s">
        <v>56</v>
      </c>
      <c r="N12" t="s">
        <v>57</v>
      </c>
      <c r="O12">
        <v>1</v>
      </c>
      <c r="P12" t="s">
        <v>4</v>
      </c>
      <c r="Q12">
        <v>22.1</v>
      </c>
    </row>
    <row r="13" spans="1:17">
      <c r="A13">
        <v>1308</v>
      </c>
      <c r="B13" t="s">
        <v>33</v>
      </c>
      <c r="C13">
        <v>0.54500000000000004</v>
      </c>
      <c r="D13">
        <v>0.435</v>
      </c>
      <c r="E13">
        <v>0.13500000000000001</v>
      </c>
      <c r="F13">
        <v>0.77149999999999996</v>
      </c>
      <c r="G13">
        <v>0.372</v>
      </c>
      <c r="H13">
        <v>0.14799999999999999</v>
      </c>
      <c r="I13">
        <v>0.22700000000000001</v>
      </c>
      <c r="J13">
        <v>8</v>
      </c>
      <c r="K13">
        <v>12</v>
      </c>
      <c r="L13" t="s">
        <v>58</v>
      </c>
      <c r="M13" t="s">
        <v>59</v>
      </c>
      <c r="N13" t="s">
        <v>45</v>
      </c>
      <c r="O13">
        <v>5</v>
      </c>
      <c r="P13" t="s">
        <v>12</v>
      </c>
      <c r="Q13">
        <v>12.8</v>
      </c>
    </row>
    <row r="14" spans="1:17">
      <c r="A14">
        <v>2895</v>
      </c>
      <c r="B14" t="s">
        <v>33</v>
      </c>
      <c r="C14">
        <v>0.54</v>
      </c>
      <c r="D14">
        <v>0.42499999999999999</v>
      </c>
      <c r="E14">
        <v>0.13</v>
      </c>
      <c r="F14">
        <v>0.8155</v>
      </c>
      <c r="G14">
        <v>0.36749999999999999</v>
      </c>
      <c r="H14">
        <v>0.13650000000000001</v>
      </c>
      <c r="I14">
        <v>0.246</v>
      </c>
      <c r="J14">
        <v>11</v>
      </c>
      <c r="K14">
        <v>8</v>
      </c>
      <c r="L14" t="s">
        <v>55</v>
      </c>
      <c r="M14" t="s">
        <v>56</v>
      </c>
      <c r="N14" t="s">
        <v>57</v>
      </c>
      <c r="O14">
        <v>4</v>
      </c>
      <c r="P14" t="s">
        <v>8</v>
      </c>
      <c r="Q14">
        <v>6.1</v>
      </c>
    </row>
    <row r="15" spans="1:17">
      <c r="A15">
        <v>1483</v>
      </c>
      <c r="B15" t="s">
        <v>33</v>
      </c>
      <c r="C15">
        <v>0.58499999999999996</v>
      </c>
      <c r="D15">
        <v>0.45500000000000002</v>
      </c>
      <c r="E15">
        <v>0.15</v>
      </c>
      <c r="F15">
        <v>0.90600000000000003</v>
      </c>
      <c r="G15">
        <v>0.40949999999999998</v>
      </c>
      <c r="H15">
        <v>0.23</v>
      </c>
      <c r="I15">
        <v>0.23350000000000001</v>
      </c>
      <c r="J15">
        <v>8</v>
      </c>
      <c r="K15">
        <v>15</v>
      </c>
      <c r="L15" t="s">
        <v>60</v>
      </c>
      <c r="M15" t="s">
        <v>61</v>
      </c>
      <c r="N15" t="s">
        <v>45</v>
      </c>
      <c r="O15">
        <v>1</v>
      </c>
      <c r="P15" t="s">
        <v>4</v>
      </c>
      <c r="Q15">
        <v>22.1</v>
      </c>
    </row>
    <row r="16" spans="1:17">
      <c r="A16">
        <v>3411</v>
      </c>
      <c r="B16" t="s">
        <v>33</v>
      </c>
      <c r="C16">
        <v>0.41499999999999998</v>
      </c>
      <c r="D16">
        <v>0.31</v>
      </c>
      <c r="E16">
        <v>0.105</v>
      </c>
      <c r="F16">
        <v>0.35949999999999999</v>
      </c>
      <c r="G16">
        <v>0.16700000000000001</v>
      </c>
      <c r="H16">
        <v>8.3000000000000004E-2</v>
      </c>
      <c r="I16">
        <v>9.1499999999999998E-2</v>
      </c>
      <c r="J16">
        <v>6</v>
      </c>
      <c r="K16">
        <v>7</v>
      </c>
      <c r="L16" t="s">
        <v>62</v>
      </c>
      <c r="M16" t="s">
        <v>63</v>
      </c>
      <c r="N16" t="s">
        <v>64</v>
      </c>
      <c r="O16">
        <v>9</v>
      </c>
      <c r="P16" t="s">
        <v>9</v>
      </c>
      <c r="Q16">
        <v>1.9</v>
      </c>
    </row>
    <row r="17" spans="1:17">
      <c r="A17">
        <v>2764</v>
      </c>
      <c r="B17" t="s">
        <v>33</v>
      </c>
      <c r="C17">
        <v>0.55000000000000004</v>
      </c>
      <c r="D17">
        <v>0.42499999999999999</v>
      </c>
      <c r="E17">
        <v>0.13500000000000001</v>
      </c>
      <c r="F17">
        <v>0.65600000000000003</v>
      </c>
      <c r="G17">
        <v>0.25700000000000001</v>
      </c>
      <c r="H17">
        <v>0.17</v>
      </c>
      <c r="I17">
        <v>0.20300000000000001</v>
      </c>
      <c r="J17">
        <v>10</v>
      </c>
      <c r="K17">
        <v>11</v>
      </c>
      <c r="L17" t="s">
        <v>65</v>
      </c>
      <c r="M17" t="s">
        <v>66</v>
      </c>
      <c r="N17" t="s">
        <v>45</v>
      </c>
      <c r="O17">
        <v>1</v>
      </c>
      <c r="P17" t="s">
        <v>4</v>
      </c>
      <c r="Q17">
        <v>22.1</v>
      </c>
    </row>
    <row r="18" spans="1:17">
      <c r="A18">
        <v>3342</v>
      </c>
      <c r="B18" t="s">
        <v>33</v>
      </c>
      <c r="C18">
        <v>0.49</v>
      </c>
      <c r="D18">
        <v>0.39</v>
      </c>
      <c r="E18">
        <v>0.13500000000000001</v>
      </c>
      <c r="F18">
        <v>0.59</v>
      </c>
      <c r="G18">
        <v>0.215</v>
      </c>
      <c r="H18">
        <v>0.125</v>
      </c>
      <c r="I18">
        <v>0.1845</v>
      </c>
      <c r="J18">
        <v>12</v>
      </c>
      <c r="K18">
        <v>3</v>
      </c>
      <c r="L18" t="s">
        <v>52</v>
      </c>
      <c r="M18" t="s">
        <v>53</v>
      </c>
      <c r="N18" t="s">
        <v>54</v>
      </c>
      <c r="O18">
        <v>6</v>
      </c>
      <c r="P18" t="s">
        <v>7</v>
      </c>
      <c r="Q18">
        <v>14.1</v>
      </c>
    </row>
    <row r="19" spans="1:17">
      <c r="A19">
        <v>3347</v>
      </c>
      <c r="B19" t="s">
        <v>33</v>
      </c>
      <c r="C19">
        <v>0.47</v>
      </c>
      <c r="D19">
        <v>0.4</v>
      </c>
      <c r="E19">
        <v>0.16</v>
      </c>
      <c r="F19">
        <v>0.51</v>
      </c>
      <c r="G19">
        <v>0.1615</v>
      </c>
      <c r="H19">
        <v>7.2999999999999995E-2</v>
      </c>
      <c r="I19">
        <v>0.19800000000000001</v>
      </c>
      <c r="J19">
        <v>14</v>
      </c>
      <c r="K19">
        <v>10</v>
      </c>
      <c r="L19" t="s">
        <v>37</v>
      </c>
      <c r="M19" t="s">
        <v>38</v>
      </c>
      <c r="N19" t="s">
        <v>39</v>
      </c>
      <c r="O19">
        <v>9</v>
      </c>
      <c r="P19" t="s">
        <v>9</v>
      </c>
      <c r="Q19">
        <v>1.9</v>
      </c>
    </row>
    <row r="20" spans="1:17">
      <c r="A20">
        <v>1855</v>
      </c>
      <c r="B20" t="s">
        <v>33</v>
      </c>
      <c r="C20">
        <v>0.495</v>
      </c>
      <c r="D20">
        <v>0.375</v>
      </c>
      <c r="E20">
        <v>0.14000000000000001</v>
      </c>
      <c r="F20">
        <v>0.49399999999999999</v>
      </c>
      <c r="G20">
        <v>0.18099999999999999</v>
      </c>
      <c r="H20">
        <v>9.7500000000000003E-2</v>
      </c>
      <c r="I20">
        <v>0.191</v>
      </c>
      <c r="J20">
        <v>8</v>
      </c>
      <c r="K20">
        <v>2</v>
      </c>
      <c r="L20" t="s">
        <v>49</v>
      </c>
      <c r="M20" t="s">
        <v>50</v>
      </c>
      <c r="N20" t="s">
        <v>51</v>
      </c>
      <c r="O20">
        <v>6</v>
      </c>
      <c r="P20" t="s">
        <v>7</v>
      </c>
      <c r="Q20">
        <v>14.1</v>
      </c>
    </row>
    <row r="21" spans="1:17">
      <c r="A21">
        <v>3194</v>
      </c>
      <c r="B21" t="s">
        <v>33</v>
      </c>
      <c r="C21">
        <v>0.56499999999999995</v>
      </c>
      <c r="D21">
        <v>0.435</v>
      </c>
      <c r="E21">
        <v>0.185</v>
      </c>
      <c r="F21">
        <v>1.032</v>
      </c>
      <c r="G21">
        <v>0.35399999999999998</v>
      </c>
      <c r="H21">
        <v>0.20449999999999999</v>
      </c>
      <c r="I21">
        <v>0.31</v>
      </c>
      <c r="J21">
        <v>20</v>
      </c>
      <c r="K21">
        <v>5</v>
      </c>
      <c r="L21" t="s">
        <v>67</v>
      </c>
      <c r="M21" t="s">
        <v>68</v>
      </c>
      <c r="N21" t="s">
        <v>69</v>
      </c>
      <c r="O21">
        <v>9</v>
      </c>
      <c r="P21" t="s">
        <v>9</v>
      </c>
      <c r="Q21">
        <v>1.9</v>
      </c>
    </row>
    <row r="22" spans="1:17">
      <c r="A22">
        <v>628</v>
      </c>
      <c r="B22" t="s">
        <v>33</v>
      </c>
      <c r="C22">
        <v>0.38</v>
      </c>
      <c r="D22">
        <v>0.30499999999999999</v>
      </c>
      <c r="E22">
        <v>9.5000000000000001E-2</v>
      </c>
      <c r="F22">
        <v>0.28149999999999997</v>
      </c>
      <c r="G22">
        <v>0.1255</v>
      </c>
      <c r="H22">
        <v>5.2499999999999998E-2</v>
      </c>
      <c r="I22">
        <v>0.09</v>
      </c>
      <c r="J22">
        <v>8</v>
      </c>
      <c r="K22">
        <v>15</v>
      </c>
      <c r="L22" t="s">
        <v>60</v>
      </c>
      <c r="M22" t="s">
        <v>61</v>
      </c>
      <c r="N22" t="s">
        <v>45</v>
      </c>
      <c r="O22">
        <v>10</v>
      </c>
      <c r="P22" t="s">
        <v>11</v>
      </c>
      <c r="Q22">
        <v>24.1</v>
      </c>
    </row>
    <row r="23" spans="1:17">
      <c r="A23">
        <v>1671</v>
      </c>
      <c r="B23" t="s">
        <v>33</v>
      </c>
      <c r="C23">
        <v>0.61</v>
      </c>
      <c r="D23">
        <v>0.48499999999999999</v>
      </c>
      <c r="E23">
        <v>0.15</v>
      </c>
      <c r="F23">
        <v>1.2404999999999999</v>
      </c>
      <c r="G23">
        <v>0.60250000000000004</v>
      </c>
      <c r="H23">
        <v>0.29149999999999998</v>
      </c>
      <c r="I23">
        <v>0.3085</v>
      </c>
      <c r="J23">
        <v>12</v>
      </c>
      <c r="K23">
        <v>13</v>
      </c>
      <c r="L23" t="s">
        <v>43</v>
      </c>
      <c r="M23" t="s">
        <v>44</v>
      </c>
      <c r="N23" t="s">
        <v>45</v>
      </c>
      <c r="O23">
        <v>10</v>
      </c>
      <c r="P23" t="s">
        <v>11</v>
      </c>
      <c r="Q23">
        <v>24.1</v>
      </c>
    </row>
    <row r="24" spans="1:17">
      <c r="A24">
        <v>387</v>
      </c>
      <c r="B24" t="s">
        <v>33</v>
      </c>
      <c r="C24">
        <v>0.54</v>
      </c>
      <c r="D24">
        <v>0.42</v>
      </c>
      <c r="E24">
        <v>0.155</v>
      </c>
      <c r="F24">
        <v>0.73850000000000005</v>
      </c>
      <c r="G24">
        <v>0.35149999999999998</v>
      </c>
      <c r="H24">
        <v>0.152</v>
      </c>
      <c r="I24">
        <v>0.215</v>
      </c>
      <c r="J24">
        <v>12</v>
      </c>
      <c r="K24">
        <v>1</v>
      </c>
      <c r="L24" t="s">
        <v>70</v>
      </c>
      <c r="M24" t="s">
        <v>71</v>
      </c>
      <c r="N24" t="s">
        <v>45</v>
      </c>
      <c r="O24">
        <v>6</v>
      </c>
      <c r="P24" t="s">
        <v>7</v>
      </c>
      <c r="Q24">
        <v>14.1</v>
      </c>
    </row>
    <row r="25" spans="1:17">
      <c r="A25">
        <v>3034</v>
      </c>
      <c r="B25" t="s">
        <v>33</v>
      </c>
      <c r="C25">
        <v>0.53500000000000003</v>
      </c>
      <c r="D25">
        <v>0.41</v>
      </c>
      <c r="E25">
        <v>0.12</v>
      </c>
      <c r="F25">
        <v>0.6835</v>
      </c>
      <c r="G25">
        <v>0.3125</v>
      </c>
      <c r="H25">
        <v>0.16550000000000001</v>
      </c>
      <c r="I25">
        <v>0.159</v>
      </c>
      <c r="J25">
        <v>8</v>
      </c>
      <c r="K25">
        <v>11</v>
      </c>
      <c r="L25" t="s">
        <v>65</v>
      </c>
      <c r="M25" t="s">
        <v>66</v>
      </c>
      <c r="N25" t="s">
        <v>45</v>
      </c>
      <c r="O25">
        <v>4</v>
      </c>
      <c r="P25" t="s">
        <v>8</v>
      </c>
      <c r="Q25">
        <v>6.1</v>
      </c>
    </row>
    <row r="26" spans="1:17">
      <c r="A26">
        <v>3032</v>
      </c>
      <c r="B26" t="s">
        <v>33</v>
      </c>
      <c r="C26">
        <v>0.52500000000000002</v>
      </c>
      <c r="D26">
        <v>0.4</v>
      </c>
      <c r="E26">
        <v>0.11</v>
      </c>
      <c r="F26">
        <v>0.62749999999999995</v>
      </c>
      <c r="G26">
        <v>0.30149999999999999</v>
      </c>
      <c r="H26">
        <v>0.126</v>
      </c>
      <c r="I26">
        <v>0.18</v>
      </c>
      <c r="J26">
        <v>8</v>
      </c>
      <c r="K26">
        <v>3</v>
      </c>
      <c r="L26" t="s">
        <v>52</v>
      </c>
      <c r="M26" t="s">
        <v>53</v>
      </c>
      <c r="N26" t="s">
        <v>54</v>
      </c>
      <c r="O26">
        <v>3</v>
      </c>
      <c r="P26" t="s">
        <v>10</v>
      </c>
      <c r="Q26">
        <v>3.6</v>
      </c>
    </row>
    <row r="27" spans="1:17">
      <c r="A27">
        <v>2224</v>
      </c>
      <c r="B27" t="s">
        <v>33</v>
      </c>
      <c r="C27">
        <v>0.55500000000000005</v>
      </c>
      <c r="D27">
        <v>0.45500000000000002</v>
      </c>
      <c r="E27">
        <v>0.18</v>
      </c>
      <c r="F27">
        <v>0.95799999999999996</v>
      </c>
      <c r="G27">
        <v>0.29599999999999999</v>
      </c>
      <c r="H27">
        <v>0.19500000000000001</v>
      </c>
      <c r="I27">
        <v>0.39</v>
      </c>
      <c r="J27">
        <v>14</v>
      </c>
      <c r="K27">
        <v>8</v>
      </c>
      <c r="L27" t="s">
        <v>55</v>
      </c>
      <c r="M27" t="s">
        <v>56</v>
      </c>
      <c r="N27" t="s">
        <v>57</v>
      </c>
      <c r="O27">
        <v>7</v>
      </c>
      <c r="P27" t="s">
        <v>6</v>
      </c>
      <c r="Q27">
        <v>2.5</v>
      </c>
    </row>
    <row r="28" spans="1:17">
      <c r="A28">
        <v>953</v>
      </c>
      <c r="B28" t="s">
        <v>33</v>
      </c>
      <c r="C28">
        <v>0.48</v>
      </c>
      <c r="D28">
        <v>0.36499999999999999</v>
      </c>
      <c r="E28">
        <v>0.12</v>
      </c>
      <c r="F28">
        <v>0.60150000000000003</v>
      </c>
      <c r="G28">
        <v>0.312</v>
      </c>
      <c r="H28">
        <v>0.11700000000000001</v>
      </c>
      <c r="I28">
        <v>0.14000000000000001</v>
      </c>
      <c r="J28">
        <v>7</v>
      </c>
      <c r="K28">
        <v>6</v>
      </c>
      <c r="L28" t="s">
        <v>46</v>
      </c>
      <c r="M28" t="s">
        <v>47</v>
      </c>
      <c r="N28" t="s">
        <v>48</v>
      </c>
      <c r="O28">
        <v>4</v>
      </c>
      <c r="P28" t="s">
        <v>8</v>
      </c>
      <c r="Q28">
        <v>6.1</v>
      </c>
    </row>
    <row r="29" spans="1:17">
      <c r="A29">
        <v>2649</v>
      </c>
      <c r="B29" t="s">
        <v>33</v>
      </c>
      <c r="C29">
        <v>0.5</v>
      </c>
      <c r="D29">
        <v>0.38</v>
      </c>
      <c r="E29">
        <v>0.12</v>
      </c>
      <c r="F29">
        <v>0.57650000000000001</v>
      </c>
      <c r="G29">
        <v>0.27300000000000002</v>
      </c>
      <c r="H29">
        <v>0.13500000000000001</v>
      </c>
      <c r="I29">
        <v>0.14499999999999999</v>
      </c>
      <c r="J29">
        <v>9</v>
      </c>
      <c r="K29">
        <v>12</v>
      </c>
      <c r="L29" t="s">
        <v>58</v>
      </c>
      <c r="M29" t="s">
        <v>59</v>
      </c>
      <c r="N29" t="s">
        <v>45</v>
      </c>
      <c r="O29">
        <v>7</v>
      </c>
      <c r="P29" t="s">
        <v>6</v>
      </c>
      <c r="Q29">
        <v>2.5</v>
      </c>
    </row>
    <row r="30" spans="1:17">
      <c r="A30">
        <v>932</v>
      </c>
      <c r="B30" t="s">
        <v>33</v>
      </c>
      <c r="C30">
        <v>0.44500000000000001</v>
      </c>
      <c r="D30">
        <v>0.33500000000000002</v>
      </c>
      <c r="E30">
        <v>0.11</v>
      </c>
      <c r="F30">
        <v>0.4355</v>
      </c>
      <c r="G30">
        <v>0.20250000000000001</v>
      </c>
      <c r="H30">
        <v>0.1095</v>
      </c>
      <c r="I30">
        <v>0.1195</v>
      </c>
      <c r="J30">
        <v>6</v>
      </c>
      <c r="K30">
        <v>15</v>
      </c>
      <c r="L30" t="s">
        <v>60</v>
      </c>
      <c r="M30" t="s">
        <v>61</v>
      </c>
      <c r="N30" t="s">
        <v>45</v>
      </c>
      <c r="O30">
        <v>5</v>
      </c>
      <c r="P30" t="s">
        <v>12</v>
      </c>
      <c r="Q30">
        <v>12.8</v>
      </c>
    </row>
    <row r="31" spans="1:17">
      <c r="A31">
        <v>3844</v>
      </c>
      <c r="B31" t="s">
        <v>33</v>
      </c>
      <c r="C31">
        <v>0.57499999999999996</v>
      </c>
      <c r="D31">
        <v>0.45</v>
      </c>
      <c r="E31">
        <v>0.16</v>
      </c>
      <c r="F31">
        <v>0.95499999999999996</v>
      </c>
      <c r="G31">
        <v>0.44</v>
      </c>
      <c r="H31">
        <v>0.16850000000000001</v>
      </c>
      <c r="I31">
        <v>0.27</v>
      </c>
      <c r="J31">
        <v>16</v>
      </c>
      <c r="K31">
        <v>3</v>
      </c>
      <c r="L31" t="s">
        <v>52</v>
      </c>
      <c r="M31" t="s">
        <v>53</v>
      </c>
      <c r="N31" t="s">
        <v>54</v>
      </c>
      <c r="O31">
        <v>3</v>
      </c>
      <c r="P31" t="s">
        <v>10</v>
      </c>
      <c r="Q31">
        <v>3.6</v>
      </c>
    </row>
    <row r="32" spans="1:17">
      <c r="A32">
        <v>2065</v>
      </c>
      <c r="B32" t="s">
        <v>33</v>
      </c>
      <c r="C32">
        <v>0.53500000000000003</v>
      </c>
      <c r="D32">
        <v>0.42</v>
      </c>
      <c r="E32">
        <v>0.125</v>
      </c>
      <c r="F32">
        <v>0.73799999999999999</v>
      </c>
      <c r="G32">
        <v>0.35499999999999998</v>
      </c>
      <c r="H32">
        <v>0.1895</v>
      </c>
      <c r="I32">
        <v>0.17949999999999999</v>
      </c>
      <c r="J32">
        <v>8</v>
      </c>
      <c r="K32">
        <v>12</v>
      </c>
      <c r="L32" t="s">
        <v>58</v>
      </c>
      <c r="M32" t="s">
        <v>59</v>
      </c>
      <c r="N32" t="s">
        <v>45</v>
      </c>
      <c r="O32">
        <v>7</v>
      </c>
      <c r="P32" t="s">
        <v>6</v>
      </c>
      <c r="Q32">
        <v>2.5</v>
      </c>
    </row>
    <row r="33" spans="1:17">
      <c r="A33">
        <v>4141</v>
      </c>
      <c r="B33" t="s">
        <v>33</v>
      </c>
      <c r="C33">
        <v>0.64500000000000002</v>
      </c>
      <c r="D33">
        <v>0.53500000000000003</v>
      </c>
      <c r="E33">
        <v>0.19</v>
      </c>
      <c r="F33">
        <v>1.2395</v>
      </c>
      <c r="G33">
        <v>0.46800000000000003</v>
      </c>
      <c r="H33">
        <v>0.23849999999999999</v>
      </c>
      <c r="I33">
        <v>0.42399999999999999</v>
      </c>
      <c r="J33">
        <v>10</v>
      </c>
      <c r="K33">
        <v>11</v>
      </c>
      <c r="L33" t="s">
        <v>65</v>
      </c>
      <c r="M33" t="s">
        <v>66</v>
      </c>
      <c r="N33" t="s">
        <v>45</v>
      </c>
      <c r="O33">
        <v>1</v>
      </c>
      <c r="P33" t="s">
        <v>4</v>
      </c>
      <c r="Q33">
        <v>22.1</v>
      </c>
    </row>
    <row r="34" spans="1:17">
      <c r="A34">
        <v>3261</v>
      </c>
      <c r="B34" t="s">
        <v>33</v>
      </c>
      <c r="C34">
        <v>0.56000000000000005</v>
      </c>
      <c r="D34">
        <v>0.435</v>
      </c>
      <c r="E34">
        <v>0.125</v>
      </c>
      <c r="F34">
        <v>0.87749999999999995</v>
      </c>
      <c r="G34">
        <v>0.33450000000000002</v>
      </c>
      <c r="H34">
        <v>0.2145</v>
      </c>
      <c r="I34">
        <v>0.28999999999999998</v>
      </c>
      <c r="J34">
        <v>13</v>
      </c>
      <c r="K34">
        <v>4</v>
      </c>
      <c r="L34" t="s">
        <v>40</v>
      </c>
      <c r="M34" t="s">
        <v>41</v>
      </c>
      <c r="N34" t="s">
        <v>42</v>
      </c>
      <c r="O34">
        <v>5</v>
      </c>
      <c r="P34" t="s">
        <v>12</v>
      </c>
      <c r="Q34">
        <v>12.8</v>
      </c>
    </row>
    <row r="35" spans="1:17">
      <c r="A35">
        <v>947</v>
      </c>
      <c r="B35" t="s">
        <v>33</v>
      </c>
      <c r="C35">
        <v>0.47</v>
      </c>
      <c r="D35">
        <v>0.36499999999999999</v>
      </c>
      <c r="E35">
        <v>0.12</v>
      </c>
      <c r="F35">
        <v>0.58199999999999996</v>
      </c>
      <c r="G35">
        <v>0.28999999999999998</v>
      </c>
      <c r="H35">
        <v>9.1999999999999998E-2</v>
      </c>
      <c r="I35">
        <v>0.14599999999999999</v>
      </c>
      <c r="J35">
        <v>8</v>
      </c>
      <c r="K35">
        <v>14</v>
      </c>
      <c r="L35" t="s">
        <v>72</v>
      </c>
      <c r="M35" t="s">
        <v>73</v>
      </c>
      <c r="N35" t="s">
        <v>74</v>
      </c>
      <c r="O35">
        <v>6</v>
      </c>
      <c r="P35" t="s">
        <v>7</v>
      </c>
      <c r="Q35">
        <v>14.1</v>
      </c>
    </row>
    <row r="36" spans="1:17">
      <c r="A36">
        <v>2976</v>
      </c>
      <c r="B36" t="s">
        <v>33</v>
      </c>
      <c r="C36">
        <v>0.32</v>
      </c>
      <c r="D36">
        <v>0.215</v>
      </c>
      <c r="E36">
        <v>9.5000000000000001E-2</v>
      </c>
      <c r="F36">
        <v>0.30499999999999999</v>
      </c>
      <c r="G36">
        <v>0.14000000000000001</v>
      </c>
      <c r="H36">
        <v>6.7000000000000004E-2</v>
      </c>
      <c r="I36">
        <v>8.8499999999999995E-2</v>
      </c>
      <c r="J36">
        <v>6</v>
      </c>
      <c r="K36">
        <v>5</v>
      </c>
      <c r="L36" t="s">
        <v>67</v>
      </c>
      <c r="M36" t="s">
        <v>68</v>
      </c>
      <c r="N36" t="s">
        <v>69</v>
      </c>
      <c r="O36">
        <v>9</v>
      </c>
      <c r="P36" t="s">
        <v>9</v>
      </c>
      <c r="Q36">
        <v>1.9</v>
      </c>
    </row>
    <row r="37" spans="1:17">
      <c r="A37">
        <v>3575</v>
      </c>
      <c r="B37" t="s">
        <v>33</v>
      </c>
      <c r="C37">
        <v>0.6</v>
      </c>
      <c r="D37">
        <v>0.47</v>
      </c>
      <c r="E37">
        <v>0.17</v>
      </c>
      <c r="F37">
        <v>1.0805</v>
      </c>
      <c r="G37">
        <v>0.4995</v>
      </c>
      <c r="H37">
        <v>0.22450000000000001</v>
      </c>
      <c r="I37">
        <v>0.32050000000000001</v>
      </c>
      <c r="J37">
        <v>9</v>
      </c>
      <c r="K37">
        <v>4</v>
      </c>
      <c r="L37" t="s">
        <v>40</v>
      </c>
      <c r="M37" t="s">
        <v>41</v>
      </c>
      <c r="N37" t="s">
        <v>42</v>
      </c>
      <c r="O37">
        <v>10</v>
      </c>
      <c r="P37" t="s">
        <v>11</v>
      </c>
      <c r="Q37">
        <v>24.1</v>
      </c>
    </row>
    <row r="38" spans="1:17">
      <c r="A38">
        <v>3644</v>
      </c>
      <c r="B38" t="s">
        <v>33</v>
      </c>
      <c r="C38">
        <v>0.47</v>
      </c>
      <c r="D38">
        <v>0.34499999999999997</v>
      </c>
      <c r="E38">
        <v>0.12</v>
      </c>
      <c r="F38">
        <v>0.36849999999999999</v>
      </c>
      <c r="G38">
        <v>0.1525</v>
      </c>
      <c r="H38">
        <v>6.1499999999999999E-2</v>
      </c>
      <c r="I38">
        <v>0.125</v>
      </c>
      <c r="J38">
        <v>8</v>
      </c>
      <c r="K38">
        <v>6</v>
      </c>
      <c r="L38" t="s">
        <v>46</v>
      </c>
      <c r="M38" t="s">
        <v>47</v>
      </c>
      <c r="N38" t="s">
        <v>48</v>
      </c>
      <c r="O38">
        <v>1</v>
      </c>
      <c r="P38" t="s">
        <v>4</v>
      </c>
      <c r="Q38">
        <v>22.1</v>
      </c>
    </row>
    <row r="39" spans="1:17">
      <c r="A39">
        <v>1587</v>
      </c>
      <c r="B39" t="s">
        <v>33</v>
      </c>
      <c r="C39">
        <v>0.51500000000000001</v>
      </c>
      <c r="D39">
        <v>0.35</v>
      </c>
      <c r="E39">
        <v>0.105</v>
      </c>
      <c r="F39">
        <v>0.47449999999999998</v>
      </c>
      <c r="G39">
        <v>0.21299999999999999</v>
      </c>
      <c r="H39">
        <v>0.123</v>
      </c>
      <c r="I39">
        <v>0.1275</v>
      </c>
      <c r="J39">
        <v>10</v>
      </c>
      <c r="K39">
        <v>7</v>
      </c>
      <c r="L39" t="s">
        <v>62</v>
      </c>
      <c r="M39" t="s">
        <v>63</v>
      </c>
      <c r="N39" t="s">
        <v>64</v>
      </c>
      <c r="O39">
        <v>5</v>
      </c>
      <c r="P39" t="s">
        <v>12</v>
      </c>
      <c r="Q39">
        <v>12.8</v>
      </c>
    </row>
    <row r="40" spans="1:17">
      <c r="A40">
        <v>637</v>
      </c>
      <c r="B40" t="s">
        <v>33</v>
      </c>
      <c r="C40">
        <v>0.38</v>
      </c>
      <c r="D40">
        <v>0.23499999999999999</v>
      </c>
      <c r="E40">
        <v>0.1</v>
      </c>
      <c r="F40">
        <v>0.25800000000000001</v>
      </c>
      <c r="G40">
        <v>0.1055</v>
      </c>
      <c r="H40">
        <v>5.3999999999999999E-2</v>
      </c>
      <c r="I40">
        <v>0.08</v>
      </c>
      <c r="J40">
        <v>7</v>
      </c>
      <c r="K40">
        <v>14</v>
      </c>
      <c r="L40" t="s">
        <v>72</v>
      </c>
      <c r="M40" t="s">
        <v>73</v>
      </c>
      <c r="N40" t="s">
        <v>74</v>
      </c>
      <c r="O40">
        <v>3</v>
      </c>
      <c r="P40" t="s">
        <v>10</v>
      </c>
      <c r="Q40">
        <v>3.6</v>
      </c>
    </row>
    <row r="41" spans="1:17">
      <c r="A41">
        <v>1694</v>
      </c>
      <c r="B41" t="s">
        <v>33</v>
      </c>
      <c r="C41">
        <v>0.625</v>
      </c>
      <c r="D41">
        <v>0.48499999999999999</v>
      </c>
      <c r="E41">
        <v>0.15</v>
      </c>
      <c r="F41">
        <v>1.044</v>
      </c>
      <c r="G41">
        <v>0.438</v>
      </c>
      <c r="H41">
        <v>0.28649999999999998</v>
      </c>
      <c r="I41">
        <v>0.27800000000000002</v>
      </c>
      <c r="J41">
        <v>9</v>
      </c>
      <c r="K41">
        <v>8</v>
      </c>
      <c r="L41" t="s">
        <v>55</v>
      </c>
      <c r="M41" t="s">
        <v>56</v>
      </c>
      <c r="N41" t="s">
        <v>57</v>
      </c>
      <c r="O41">
        <v>4</v>
      </c>
      <c r="P41" t="s">
        <v>8</v>
      </c>
      <c r="Q41">
        <v>6.1</v>
      </c>
    </row>
    <row r="42" spans="1:17">
      <c r="A42">
        <v>4036</v>
      </c>
      <c r="B42" t="s">
        <v>33</v>
      </c>
      <c r="C42">
        <v>0.52</v>
      </c>
      <c r="D42">
        <v>0.41</v>
      </c>
      <c r="E42">
        <v>0.14000000000000001</v>
      </c>
      <c r="F42">
        <v>0.59950000000000003</v>
      </c>
      <c r="G42">
        <v>0.24199999999999999</v>
      </c>
      <c r="H42">
        <v>0.13750000000000001</v>
      </c>
      <c r="I42">
        <v>0.182</v>
      </c>
      <c r="J42">
        <v>11</v>
      </c>
      <c r="K42">
        <v>5</v>
      </c>
      <c r="L42" t="s">
        <v>67</v>
      </c>
      <c r="M42" t="s">
        <v>68</v>
      </c>
      <c r="N42" t="s">
        <v>69</v>
      </c>
      <c r="O42">
        <v>3</v>
      </c>
      <c r="P42" t="s">
        <v>10</v>
      </c>
      <c r="Q42">
        <v>3.6</v>
      </c>
    </row>
    <row r="43" spans="1:17">
      <c r="A43">
        <v>3278</v>
      </c>
      <c r="B43" t="s">
        <v>33</v>
      </c>
      <c r="C43">
        <v>0.46500000000000002</v>
      </c>
      <c r="D43">
        <v>0.39</v>
      </c>
      <c r="E43">
        <v>0.14000000000000001</v>
      </c>
      <c r="F43">
        <v>0.55549999999999999</v>
      </c>
      <c r="G43">
        <v>0.21299999999999999</v>
      </c>
      <c r="H43">
        <v>0.1075</v>
      </c>
      <c r="I43">
        <v>0.215</v>
      </c>
      <c r="J43">
        <v>15</v>
      </c>
      <c r="K43">
        <v>7</v>
      </c>
      <c r="L43" t="s">
        <v>62</v>
      </c>
      <c r="M43" t="s">
        <v>63</v>
      </c>
      <c r="N43" t="s">
        <v>64</v>
      </c>
      <c r="O43">
        <v>6</v>
      </c>
      <c r="P43" t="s">
        <v>7</v>
      </c>
      <c r="Q43">
        <v>14.1</v>
      </c>
    </row>
    <row r="44" spans="1:17">
      <c r="A44">
        <v>509</v>
      </c>
      <c r="B44" t="s">
        <v>33</v>
      </c>
      <c r="C44">
        <v>0.56000000000000005</v>
      </c>
      <c r="D44">
        <v>0.435</v>
      </c>
      <c r="E44">
        <v>0.18</v>
      </c>
      <c r="F44">
        <v>0.88900000000000001</v>
      </c>
      <c r="G44">
        <v>0.36</v>
      </c>
      <c r="H44">
        <v>0.20399999999999999</v>
      </c>
      <c r="I44">
        <v>0.25</v>
      </c>
      <c r="J44">
        <v>11</v>
      </c>
      <c r="K44">
        <v>5</v>
      </c>
      <c r="L44" t="s">
        <v>67</v>
      </c>
      <c r="M44" t="s">
        <v>68</v>
      </c>
      <c r="N44" t="s">
        <v>69</v>
      </c>
      <c r="O44">
        <v>9</v>
      </c>
      <c r="P44" t="s">
        <v>9</v>
      </c>
      <c r="Q44">
        <v>1.9</v>
      </c>
    </row>
    <row r="45" spans="1:17">
      <c r="A45">
        <v>1960</v>
      </c>
      <c r="B45" t="s">
        <v>33</v>
      </c>
      <c r="C45">
        <v>0.65</v>
      </c>
      <c r="D45">
        <v>0.51</v>
      </c>
      <c r="E45">
        <v>0.155</v>
      </c>
      <c r="F45">
        <v>1.1890000000000001</v>
      </c>
      <c r="G45">
        <v>0.48299999999999998</v>
      </c>
      <c r="H45">
        <v>0.27800000000000002</v>
      </c>
      <c r="I45">
        <v>0.36449999999999999</v>
      </c>
      <c r="J45">
        <v>13</v>
      </c>
      <c r="K45">
        <v>10</v>
      </c>
      <c r="L45" t="s">
        <v>37</v>
      </c>
      <c r="M45" t="s">
        <v>38</v>
      </c>
      <c r="N45" t="s">
        <v>39</v>
      </c>
      <c r="O45">
        <v>1</v>
      </c>
      <c r="P45" t="s">
        <v>4</v>
      </c>
      <c r="Q45">
        <v>22.1</v>
      </c>
    </row>
    <row r="46" spans="1:17">
      <c r="A46">
        <v>2210</v>
      </c>
      <c r="B46" t="s">
        <v>33</v>
      </c>
      <c r="C46">
        <v>0.55000000000000004</v>
      </c>
      <c r="D46">
        <v>0.46500000000000002</v>
      </c>
      <c r="E46">
        <v>0.18</v>
      </c>
      <c r="F46">
        <v>1.2124999999999999</v>
      </c>
      <c r="G46">
        <v>0.32450000000000001</v>
      </c>
      <c r="H46">
        <v>0.20499999999999999</v>
      </c>
      <c r="I46">
        <v>0.52500000000000002</v>
      </c>
      <c r="J46">
        <v>27</v>
      </c>
      <c r="K46">
        <v>15</v>
      </c>
      <c r="L46" t="s">
        <v>60</v>
      </c>
      <c r="M46" t="s">
        <v>61</v>
      </c>
      <c r="N46" t="s">
        <v>45</v>
      </c>
      <c r="O46">
        <v>4</v>
      </c>
      <c r="P46" t="s">
        <v>8</v>
      </c>
      <c r="Q46">
        <v>6.1</v>
      </c>
    </row>
    <row r="47" spans="1:17">
      <c r="A47">
        <v>20</v>
      </c>
      <c r="B47" t="s">
        <v>33</v>
      </c>
      <c r="C47">
        <v>0.45</v>
      </c>
      <c r="D47">
        <v>0.32</v>
      </c>
      <c r="E47">
        <v>0.1</v>
      </c>
      <c r="F47">
        <v>0.38100000000000001</v>
      </c>
      <c r="G47">
        <v>0.17050000000000001</v>
      </c>
      <c r="H47">
        <v>7.4999999999999997E-2</v>
      </c>
      <c r="I47">
        <v>0.115</v>
      </c>
      <c r="J47">
        <v>9</v>
      </c>
      <c r="K47">
        <v>4</v>
      </c>
      <c r="L47" t="s">
        <v>40</v>
      </c>
      <c r="M47" t="s">
        <v>41</v>
      </c>
      <c r="N47" t="s">
        <v>42</v>
      </c>
      <c r="O47">
        <v>8</v>
      </c>
      <c r="P47" t="s">
        <v>13</v>
      </c>
      <c r="Q47">
        <v>12.3</v>
      </c>
    </row>
    <row r="48" spans="1:17">
      <c r="A48">
        <v>853</v>
      </c>
      <c r="B48" t="s">
        <v>33</v>
      </c>
      <c r="C48">
        <v>0.56499999999999995</v>
      </c>
      <c r="D48">
        <v>0.45</v>
      </c>
      <c r="E48">
        <v>0.155</v>
      </c>
      <c r="F48">
        <v>1.0595000000000001</v>
      </c>
      <c r="G48">
        <v>0.47349999999999998</v>
      </c>
      <c r="H48">
        <v>0.24</v>
      </c>
      <c r="I48">
        <v>0.26500000000000001</v>
      </c>
      <c r="J48">
        <v>10</v>
      </c>
      <c r="K48">
        <v>5</v>
      </c>
      <c r="L48" t="s">
        <v>67</v>
      </c>
      <c r="M48" t="s">
        <v>68</v>
      </c>
      <c r="N48" t="s">
        <v>69</v>
      </c>
      <c r="O48">
        <v>6</v>
      </c>
      <c r="P48" t="s">
        <v>7</v>
      </c>
      <c r="Q48">
        <v>14.1</v>
      </c>
    </row>
    <row r="49" spans="1:17">
      <c r="A49">
        <v>2824</v>
      </c>
      <c r="B49" t="s">
        <v>33</v>
      </c>
      <c r="C49">
        <v>0.45500000000000002</v>
      </c>
      <c r="D49">
        <v>0.35</v>
      </c>
      <c r="E49">
        <v>0.105</v>
      </c>
      <c r="F49">
        <v>0.44450000000000001</v>
      </c>
      <c r="G49">
        <v>0.21299999999999999</v>
      </c>
      <c r="H49">
        <v>0.107</v>
      </c>
      <c r="I49">
        <v>0.1115</v>
      </c>
      <c r="J49">
        <v>7</v>
      </c>
      <c r="K49">
        <v>10</v>
      </c>
      <c r="L49" t="s">
        <v>37</v>
      </c>
      <c r="M49" t="s">
        <v>38</v>
      </c>
      <c r="N49" t="s">
        <v>39</v>
      </c>
      <c r="O49">
        <v>10</v>
      </c>
      <c r="P49" t="s">
        <v>11</v>
      </c>
      <c r="Q49">
        <v>24.1</v>
      </c>
    </row>
    <row r="50" spans="1:17">
      <c r="A50">
        <v>804</v>
      </c>
      <c r="B50" t="s">
        <v>33</v>
      </c>
      <c r="C50">
        <v>0.37</v>
      </c>
      <c r="D50">
        <v>0.27500000000000002</v>
      </c>
      <c r="E50">
        <v>0.1</v>
      </c>
      <c r="F50">
        <v>0.22</v>
      </c>
      <c r="G50">
        <v>9.4E-2</v>
      </c>
      <c r="H50">
        <v>4.4999999999999998E-2</v>
      </c>
      <c r="I50">
        <v>6.5000000000000002E-2</v>
      </c>
      <c r="J50">
        <v>7</v>
      </c>
      <c r="K50">
        <v>10</v>
      </c>
      <c r="L50" t="s">
        <v>37</v>
      </c>
      <c r="M50" t="s">
        <v>38</v>
      </c>
      <c r="N50" t="s">
        <v>39</v>
      </c>
      <c r="O50">
        <v>10</v>
      </c>
      <c r="P50" t="s">
        <v>11</v>
      </c>
      <c r="Q50">
        <v>24.1</v>
      </c>
    </row>
    <row r="51" spans="1:17">
      <c r="A51">
        <v>2478</v>
      </c>
      <c r="B51" t="s">
        <v>33</v>
      </c>
      <c r="C51">
        <v>0.56999999999999995</v>
      </c>
      <c r="D51">
        <v>0.42</v>
      </c>
      <c r="E51">
        <v>0.155</v>
      </c>
      <c r="F51">
        <v>1.008</v>
      </c>
      <c r="G51">
        <v>0.377</v>
      </c>
      <c r="H51">
        <v>0.193</v>
      </c>
      <c r="I51">
        <v>0.34</v>
      </c>
      <c r="J51">
        <v>13</v>
      </c>
      <c r="K51">
        <v>12</v>
      </c>
      <c r="L51" t="s">
        <v>58</v>
      </c>
      <c r="M51" t="s">
        <v>59</v>
      </c>
      <c r="N51" t="s">
        <v>45</v>
      </c>
      <c r="O51">
        <v>10</v>
      </c>
      <c r="P51" t="s">
        <v>11</v>
      </c>
      <c r="Q51">
        <v>24.1</v>
      </c>
    </row>
    <row r="52" spans="1:17">
      <c r="A52">
        <v>2011</v>
      </c>
      <c r="B52" t="s">
        <v>33</v>
      </c>
      <c r="C52">
        <v>0.435</v>
      </c>
      <c r="D52">
        <v>0.32500000000000001</v>
      </c>
      <c r="E52">
        <v>0.12</v>
      </c>
      <c r="F52">
        <v>0.34599999999999997</v>
      </c>
      <c r="G52">
        <v>0.159</v>
      </c>
      <c r="H52">
        <v>8.4000000000000005E-2</v>
      </c>
      <c r="I52">
        <v>9.5000000000000001E-2</v>
      </c>
      <c r="J52">
        <v>7</v>
      </c>
      <c r="K52">
        <v>5</v>
      </c>
      <c r="L52" t="s">
        <v>67</v>
      </c>
      <c r="M52" t="s">
        <v>68</v>
      </c>
      <c r="N52" t="s">
        <v>69</v>
      </c>
      <c r="O52">
        <v>8</v>
      </c>
      <c r="P52" t="s">
        <v>13</v>
      </c>
      <c r="Q52">
        <v>12.3</v>
      </c>
    </row>
    <row r="53" spans="1:17">
      <c r="A53">
        <v>3139</v>
      </c>
      <c r="B53" t="s">
        <v>33</v>
      </c>
      <c r="C53">
        <v>0.51</v>
      </c>
      <c r="D53">
        <v>0.4</v>
      </c>
      <c r="E53">
        <v>0.14000000000000001</v>
      </c>
      <c r="F53">
        <v>0.6905</v>
      </c>
      <c r="G53">
        <v>0.25900000000000001</v>
      </c>
      <c r="H53">
        <v>0.151</v>
      </c>
      <c r="I53">
        <v>0.23</v>
      </c>
      <c r="J53">
        <v>10</v>
      </c>
      <c r="K53">
        <v>11</v>
      </c>
      <c r="L53" t="s">
        <v>65</v>
      </c>
      <c r="M53" t="s">
        <v>66</v>
      </c>
      <c r="N53" t="s">
        <v>45</v>
      </c>
      <c r="O53">
        <v>2</v>
      </c>
      <c r="P53" t="s">
        <v>5</v>
      </c>
      <c r="Q53">
        <v>18</v>
      </c>
    </row>
    <row r="54" spans="1:17">
      <c r="A54">
        <v>19</v>
      </c>
      <c r="B54" t="s">
        <v>33</v>
      </c>
      <c r="C54">
        <v>0.36499999999999999</v>
      </c>
      <c r="D54">
        <v>0.29499999999999998</v>
      </c>
      <c r="E54">
        <v>0.08</v>
      </c>
      <c r="F54">
        <v>0.2555</v>
      </c>
      <c r="G54">
        <v>9.7000000000000003E-2</v>
      </c>
      <c r="H54">
        <v>4.2999999999999997E-2</v>
      </c>
      <c r="I54">
        <v>0.1</v>
      </c>
      <c r="J54">
        <v>7</v>
      </c>
      <c r="K54">
        <v>5</v>
      </c>
      <c r="L54" t="s">
        <v>67</v>
      </c>
      <c r="M54" t="s">
        <v>68</v>
      </c>
      <c r="N54" t="s">
        <v>69</v>
      </c>
      <c r="O54">
        <v>4</v>
      </c>
      <c r="P54" t="s">
        <v>8</v>
      </c>
      <c r="Q54">
        <v>6.1</v>
      </c>
    </row>
    <row r="55" spans="1:17">
      <c r="A55">
        <v>3669</v>
      </c>
      <c r="B55" t="s">
        <v>33</v>
      </c>
      <c r="C55">
        <v>0.58499999999999996</v>
      </c>
      <c r="D55">
        <v>0.46500000000000002</v>
      </c>
      <c r="E55">
        <v>0.14499999999999999</v>
      </c>
      <c r="F55">
        <v>0.98550000000000004</v>
      </c>
      <c r="G55">
        <v>0.4325</v>
      </c>
      <c r="H55">
        <v>0.2145</v>
      </c>
      <c r="I55">
        <v>0.28449999999999998</v>
      </c>
      <c r="J55">
        <v>10</v>
      </c>
      <c r="K55">
        <v>8</v>
      </c>
      <c r="L55" t="s">
        <v>55</v>
      </c>
      <c r="M55" t="s">
        <v>56</v>
      </c>
      <c r="N55" t="s">
        <v>57</v>
      </c>
      <c r="O55">
        <v>9</v>
      </c>
      <c r="P55" t="s">
        <v>9</v>
      </c>
      <c r="Q55">
        <v>1.9</v>
      </c>
    </row>
    <row r="56" spans="1:17">
      <c r="A56">
        <v>3917</v>
      </c>
      <c r="B56" t="s">
        <v>33</v>
      </c>
      <c r="C56">
        <v>0.52</v>
      </c>
      <c r="D56">
        <v>0.41</v>
      </c>
      <c r="E56">
        <v>0.16</v>
      </c>
      <c r="F56">
        <v>0.71199999999999997</v>
      </c>
      <c r="G56">
        <v>0.28449999999999998</v>
      </c>
      <c r="H56">
        <v>0.153</v>
      </c>
      <c r="I56">
        <v>0.22500000000000001</v>
      </c>
      <c r="J56">
        <v>10</v>
      </c>
      <c r="K56">
        <v>6</v>
      </c>
      <c r="L56" t="s">
        <v>46</v>
      </c>
      <c r="M56" t="s">
        <v>47</v>
      </c>
      <c r="N56" t="s">
        <v>48</v>
      </c>
      <c r="O56">
        <v>5</v>
      </c>
      <c r="P56" t="s">
        <v>12</v>
      </c>
      <c r="Q56">
        <v>12.8</v>
      </c>
    </row>
    <row r="57" spans="1:17">
      <c r="A57">
        <v>2247</v>
      </c>
      <c r="B57" t="s">
        <v>33</v>
      </c>
      <c r="C57">
        <v>0.38</v>
      </c>
      <c r="D57">
        <v>0.32500000000000001</v>
      </c>
      <c r="E57">
        <v>0.11</v>
      </c>
      <c r="F57">
        <v>0.3105</v>
      </c>
      <c r="G57">
        <v>0.12</v>
      </c>
      <c r="H57">
        <v>7.3999999999999996E-2</v>
      </c>
      <c r="I57">
        <v>0.105</v>
      </c>
      <c r="J57">
        <v>10</v>
      </c>
      <c r="K57">
        <v>13</v>
      </c>
      <c r="L57" t="s">
        <v>43</v>
      </c>
      <c r="M57" t="s">
        <v>44</v>
      </c>
      <c r="N57" t="s">
        <v>45</v>
      </c>
      <c r="O57">
        <v>5</v>
      </c>
      <c r="P57" t="s">
        <v>12</v>
      </c>
      <c r="Q57">
        <v>12.8</v>
      </c>
    </row>
    <row r="58" spans="1:17">
      <c r="A58">
        <v>2524</v>
      </c>
      <c r="B58" t="s">
        <v>33</v>
      </c>
      <c r="C58">
        <v>0.56499999999999995</v>
      </c>
      <c r="D58">
        <v>0.44</v>
      </c>
      <c r="E58">
        <v>0.15</v>
      </c>
      <c r="F58">
        <v>0.98299999999999998</v>
      </c>
      <c r="G58">
        <v>0.44750000000000001</v>
      </c>
      <c r="H58">
        <v>0.23549999999999999</v>
      </c>
      <c r="I58">
        <v>0.2485</v>
      </c>
      <c r="J58">
        <v>9</v>
      </c>
      <c r="K58">
        <v>7</v>
      </c>
      <c r="L58" t="s">
        <v>62</v>
      </c>
      <c r="M58" t="s">
        <v>63</v>
      </c>
      <c r="N58" t="s">
        <v>64</v>
      </c>
      <c r="O58">
        <v>1</v>
      </c>
      <c r="P58" t="s">
        <v>4</v>
      </c>
      <c r="Q58">
        <v>22.1</v>
      </c>
    </row>
    <row r="59" spans="1:17">
      <c r="A59">
        <v>667</v>
      </c>
      <c r="B59" t="s">
        <v>33</v>
      </c>
      <c r="C59">
        <v>0.45500000000000002</v>
      </c>
      <c r="D59">
        <v>0.35</v>
      </c>
      <c r="E59">
        <v>0.12</v>
      </c>
      <c r="F59">
        <v>0.48349999999999999</v>
      </c>
      <c r="G59">
        <v>0.18149999999999999</v>
      </c>
      <c r="H59">
        <v>0.14399999999999999</v>
      </c>
      <c r="I59">
        <v>0.16</v>
      </c>
      <c r="J59">
        <v>11</v>
      </c>
      <c r="K59">
        <v>3</v>
      </c>
      <c r="L59" t="s">
        <v>52</v>
      </c>
      <c r="M59" t="s">
        <v>53</v>
      </c>
      <c r="N59" t="s">
        <v>54</v>
      </c>
      <c r="O59">
        <v>5</v>
      </c>
      <c r="P59" t="s">
        <v>12</v>
      </c>
      <c r="Q59">
        <v>12.8</v>
      </c>
    </row>
    <row r="60" spans="1:17">
      <c r="A60">
        <v>1597</v>
      </c>
      <c r="B60" t="s">
        <v>33</v>
      </c>
      <c r="C60">
        <v>0.53</v>
      </c>
      <c r="D60">
        <v>0.42</v>
      </c>
      <c r="E60">
        <v>0.12</v>
      </c>
      <c r="F60">
        <v>0.59650000000000003</v>
      </c>
      <c r="G60">
        <v>0.2555</v>
      </c>
      <c r="H60">
        <v>0.14099999999999999</v>
      </c>
      <c r="I60">
        <v>0.17699999999999999</v>
      </c>
      <c r="J60">
        <v>7</v>
      </c>
      <c r="K60">
        <v>1</v>
      </c>
      <c r="L60" t="s">
        <v>70</v>
      </c>
      <c r="M60" t="s">
        <v>71</v>
      </c>
      <c r="N60" t="s">
        <v>45</v>
      </c>
      <c r="O60">
        <v>1</v>
      </c>
      <c r="P60" t="s">
        <v>4</v>
      </c>
      <c r="Q60">
        <v>22.1</v>
      </c>
    </row>
    <row r="61" spans="1:17">
      <c r="A61">
        <v>4134</v>
      </c>
      <c r="B61" t="s">
        <v>33</v>
      </c>
      <c r="C61">
        <v>0.58499999999999996</v>
      </c>
      <c r="D61">
        <v>0.45</v>
      </c>
      <c r="E61">
        <v>0.15</v>
      </c>
      <c r="F61">
        <v>0.997</v>
      </c>
      <c r="G61">
        <v>0.40550000000000003</v>
      </c>
      <c r="H61">
        <v>0.28299999999999997</v>
      </c>
      <c r="I61">
        <v>0.251</v>
      </c>
      <c r="J61">
        <v>11</v>
      </c>
      <c r="K61">
        <v>5</v>
      </c>
      <c r="L61" t="s">
        <v>67</v>
      </c>
      <c r="M61" t="s">
        <v>68</v>
      </c>
      <c r="N61" t="s">
        <v>69</v>
      </c>
      <c r="O61">
        <v>1</v>
      </c>
      <c r="P61" t="s">
        <v>4</v>
      </c>
      <c r="Q61">
        <v>22.1</v>
      </c>
    </row>
    <row r="62" spans="1:17">
      <c r="A62">
        <v>535</v>
      </c>
      <c r="B62" t="s">
        <v>33</v>
      </c>
      <c r="C62">
        <v>0.47</v>
      </c>
      <c r="D62">
        <v>0.37</v>
      </c>
      <c r="E62">
        <v>0.14000000000000001</v>
      </c>
      <c r="F62">
        <v>0.4985</v>
      </c>
      <c r="G62">
        <v>0.20949999999999999</v>
      </c>
      <c r="H62">
        <v>0.1225</v>
      </c>
      <c r="I62">
        <v>0.14499999999999999</v>
      </c>
      <c r="J62">
        <v>10</v>
      </c>
      <c r="K62">
        <v>7</v>
      </c>
      <c r="L62" t="s">
        <v>62</v>
      </c>
      <c r="M62" t="s">
        <v>63</v>
      </c>
      <c r="N62" t="s">
        <v>64</v>
      </c>
      <c r="O62">
        <v>5</v>
      </c>
      <c r="P62" t="s">
        <v>12</v>
      </c>
      <c r="Q62">
        <v>12.8</v>
      </c>
    </row>
    <row r="63" spans="1:17">
      <c r="A63">
        <v>3720</v>
      </c>
      <c r="B63" t="s">
        <v>33</v>
      </c>
      <c r="C63">
        <v>0.38</v>
      </c>
      <c r="D63">
        <v>0.28000000000000003</v>
      </c>
      <c r="E63">
        <v>9.5000000000000001E-2</v>
      </c>
      <c r="F63">
        <v>0.28849999999999998</v>
      </c>
      <c r="G63">
        <v>0.16500000000000001</v>
      </c>
      <c r="H63">
        <v>4.3499999999999997E-2</v>
      </c>
      <c r="I63">
        <v>6.7000000000000004E-2</v>
      </c>
      <c r="J63">
        <v>7</v>
      </c>
      <c r="K63">
        <v>13</v>
      </c>
      <c r="L63" t="s">
        <v>43</v>
      </c>
      <c r="M63" t="s">
        <v>44</v>
      </c>
      <c r="N63" t="s">
        <v>45</v>
      </c>
      <c r="O63">
        <v>2</v>
      </c>
      <c r="P63" t="s">
        <v>5</v>
      </c>
      <c r="Q63">
        <v>18</v>
      </c>
    </row>
    <row r="64" spans="1:17">
      <c r="A64">
        <v>1202</v>
      </c>
      <c r="B64" t="s">
        <v>33</v>
      </c>
      <c r="C64">
        <v>0.72</v>
      </c>
      <c r="D64">
        <v>0.56499999999999995</v>
      </c>
      <c r="E64">
        <v>0.14499999999999999</v>
      </c>
      <c r="F64">
        <v>1.1870000000000001</v>
      </c>
      <c r="G64">
        <v>0.69099999999999995</v>
      </c>
      <c r="H64">
        <v>0.19450000000000001</v>
      </c>
      <c r="I64">
        <v>0.26850000000000002</v>
      </c>
      <c r="J64">
        <v>8</v>
      </c>
      <c r="K64">
        <v>7</v>
      </c>
      <c r="L64" t="s">
        <v>62</v>
      </c>
      <c r="M64" t="s">
        <v>63</v>
      </c>
      <c r="N64" t="s">
        <v>64</v>
      </c>
      <c r="O64">
        <v>2</v>
      </c>
      <c r="P64" t="s">
        <v>5</v>
      </c>
      <c r="Q64">
        <v>18</v>
      </c>
    </row>
    <row r="65" spans="1:17">
      <c r="A65">
        <v>3366</v>
      </c>
      <c r="B65" t="s">
        <v>33</v>
      </c>
      <c r="C65">
        <v>0.44</v>
      </c>
      <c r="D65">
        <v>0.31</v>
      </c>
      <c r="E65">
        <v>0.115</v>
      </c>
      <c r="F65">
        <v>0.36249999999999999</v>
      </c>
      <c r="G65">
        <v>0.13400000000000001</v>
      </c>
      <c r="H65">
        <v>8.2000000000000003E-2</v>
      </c>
      <c r="I65">
        <v>0.12</v>
      </c>
      <c r="J65">
        <v>11</v>
      </c>
      <c r="K65">
        <v>2</v>
      </c>
      <c r="L65" t="s">
        <v>49</v>
      </c>
      <c r="M65" t="s">
        <v>50</v>
      </c>
      <c r="N65" t="s">
        <v>51</v>
      </c>
      <c r="O65">
        <v>8</v>
      </c>
      <c r="P65" t="s">
        <v>13</v>
      </c>
      <c r="Q65">
        <v>12.3</v>
      </c>
    </row>
    <row r="66" spans="1:17">
      <c r="A66">
        <v>3633</v>
      </c>
      <c r="B66" t="s">
        <v>33</v>
      </c>
      <c r="C66">
        <v>0.3</v>
      </c>
      <c r="D66">
        <v>0.22500000000000001</v>
      </c>
      <c r="E66">
        <v>7.4999999999999997E-2</v>
      </c>
      <c r="F66">
        <v>0.13450000000000001</v>
      </c>
      <c r="G66">
        <v>5.7000000000000002E-2</v>
      </c>
      <c r="H66">
        <v>2.8000000000000001E-2</v>
      </c>
      <c r="I66">
        <v>4.3999999999999997E-2</v>
      </c>
      <c r="J66">
        <v>5</v>
      </c>
      <c r="K66">
        <v>5</v>
      </c>
      <c r="L66" t="s">
        <v>67</v>
      </c>
      <c r="M66" t="s">
        <v>68</v>
      </c>
      <c r="N66" t="s">
        <v>69</v>
      </c>
      <c r="O66">
        <v>5</v>
      </c>
      <c r="P66" t="s">
        <v>12</v>
      </c>
      <c r="Q66">
        <v>12.8</v>
      </c>
    </row>
    <row r="67" spans="1:17">
      <c r="A67">
        <v>4076</v>
      </c>
      <c r="B67" t="s">
        <v>33</v>
      </c>
      <c r="C67">
        <v>0.54500000000000004</v>
      </c>
      <c r="D67">
        <v>0.45</v>
      </c>
      <c r="E67">
        <v>0.15</v>
      </c>
      <c r="F67">
        <v>0.78049999999999997</v>
      </c>
      <c r="G67">
        <v>0.3795</v>
      </c>
      <c r="H67">
        <v>0.16250000000000001</v>
      </c>
      <c r="I67">
        <v>0.216</v>
      </c>
      <c r="J67">
        <v>8</v>
      </c>
      <c r="K67">
        <v>9</v>
      </c>
      <c r="L67" t="s">
        <v>34</v>
      </c>
      <c r="M67" t="s">
        <v>35</v>
      </c>
      <c r="N67" t="s">
        <v>36</v>
      </c>
      <c r="O67">
        <v>7</v>
      </c>
      <c r="P67" t="s">
        <v>6</v>
      </c>
      <c r="Q67">
        <v>2.5</v>
      </c>
    </row>
    <row r="68" spans="1:17">
      <c r="A68">
        <v>3671</v>
      </c>
      <c r="B68" t="s">
        <v>33</v>
      </c>
      <c r="C68">
        <v>0.59</v>
      </c>
      <c r="D68">
        <v>0.46500000000000002</v>
      </c>
      <c r="E68">
        <v>0.13500000000000001</v>
      </c>
      <c r="F68">
        <v>0.98950000000000005</v>
      </c>
      <c r="G68">
        <v>0.42349999999999999</v>
      </c>
      <c r="H68">
        <v>0.19900000000000001</v>
      </c>
      <c r="I68">
        <v>0.28000000000000003</v>
      </c>
      <c r="J68">
        <v>8</v>
      </c>
      <c r="K68">
        <v>8</v>
      </c>
      <c r="L68" t="s">
        <v>55</v>
      </c>
      <c r="M68" t="s">
        <v>56</v>
      </c>
      <c r="N68" t="s">
        <v>57</v>
      </c>
      <c r="O68">
        <v>4</v>
      </c>
      <c r="P68" t="s">
        <v>8</v>
      </c>
      <c r="Q68">
        <v>6.1</v>
      </c>
    </row>
    <row r="69" spans="1:17">
      <c r="A69">
        <v>3774</v>
      </c>
      <c r="B69" t="s">
        <v>33</v>
      </c>
      <c r="C69">
        <v>0.57499999999999996</v>
      </c>
      <c r="D69">
        <v>0.46</v>
      </c>
      <c r="E69">
        <v>0.15</v>
      </c>
      <c r="F69">
        <v>0.92700000000000005</v>
      </c>
      <c r="G69">
        <v>0.33300000000000002</v>
      </c>
      <c r="H69">
        <v>0.20699999999999999</v>
      </c>
      <c r="I69">
        <v>0.29849999999999999</v>
      </c>
      <c r="J69">
        <v>9</v>
      </c>
      <c r="K69">
        <v>5</v>
      </c>
      <c r="L69" t="s">
        <v>67</v>
      </c>
      <c r="M69" t="s">
        <v>68</v>
      </c>
      <c r="N69" t="s">
        <v>69</v>
      </c>
      <c r="O69">
        <v>1</v>
      </c>
      <c r="P69" t="s">
        <v>4</v>
      </c>
      <c r="Q69">
        <v>22.1</v>
      </c>
    </row>
    <row r="70" spans="1:17">
      <c r="A70">
        <v>281</v>
      </c>
      <c r="B70" t="s">
        <v>33</v>
      </c>
      <c r="C70">
        <v>0.53500000000000003</v>
      </c>
      <c r="D70">
        <v>0.41499999999999998</v>
      </c>
      <c r="E70">
        <v>0.185</v>
      </c>
      <c r="F70">
        <v>0.84150000000000003</v>
      </c>
      <c r="G70">
        <v>0.314</v>
      </c>
      <c r="H70">
        <v>0.1585</v>
      </c>
      <c r="I70">
        <v>0.3</v>
      </c>
      <c r="J70">
        <v>15</v>
      </c>
      <c r="K70">
        <v>9</v>
      </c>
      <c r="L70" t="s">
        <v>34</v>
      </c>
      <c r="M70" t="s">
        <v>35</v>
      </c>
      <c r="N70" t="s">
        <v>36</v>
      </c>
      <c r="O70">
        <v>5</v>
      </c>
      <c r="P70" t="s">
        <v>12</v>
      </c>
      <c r="Q70">
        <v>12.8</v>
      </c>
    </row>
    <row r="71" spans="1:17">
      <c r="A71">
        <v>2924</v>
      </c>
      <c r="B71" t="s">
        <v>33</v>
      </c>
      <c r="C71">
        <v>0.60499999999999998</v>
      </c>
      <c r="D71">
        <v>0.495</v>
      </c>
      <c r="E71">
        <v>0.17</v>
      </c>
      <c r="F71">
        <v>1.0914999999999999</v>
      </c>
      <c r="G71">
        <v>0.4365</v>
      </c>
      <c r="H71">
        <v>0.27150000000000002</v>
      </c>
      <c r="I71">
        <v>0.33500000000000002</v>
      </c>
      <c r="J71">
        <v>13</v>
      </c>
      <c r="K71">
        <v>9</v>
      </c>
      <c r="L71" t="s">
        <v>34</v>
      </c>
      <c r="M71" t="s">
        <v>35</v>
      </c>
      <c r="N71" t="s">
        <v>36</v>
      </c>
      <c r="O71">
        <v>9</v>
      </c>
      <c r="P71" t="s">
        <v>9</v>
      </c>
      <c r="Q71">
        <v>1.9</v>
      </c>
    </row>
    <row r="72" spans="1:17">
      <c r="A72">
        <v>287</v>
      </c>
      <c r="B72" t="s">
        <v>33</v>
      </c>
      <c r="C72">
        <v>0.53</v>
      </c>
      <c r="D72">
        <v>0.435</v>
      </c>
      <c r="E72">
        <v>0.155</v>
      </c>
      <c r="F72">
        <v>0.69899999999999995</v>
      </c>
      <c r="G72">
        <v>0.28799999999999998</v>
      </c>
      <c r="H72">
        <v>0.1595</v>
      </c>
      <c r="I72">
        <v>0.20499999999999999</v>
      </c>
      <c r="J72">
        <v>10</v>
      </c>
      <c r="K72">
        <v>12</v>
      </c>
      <c r="L72" t="s">
        <v>58</v>
      </c>
      <c r="M72" t="s">
        <v>59</v>
      </c>
      <c r="N72" t="s">
        <v>45</v>
      </c>
      <c r="O72">
        <v>9</v>
      </c>
      <c r="P72" t="s">
        <v>9</v>
      </c>
      <c r="Q72">
        <v>1.9</v>
      </c>
    </row>
    <row r="73" spans="1:17">
      <c r="A73">
        <v>2664</v>
      </c>
      <c r="B73" t="s">
        <v>33</v>
      </c>
      <c r="C73">
        <v>0.56999999999999995</v>
      </c>
      <c r="D73">
        <v>0.45</v>
      </c>
      <c r="E73">
        <v>0.13500000000000001</v>
      </c>
      <c r="F73">
        <v>1.02</v>
      </c>
      <c r="G73">
        <v>0.54600000000000004</v>
      </c>
      <c r="H73">
        <v>0.20399999999999999</v>
      </c>
      <c r="I73">
        <v>0.25</v>
      </c>
      <c r="J73">
        <v>9</v>
      </c>
      <c r="K73">
        <v>7</v>
      </c>
      <c r="L73" t="s">
        <v>62</v>
      </c>
      <c r="M73" t="s">
        <v>63</v>
      </c>
      <c r="N73" t="s">
        <v>64</v>
      </c>
      <c r="O73">
        <v>5</v>
      </c>
      <c r="P73" t="s">
        <v>12</v>
      </c>
      <c r="Q73">
        <v>12.8</v>
      </c>
    </row>
    <row r="74" spans="1:17">
      <c r="A74">
        <v>2515</v>
      </c>
      <c r="B74" t="s">
        <v>33</v>
      </c>
      <c r="C74">
        <v>0.47</v>
      </c>
      <c r="D74">
        <v>0.37</v>
      </c>
      <c r="E74">
        <v>0.11</v>
      </c>
      <c r="F74">
        <v>0.55549999999999999</v>
      </c>
      <c r="G74">
        <v>0.25</v>
      </c>
      <c r="H74">
        <v>0.115</v>
      </c>
      <c r="I74">
        <v>0.16300000000000001</v>
      </c>
      <c r="J74">
        <v>8</v>
      </c>
      <c r="K74">
        <v>2</v>
      </c>
      <c r="L74" t="s">
        <v>49</v>
      </c>
      <c r="M74" t="s">
        <v>50</v>
      </c>
      <c r="N74" t="s">
        <v>51</v>
      </c>
      <c r="O74">
        <v>9</v>
      </c>
      <c r="P74" t="s">
        <v>9</v>
      </c>
      <c r="Q74">
        <v>1.9</v>
      </c>
    </row>
    <row r="75" spans="1:17">
      <c r="A75">
        <v>1666</v>
      </c>
      <c r="B75" t="s">
        <v>33</v>
      </c>
      <c r="C75">
        <v>0.60499999999999998</v>
      </c>
      <c r="D75">
        <v>0.48</v>
      </c>
      <c r="E75">
        <v>0.14000000000000001</v>
      </c>
      <c r="F75">
        <v>0.99099999999999999</v>
      </c>
      <c r="G75">
        <v>0.47349999999999998</v>
      </c>
      <c r="H75">
        <v>0.23449999999999999</v>
      </c>
      <c r="I75">
        <v>0.24</v>
      </c>
      <c r="J75">
        <v>8</v>
      </c>
      <c r="K75">
        <v>12</v>
      </c>
      <c r="L75" t="s">
        <v>58</v>
      </c>
      <c r="M75" t="s">
        <v>59</v>
      </c>
      <c r="N75" t="s">
        <v>45</v>
      </c>
      <c r="O75">
        <v>5</v>
      </c>
      <c r="P75" t="s">
        <v>12</v>
      </c>
      <c r="Q75">
        <v>12.8</v>
      </c>
    </row>
    <row r="76" spans="1:17">
      <c r="A76">
        <v>3817</v>
      </c>
      <c r="B76" t="s">
        <v>33</v>
      </c>
      <c r="C76">
        <v>0.46500000000000002</v>
      </c>
      <c r="D76">
        <v>0.35499999999999998</v>
      </c>
      <c r="E76">
        <v>0.12</v>
      </c>
      <c r="F76">
        <v>0.53149999999999997</v>
      </c>
      <c r="G76">
        <v>0.27250000000000002</v>
      </c>
      <c r="H76">
        <v>9.7000000000000003E-2</v>
      </c>
      <c r="I76">
        <v>0.13950000000000001</v>
      </c>
      <c r="J76">
        <v>8</v>
      </c>
      <c r="K76">
        <v>2</v>
      </c>
      <c r="L76" t="s">
        <v>49</v>
      </c>
      <c r="M76" t="s">
        <v>50</v>
      </c>
      <c r="N76" t="s">
        <v>51</v>
      </c>
      <c r="O76">
        <v>9</v>
      </c>
      <c r="P76" t="s">
        <v>9</v>
      </c>
      <c r="Q76">
        <v>1.9</v>
      </c>
    </row>
    <row r="77" spans="1:17">
      <c r="A77">
        <v>2766</v>
      </c>
      <c r="B77" t="s">
        <v>33</v>
      </c>
      <c r="C77">
        <v>0.55500000000000005</v>
      </c>
      <c r="D77">
        <v>0.435</v>
      </c>
      <c r="E77">
        <v>0.14499999999999999</v>
      </c>
      <c r="F77">
        <v>0.69750000000000001</v>
      </c>
      <c r="G77">
        <v>0.26200000000000001</v>
      </c>
      <c r="H77">
        <v>0.1575</v>
      </c>
      <c r="I77">
        <v>0.24</v>
      </c>
      <c r="J77">
        <v>11</v>
      </c>
      <c r="K77">
        <v>12</v>
      </c>
      <c r="L77" t="s">
        <v>58</v>
      </c>
      <c r="M77" t="s">
        <v>59</v>
      </c>
      <c r="N77" t="s">
        <v>45</v>
      </c>
      <c r="O77">
        <v>10</v>
      </c>
      <c r="P77" t="s">
        <v>11</v>
      </c>
      <c r="Q77">
        <v>24.1</v>
      </c>
    </row>
    <row r="78" spans="1:17">
      <c r="A78">
        <v>694</v>
      </c>
      <c r="B78" t="s">
        <v>33</v>
      </c>
      <c r="C78">
        <v>0.38</v>
      </c>
      <c r="D78">
        <v>0.28999999999999998</v>
      </c>
      <c r="E78">
        <v>0.12</v>
      </c>
      <c r="F78">
        <v>0.28299999999999997</v>
      </c>
      <c r="G78">
        <v>0.11749999999999999</v>
      </c>
      <c r="H78">
        <v>6.5500000000000003E-2</v>
      </c>
      <c r="I78">
        <v>8.5000000000000006E-2</v>
      </c>
      <c r="J78">
        <v>9</v>
      </c>
      <c r="K78">
        <v>13</v>
      </c>
      <c r="L78" t="s">
        <v>43</v>
      </c>
      <c r="M78" t="s">
        <v>44</v>
      </c>
      <c r="N78" t="s">
        <v>45</v>
      </c>
      <c r="O78">
        <v>2</v>
      </c>
      <c r="P78" t="s">
        <v>5</v>
      </c>
      <c r="Q78">
        <v>18</v>
      </c>
    </row>
    <row r="79" spans="1:17">
      <c r="A79">
        <v>2282</v>
      </c>
      <c r="B79" t="s">
        <v>33</v>
      </c>
      <c r="C79">
        <v>0.48499999999999999</v>
      </c>
      <c r="D79">
        <v>0.41499999999999998</v>
      </c>
      <c r="E79">
        <v>0.14000000000000001</v>
      </c>
      <c r="F79">
        <v>0.57050000000000001</v>
      </c>
      <c r="G79">
        <v>0.25</v>
      </c>
      <c r="H79">
        <v>0.13400000000000001</v>
      </c>
      <c r="I79">
        <v>0.185</v>
      </c>
      <c r="J79">
        <v>8</v>
      </c>
      <c r="K79">
        <v>14</v>
      </c>
      <c r="L79" t="s">
        <v>72</v>
      </c>
      <c r="M79" t="s">
        <v>73</v>
      </c>
      <c r="N79" t="s">
        <v>74</v>
      </c>
      <c r="O79">
        <v>5</v>
      </c>
      <c r="P79" t="s">
        <v>12</v>
      </c>
      <c r="Q79">
        <v>12.8</v>
      </c>
    </row>
    <row r="80" spans="1:17">
      <c r="A80">
        <v>3496</v>
      </c>
      <c r="B80" t="s">
        <v>33</v>
      </c>
      <c r="C80">
        <v>0.56000000000000005</v>
      </c>
      <c r="D80">
        <v>0.41499999999999998</v>
      </c>
      <c r="E80">
        <v>0.13</v>
      </c>
      <c r="F80">
        <v>0.76149999999999995</v>
      </c>
      <c r="G80">
        <v>0.3695</v>
      </c>
      <c r="H80">
        <v>0.17</v>
      </c>
      <c r="I80">
        <v>0.19550000000000001</v>
      </c>
      <c r="J80">
        <v>8</v>
      </c>
      <c r="K80">
        <v>13</v>
      </c>
      <c r="L80" t="s">
        <v>43</v>
      </c>
      <c r="M80" t="s">
        <v>44</v>
      </c>
      <c r="N80" t="s">
        <v>45</v>
      </c>
      <c r="O80">
        <v>9</v>
      </c>
      <c r="P80" t="s">
        <v>9</v>
      </c>
      <c r="Q80">
        <v>1.9</v>
      </c>
    </row>
    <row r="81" spans="1:17">
      <c r="A81">
        <v>2441</v>
      </c>
      <c r="B81" t="s">
        <v>33</v>
      </c>
      <c r="C81">
        <v>0.46500000000000002</v>
      </c>
      <c r="D81">
        <v>0.35499999999999998</v>
      </c>
      <c r="E81">
        <v>0.125</v>
      </c>
      <c r="F81">
        <v>0.52549999999999997</v>
      </c>
      <c r="G81">
        <v>0.20250000000000001</v>
      </c>
      <c r="H81">
        <v>0.13500000000000001</v>
      </c>
      <c r="I81">
        <v>0.14499999999999999</v>
      </c>
      <c r="J81">
        <v>13</v>
      </c>
      <c r="K81">
        <v>14</v>
      </c>
      <c r="L81" t="s">
        <v>72</v>
      </c>
      <c r="M81" t="s">
        <v>73</v>
      </c>
      <c r="N81" t="s">
        <v>74</v>
      </c>
      <c r="O81">
        <v>5</v>
      </c>
      <c r="P81" t="s">
        <v>12</v>
      </c>
      <c r="Q81">
        <v>12.8</v>
      </c>
    </row>
    <row r="82" spans="1:17">
      <c r="A82">
        <v>1168</v>
      </c>
      <c r="B82" t="s">
        <v>33</v>
      </c>
      <c r="C82">
        <v>0.62</v>
      </c>
      <c r="D82">
        <v>0.47</v>
      </c>
      <c r="E82">
        <v>0.13500000000000001</v>
      </c>
      <c r="F82">
        <v>1.0195000000000001</v>
      </c>
      <c r="G82">
        <v>0.53149999999999997</v>
      </c>
      <c r="H82">
        <v>0.20050000000000001</v>
      </c>
      <c r="I82">
        <v>0.2475</v>
      </c>
      <c r="J82">
        <v>8</v>
      </c>
      <c r="K82">
        <v>11</v>
      </c>
      <c r="L82" t="s">
        <v>65</v>
      </c>
      <c r="M82" t="s">
        <v>66</v>
      </c>
      <c r="N82" t="s">
        <v>45</v>
      </c>
      <c r="O82">
        <v>9</v>
      </c>
      <c r="P82" t="s">
        <v>9</v>
      </c>
      <c r="Q82">
        <v>1.9</v>
      </c>
    </row>
    <row r="83" spans="1:17">
      <c r="A83">
        <v>609</v>
      </c>
      <c r="B83" t="s">
        <v>33</v>
      </c>
      <c r="C83">
        <v>0.37</v>
      </c>
      <c r="D83">
        <v>0.28499999999999998</v>
      </c>
      <c r="E83">
        <v>0.1</v>
      </c>
      <c r="F83">
        <v>0.22800000000000001</v>
      </c>
      <c r="G83">
        <v>6.7500000000000004E-2</v>
      </c>
      <c r="H83">
        <v>6.7500000000000004E-2</v>
      </c>
      <c r="I83">
        <v>8.1000000000000003E-2</v>
      </c>
      <c r="J83">
        <v>10</v>
      </c>
      <c r="K83">
        <v>4</v>
      </c>
      <c r="L83" t="s">
        <v>40</v>
      </c>
      <c r="M83" t="s">
        <v>41</v>
      </c>
      <c r="N83" t="s">
        <v>42</v>
      </c>
      <c r="O83">
        <v>9</v>
      </c>
      <c r="P83" t="s">
        <v>9</v>
      </c>
      <c r="Q83">
        <v>1.9</v>
      </c>
    </row>
    <row r="84" spans="1:17">
      <c r="A84">
        <v>3768</v>
      </c>
      <c r="B84" t="s">
        <v>33</v>
      </c>
      <c r="C84">
        <v>0.55500000000000005</v>
      </c>
      <c r="D84">
        <v>0.46</v>
      </c>
      <c r="E84">
        <v>0.16</v>
      </c>
      <c r="F84">
        <v>0.86</v>
      </c>
      <c r="G84">
        <v>0.33450000000000002</v>
      </c>
      <c r="H84">
        <v>0.19350000000000001</v>
      </c>
      <c r="I84">
        <v>0.27500000000000002</v>
      </c>
      <c r="J84">
        <v>10</v>
      </c>
      <c r="K84">
        <v>5</v>
      </c>
      <c r="L84" t="s">
        <v>67</v>
      </c>
      <c r="M84" t="s">
        <v>68</v>
      </c>
      <c r="N84" t="s">
        <v>69</v>
      </c>
      <c r="O84">
        <v>8</v>
      </c>
      <c r="P84" t="s">
        <v>13</v>
      </c>
      <c r="Q84">
        <v>12.3</v>
      </c>
    </row>
    <row r="85" spans="1:17">
      <c r="A85">
        <v>1311</v>
      </c>
      <c r="B85" t="s">
        <v>33</v>
      </c>
      <c r="C85">
        <v>0.54500000000000004</v>
      </c>
      <c r="D85">
        <v>0.40500000000000003</v>
      </c>
      <c r="E85">
        <v>0.13500000000000001</v>
      </c>
      <c r="F85">
        <v>0.59450000000000003</v>
      </c>
      <c r="G85">
        <v>0.27</v>
      </c>
      <c r="H85">
        <v>0.11849999999999999</v>
      </c>
      <c r="I85">
        <v>0.185</v>
      </c>
      <c r="J85">
        <v>8</v>
      </c>
      <c r="K85">
        <v>3</v>
      </c>
      <c r="L85" t="s">
        <v>52</v>
      </c>
      <c r="M85" t="s">
        <v>53</v>
      </c>
      <c r="N85" t="s">
        <v>54</v>
      </c>
      <c r="O85">
        <v>4</v>
      </c>
      <c r="P85" t="s">
        <v>8</v>
      </c>
      <c r="Q85">
        <v>6.1</v>
      </c>
    </row>
    <row r="86" spans="1:17">
      <c r="A86">
        <v>21</v>
      </c>
      <c r="B86" t="s">
        <v>33</v>
      </c>
      <c r="C86">
        <v>0.35499999999999998</v>
      </c>
      <c r="D86">
        <v>0.28000000000000003</v>
      </c>
      <c r="E86">
        <v>9.5000000000000001E-2</v>
      </c>
      <c r="F86">
        <v>0.2455</v>
      </c>
      <c r="G86">
        <v>9.5500000000000002E-2</v>
      </c>
      <c r="H86">
        <v>6.2E-2</v>
      </c>
      <c r="I86">
        <v>7.4999999999999997E-2</v>
      </c>
      <c r="J86">
        <v>11</v>
      </c>
      <c r="K86">
        <v>9</v>
      </c>
      <c r="L86" t="s">
        <v>34</v>
      </c>
      <c r="M86" t="s">
        <v>35</v>
      </c>
      <c r="N86" t="s">
        <v>36</v>
      </c>
      <c r="O86">
        <v>4</v>
      </c>
      <c r="P86" t="s">
        <v>8</v>
      </c>
      <c r="Q86">
        <v>6.1</v>
      </c>
    </row>
    <row r="87" spans="1:17">
      <c r="A87">
        <v>3432</v>
      </c>
      <c r="B87" t="s">
        <v>33</v>
      </c>
      <c r="C87">
        <v>0.35</v>
      </c>
      <c r="D87">
        <v>0.26500000000000001</v>
      </c>
      <c r="E87">
        <v>9.5000000000000001E-2</v>
      </c>
      <c r="F87">
        <v>0.19900000000000001</v>
      </c>
      <c r="G87">
        <v>7.2999999999999995E-2</v>
      </c>
      <c r="H87">
        <v>4.9000000000000002E-2</v>
      </c>
      <c r="I87">
        <v>0.06</v>
      </c>
      <c r="J87">
        <v>5</v>
      </c>
      <c r="K87">
        <v>9</v>
      </c>
      <c r="L87" t="s">
        <v>34</v>
      </c>
      <c r="M87" t="s">
        <v>35</v>
      </c>
      <c r="N87" t="s">
        <v>36</v>
      </c>
      <c r="O87">
        <v>9</v>
      </c>
      <c r="P87" t="s">
        <v>9</v>
      </c>
      <c r="Q87">
        <v>1.9</v>
      </c>
    </row>
    <row r="88" spans="1:17">
      <c r="A88">
        <v>1674</v>
      </c>
      <c r="B88" t="s">
        <v>33</v>
      </c>
      <c r="C88">
        <v>0.61</v>
      </c>
      <c r="D88">
        <v>0.46500000000000002</v>
      </c>
      <c r="E88">
        <v>0.125</v>
      </c>
      <c r="F88">
        <v>0.92249999999999999</v>
      </c>
      <c r="G88">
        <v>0.436</v>
      </c>
      <c r="H88">
        <v>0.19</v>
      </c>
      <c r="I88">
        <v>0.26</v>
      </c>
      <c r="J88">
        <v>9</v>
      </c>
      <c r="K88">
        <v>5</v>
      </c>
      <c r="L88" t="s">
        <v>67</v>
      </c>
      <c r="M88" t="s">
        <v>68</v>
      </c>
      <c r="N88" t="s">
        <v>69</v>
      </c>
      <c r="O88">
        <v>2</v>
      </c>
      <c r="P88" t="s">
        <v>5</v>
      </c>
      <c r="Q88">
        <v>18</v>
      </c>
    </row>
    <row r="89" spans="1:17">
      <c r="A89">
        <v>3816</v>
      </c>
      <c r="B89" t="s">
        <v>33</v>
      </c>
      <c r="C89">
        <v>0.46</v>
      </c>
      <c r="D89">
        <v>0.34</v>
      </c>
      <c r="E89">
        <v>0.1</v>
      </c>
      <c r="F89">
        <v>0.38600000000000001</v>
      </c>
      <c r="G89">
        <v>0.18049999999999999</v>
      </c>
      <c r="H89">
        <v>8.7499999999999994E-2</v>
      </c>
      <c r="I89">
        <v>9.6500000000000002E-2</v>
      </c>
      <c r="J89">
        <v>8</v>
      </c>
      <c r="K89">
        <v>1</v>
      </c>
      <c r="L89" t="s">
        <v>70</v>
      </c>
      <c r="M89" t="s">
        <v>71</v>
      </c>
      <c r="N89" t="s">
        <v>45</v>
      </c>
      <c r="O89">
        <v>1</v>
      </c>
      <c r="P89" t="s">
        <v>4</v>
      </c>
      <c r="Q89">
        <v>22.1</v>
      </c>
    </row>
    <row r="90" spans="1:17">
      <c r="A90">
        <v>727</v>
      </c>
      <c r="B90" t="s">
        <v>33</v>
      </c>
      <c r="C90">
        <v>0.4</v>
      </c>
      <c r="D90">
        <v>0.30499999999999999</v>
      </c>
      <c r="E90">
        <v>8.5000000000000006E-2</v>
      </c>
      <c r="F90">
        <v>0.29699999999999999</v>
      </c>
      <c r="G90">
        <v>0.108</v>
      </c>
      <c r="H90">
        <v>7.0499999999999993E-2</v>
      </c>
      <c r="I90">
        <v>0.1</v>
      </c>
      <c r="J90">
        <v>10</v>
      </c>
      <c r="K90">
        <v>4</v>
      </c>
      <c r="L90" t="s">
        <v>40</v>
      </c>
      <c r="M90" t="s">
        <v>41</v>
      </c>
      <c r="N90" t="s">
        <v>42</v>
      </c>
      <c r="O90">
        <v>2</v>
      </c>
      <c r="P90" t="s">
        <v>5</v>
      </c>
      <c r="Q90">
        <v>18</v>
      </c>
    </row>
    <row r="91" spans="1:17">
      <c r="A91">
        <v>1110</v>
      </c>
      <c r="B91" t="s">
        <v>33</v>
      </c>
      <c r="C91">
        <v>0.52</v>
      </c>
      <c r="D91">
        <v>0.4</v>
      </c>
      <c r="E91">
        <v>0.14499999999999999</v>
      </c>
      <c r="F91">
        <v>0.77649999999999997</v>
      </c>
      <c r="G91">
        <v>0.35249999999999998</v>
      </c>
      <c r="H91">
        <v>0.1845</v>
      </c>
      <c r="I91">
        <v>0.185</v>
      </c>
      <c r="J91">
        <v>9</v>
      </c>
      <c r="K91">
        <v>4</v>
      </c>
      <c r="L91" t="s">
        <v>40</v>
      </c>
      <c r="M91" t="s">
        <v>41</v>
      </c>
      <c r="N91" t="s">
        <v>42</v>
      </c>
      <c r="O91">
        <v>5</v>
      </c>
      <c r="P91" t="s">
        <v>12</v>
      </c>
      <c r="Q91">
        <v>12.8</v>
      </c>
    </row>
    <row r="92" spans="1:17">
      <c r="A92">
        <v>3866</v>
      </c>
      <c r="B92" t="s">
        <v>33</v>
      </c>
      <c r="C92">
        <v>0.52500000000000002</v>
      </c>
      <c r="D92">
        <v>0.39500000000000002</v>
      </c>
      <c r="E92">
        <v>0.16500000000000001</v>
      </c>
      <c r="F92">
        <v>0.78200000000000003</v>
      </c>
      <c r="G92">
        <v>0.28499999999999998</v>
      </c>
      <c r="H92">
        <v>0.14050000000000001</v>
      </c>
      <c r="I92">
        <v>0.28499999999999998</v>
      </c>
      <c r="J92">
        <v>19</v>
      </c>
      <c r="K92">
        <v>6</v>
      </c>
      <c r="L92" t="s">
        <v>46</v>
      </c>
      <c r="M92" t="s">
        <v>47</v>
      </c>
      <c r="N92" t="s">
        <v>48</v>
      </c>
      <c r="O92">
        <v>1</v>
      </c>
      <c r="P92" t="s">
        <v>4</v>
      </c>
      <c r="Q92">
        <v>22.1</v>
      </c>
    </row>
    <row r="93" spans="1:17">
      <c r="A93">
        <v>520</v>
      </c>
      <c r="B93" t="s">
        <v>33</v>
      </c>
      <c r="C93">
        <v>0.34499999999999997</v>
      </c>
      <c r="D93">
        <v>0.25</v>
      </c>
      <c r="E93">
        <v>0.09</v>
      </c>
      <c r="F93">
        <v>0.20300000000000001</v>
      </c>
      <c r="G93">
        <v>7.8E-2</v>
      </c>
      <c r="H93">
        <v>5.8999999999999997E-2</v>
      </c>
      <c r="I93">
        <v>5.5E-2</v>
      </c>
      <c r="J93">
        <v>6</v>
      </c>
      <c r="K93">
        <v>4</v>
      </c>
      <c r="L93" t="s">
        <v>40</v>
      </c>
      <c r="M93" t="s">
        <v>41</v>
      </c>
      <c r="N93" t="s">
        <v>42</v>
      </c>
      <c r="O93">
        <v>9</v>
      </c>
      <c r="P93" t="s">
        <v>9</v>
      </c>
      <c r="Q93">
        <v>1.9</v>
      </c>
    </row>
    <row r="94" spans="1:17">
      <c r="A94">
        <v>3326</v>
      </c>
      <c r="B94" t="s">
        <v>33</v>
      </c>
      <c r="C94">
        <v>0.34499999999999997</v>
      </c>
      <c r="D94">
        <v>0.26500000000000001</v>
      </c>
      <c r="E94">
        <v>0.09</v>
      </c>
      <c r="F94">
        <v>0.16300000000000001</v>
      </c>
      <c r="G94">
        <v>6.1499999999999999E-2</v>
      </c>
      <c r="H94">
        <v>3.6999999999999998E-2</v>
      </c>
      <c r="I94">
        <v>4.8500000000000001E-2</v>
      </c>
      <c r="J94">
        <v>10</v>
      </c>
      <c r="K94">
        <v>2</v>
      </c>
      <c r="L94" t="s">
        <v>49</v>
      </c>
      <c r="M94" t="s">
        <v>50</v>
      </c>
      <c r="N94" t="s">
        <v>51</v>
      </c>
      <c r="O94">
        <v>6</v>
      </c>
      <c r="P94" t="s">
        <v>7</v>
      </c>
      <c r="Q94">
        <v>14.1</v>
      </c>
    </row>
    <row r="95" spans="1:17">
      <c r="A95">
        <v>488</v>
      </c>
      <c r="B95" t="s">
        <v>33</v>
      </c>
      <c r="C95">
        <v>0.625</v>
      </c>
      <c r="D95">
        <v>0.51500000000000001</v>
      </c>
      <c r="E95">
        <v>0.15</v>
      </c>
      <c r="F95">
        <v>1.2415</v>
      </c>
      <c r="G95">
        <v>0.52349999999999997</v>
      </c>
      <c r="H95">
        <v>0.30649999999999999</v>
      </c>
      <c r="I95">
        <v>0.36</v>
      </c>
      <c r="J95">
        <v>15</v>
      </c>
      <c r="K95">
        <v>1</v>
      </c>
      <c r="L95" t="s">
        <v>70</v>
      </c>
      <c r="M95" t="s">
        <v>71</v>
      </c>
      <c r="N95" t="s">
        <v>45</v>
      </c>
      <c r="O95">
        <v>7</v>
      </c>
      <c r="P95" t="s">
        <v>6</v>
      </c>
      <c r="Q95">
        <v>2.5</v>
      </c>
    </row>
    <row r="96" spans="1:17">
      <c r="A96">
        <v>806</v>
      </c>
      <c r="B96" t="s">
        <v>33</v>
      </c>
      <c r="C96">
        <v>0.40500000000000003</v>
      </c>
      <c r="D96">
        <v>0.30499999999999999</v>
      </c>
      <c r="E96">
        <v>0.12</v>
      </c>
      <c r="F96">
        <v>0.31850000000000001</v>
      </c>
      <c r="G96">
        <v>0.1235</v>
      </c>
      <c r="H96">
        <v>9.0499999999999997E-2</v>
      </c>
      <c r="I96">
        <v>9.5000000000000001E-2</v>
      </c>
      <c r="J96">
        <v>7</v>
      </c>
      <c r="K96">
        <v>13</v>
      </c>
      <c r="L96" t="s">
        <v>43</v>
      </c>
      <c r="M96" t="s">
        <v>44</v>
      </c>
      <c r="N96" t="s">
        <v>45</v>
      </c>
      <c r="O96">
        <v>1</v>
      </c>
      <c r="P96" t="s">
        <v>4</v>
      </c>
      <c r="Q96">
        <v>22.1</v>
      </c>
    </row>
    <row r="97" spans="1:17">
      <c r="A97">
        <v>341</v>
      </c>
      <c r="B97" t="s">
        <v>33</v>
      </c>
      <c r="C97">
        <v>0.57499999999999996</v>
      </c>
      <c r="D97">
        <v>0.45500000000000002</v>
      </c>
      <c r="E97">
        <v>0.14499999999999999</v>
      </c>
      <c r="F97">
        <v>1.165</v>
      </c>
      <c r="G97">
        <v>0.58099999999999996</v>
      </c>
      <c r="H97">
        <v>0.22750000000000001</v>
      </c>
      <c r="I97">
        <v>0.3</v>
      </c>
      <c r="J97">
        <v>14</v>
      </c>
      <c r="K97">
        <v>13</v>
      </c>
      <c r="L97" t="s">
        <v>43</v>
      </c>
      <c r="M97" t="s">
        <v>44</v>
      </c>
      <c r="N97" t="s">
        <v>45</v>
      </c>
      <c r="O97">
        <v>4</v>
      </c>
      <c r="P97" t="s">
        <v>8</v>
      </c>
      <c r="Q97">
        <v>6.1</v>
      </c>
    </row>
    <row r="98" spans="1:17">
      <c r="A98">
        <v>393</v>
      </c>
      <c r="B98" t="s">
        <v>33</v>
      </c>
      <c r="C98">
        <v>0.47</v>
      </c>
      <c r="D98">
        <v>0.375</v>
      </c>
      <c r="E98">
        <v>0.125</v>
      </c>
      <c r="F98">
        <v>0.5615</v>
      </c>
      <c r="G98">
        <v>0.252</v>
      </c>
      <c r="H98">
        <v>0.13700000000000001</v>
      </c>
      <c r="I98">
        <v>0.18</v>
      </c>
      <c r="J98">
        <v>10</v>
      </c>
      <c r="K98">
        <v>13</v>
      </c>
      <c r="L98" t="s">
        <v>43</v>
      </c>
      <c r="M98" t="s">
        <v>44</v>
      </c>
      <c r="N98" t="s">
        <v>45</v>
      </c>
      <c r="O98">
        <v>5</v>
      </c>
      <c r="P98" t="s">
        <v>12</v>
      </c>
      <c r="Q98">
        <v>12.8</v>
      </c>
    </row>
    <row r="99" spans="1:17">
      <c r="A99">
        <v>1607</v>
      </c>
      <c r="B99" t="s">
        <v>33</v>
      </c>
      <c r="C99">
        <v>0.54</v>
      </c>
      <c r="D99">
        <v>0.42499999999999999</v>
      </c>
      <c r="E99">
        <v>0.13</v>
      </c>
      <c r="F99">
        <v>0.72050000000000003</v>
      </c>
      <c r="G99">
        <v>0.29549999999999998</v>
      </c>
      <c r="H99">
        <v>0.16900000000000001</v>
      </c>
      <c r="I99">
        <v>0.22500000000000001</v>
      </c>
      <c r="J99">
        <v>10</v>
      </c>
      <c r="K99">
        <v>3</v>
      </c>
      <c r="L99" t="s">
        <v>52</v>
      </c>
      <c r="M99" t="s">
        <v>53</v>
      </c>
      <c r="N99" t="s">
        <v>54</v>
      </c>
      <c r="O99">
        <v>7</v>
      </c>
      <c r="P99" t="s">
        <v>6</v>
      </c>
      <c r="Q99">
        <v>2.5</v>
      </c>
    </row>
    <row r="100" spans="1:17">
      <c r="A100">
        <v>1457</v>
      </c>
      <c r="B100" t="s">
        <v>33</v>
      </c>
      <c r="C100">
        <v>0.47499999999999998</v>
      </c>
      <c r="D100">
        <v>0.36499999999999999</v>
      </c>
      <c r="E100">
        <v>0.115</v>
      </c>
      <c r="F100">
        <v>0.45900000000000002</v>
      </c>
      <c r="G100">
        <v>0.2175</v>
      </c>
      <c r="H100">
        <v>9.2999999999999999E-2</v>
      </c>
      <c r="I100">
        <v>0.11650000000000001</v>
      </c>
      <c r="J100">
        <v>7</v>
      </c>
      <c r="K100">
        <v>10</v>
      </c>
      <c r="L100" t="s">
        <v>37</v>
      </c>
      <c r="M100" t="s">
        <v>38</v>
      </c>
      <c r="N100" t="s">
        <v>39</v>
      </c>
      <c r="O100">
        <v>3</v>
      </c>
      <c r="P100" t="s">
        <v>10</v>
      </c>
      <c r="Q100">
        <v>3.6</v>
      </c>
    </row>
    <row r="101" spans="1:17">
      <c r="A101">
        <v>3740</v>
      </c>
      <c r="B101" t="s">
        <v>33</v>
      </c>
      <c r="C101">
        <v>0.65</v>
      </c>
      <c r="D101">
        <v>0.52500000000000002</v>
      </c>
      <c r="E101">
        <v>0.16500000000000001</v>
      </c>
      <c r="F101">
        <v>1.238</v>
      </c>
      <c r="G101">
        <v>0.64700000000000002</v>
      </c>
      <c r="H101">
        <v>0.2485</v>
      </c>
      <c r="I101">
        <v>0.30049999999999999</v>
      </c>
      <c r="J101">
        <v>9</v>
      </c>
      <c r="K101">
        <v>7</v>
      </c>
      <c r="L101" t="s">
        <v>62</v>
      </c>
      <c r="M101" t="s">
        <v>63</v>
      </c>
      <c r="N101" t="s">
        <v>64</v>
      </c>
      <c r="O101">
        <v>3</v>
      </c>
      <c r="P101" t="s">
        <v>10</v>
      </c>
      <c r="Q101">
        <v>3.6</v>
      </c>
    </row>
    <row r="102" spans="1:17">
      <c r="A102">
        <v>3832</v>
      </c>
      <c r="B102" t="s">
        <v>33</v>
      </c>
      <c r="C102">
        <v>0.54500000000000004</v>
      </c>
      <c r="D102">
        <v>0.42</v>
      </c>
      <c r="E102">
        <v>0.17499999999999999</v>
      </c>
      <c r="F102">
        <v>0.754</v>
      </c>
      <c r="G102">
        <v>0.25600000000000001</v>
      </c>
      <c r="H102">
        <v>0.17749999999999999</v>
      </c>
      <c r="I102">
        <v>0.27500000000000002</v>
      </c>
      <c r="J102">
        <v>10</v>
      </c>
      <c r="K102">
        <v>8</v>
      </c>
      <c r="L102" t="s">
        <v>55</v>
      </c>
      <c r="M102" t="s">
        <v>56</v>
      </c>
      <c r="N102" t="s">
        <v>57</v>
      </c>
      <c r="O102">
        <v>2</v>
      </c>
      <c r="P102" t="s">
        <v>5</v>
      </c>
      <c r="Q102">
        <v>18</v>
      </c>
    </row>
    <row r="103" spans="1:17">
      <c r="A103">
        <v>3219</v>
      </c>
      <c r="B103" t="s">
        <v>33</v>
      </c>
      <c r="C103">
        <v>0.64</v>
      </c>
      <c r="D103">
        <v>0.505</v>
      </c>
      <c r="E103">
        <v>0.19</v>
      </c>
      <c r="F103">
        <v>1.2355</v>
      </c>
      <c r="G103">
        <v>0.44350000000000001</v>
      </c>
      <c r="H103">
        <v>0.3105</v>
      </c>
      <c r="I103">
        <v>0.36499999999999999</v>
      </c>
      <c r="J103">
        <v>14</v>
      </c>
      <c r="K103">
        <v>2</v>
      </c>
      <c r="L103" t="s">
        <v>49</v>
      </c>
      <c r="M103" t="s">
        <v>50</v>
      </c>
      <c r="N103" t="s">
        <v>51</v>
      </c>
      <c r="O103">
        <v>2</v>
      </c>
      <c r="P103" t="s">
        <v>5</v>
      </c>
      <c r="Q103">
        <v>18</v>
      </c>
    </row>
    <row r="104" spans="1:17">
      <c r="A104">
        <v>1555</v>
      </c>
      <c r="B104" t="s">
        <v>33</v>
      </c>
      <c r="C104">
        <v>0.41</v>
      </c>
      <c r="D104">
        <v>0.3</v>
      </c>
      <c r="E104">
        <v>0.09</v>
      </c>
      <c r="F104">
        <v>0.30399999999999999</v>
      </c>
      <c r="G104">
        <v>0.129</v>
      </c>
      <c r="H104">
        <v>7.0999999999999994E-2</v>
      </c>
      <c r="I104">
        <v>9.5500000000000002E-2</v>
      </c>
      <c r="J104">
        <v>8</v>
      </c>
      <c r="K104">
        <v>4</v>
      </c>
      <c r="L104" t="s">
        <v>40</v>
      </c>
      <c r="M104" t="s">
        <v>41</v>
      </c>
      <c r="N104" t="s">
        <v>42</v>
      </c>
      <c r="O104">
        <v>1</v>
      </c>
      <c r="P104" t="s">
        <v>4</v>
      </c>
      <c r="Q104">
        <v>22.1</v>
      </c>
    </row>
    <row r="105" spans="1:17">
      <c r="A105">
        <v>2338</v>
      </c>
      <c r="B105" t="s">
        <v>33</v>
      </c>
      <c r="C105">
        <v>0.56000000000000005</v>
      </c>
      <c r="D105">
        <v>0.45500000000000002</v>
      </c>
      <c r="E105">
        <v>0.16500000000000001</v>
      </c>
      <c r="F105">
        <v>0.86</v>
      </c>
      <c r="G105">
        <v>0.40150000000000002</v>
      </c>
      <c r="H105">
        <v>0.16950000000000001</v>
      </c>
      <c r="I105">
        <v>0.245</v>
      </c>
      <c r="J105">
        <v>11</v>
      </c>
      <c r="K105">
        <v>15</v>
      </c>
      <c r="L105" t="s">
        <v>60</v>
      </c>
      <c r="M105" t="s">
        <v>61</v>
      </c>
      <c r="N105" t="s">
        <v>45</v>
      </c>
      <c r="O105">
        <v>10</v>
      </c>
      <c r="P105" t="s">
        <v>11</v>
      </c>
      <c r="Q105">
        <v>24.1</v>
      </c>
    </row>
    <row r="106" spans="1:17">
      <c r="A106">
        <v>850</v>
      </c>
      <c r="B106" t="s">
        <v>33</v>
      </c>
      <c r="C106">
        <v>0.55000000000000004</v>
      </c>
      <c r="D106">
        <v>0.45</v>
      </c>
      <c r="E106">
        <v>0.15</v>
      </c>
      <c r="F106">
        <v>1.0145</v>
      </c>
      <c r="G106">
        <v>0.40699999999999997</v>
      </c>
      <c r="H106">
        <v>0.20150000000000001</v>
      </c>
      <c r="I106">
        <v>0.28749999999999998</v>
      </c>
      <c r="J106">
        <v>10</v>
      </c>
      <c r="K106">
        <v>2</v>
      </c>
      <c r="L106" t="s">
        <v>49</v>
      </c>
      <c r="M106" t="s">
        <v>50</v>
      </c>
      <c r="N106" t="s">
        <v>51</v>
      </c>
      <c r="O106">
        <v>6</v>
      </c>
      <c r="P106" t="s">
        <v>7</v>
      </c>
      <c r="Q106">
        <v>14.1</v>
      </c>
    </row>
    <row r="107" spans="1:17">
      <c r="A107">
        <v>4163</v>
      </c>
      <c r="B107" t="s">
        <v>33</v>
      </c>
      <c r="C107">
        <v>0.38500000000000001</v>
      </c>
      <c r="D107">
        <v>0.255</v>
      </c>
      <c r="E107">
        <v>0.1</v>
      </c>
      <c r="F107">
        <v>0.3175</v>
      </c>
      <c r="G107">
        <v>0.13700000000000001</v>
      </c>
      <c r="H107">
        <v>6.8000000000000005E-2</v>
      </c>
      <c r="I107">
        <v>9.1999999999999998E-2</v>
      </c>
      <c r="J107">
        <v>8</v>
      </c>
      <c r="K107">
        <v>6</v>
      </c>
      <c r="L107" t="s">
        <v>46</v>
      </c>
      <c r="M107" t="s">
        <v>47</v>
      </c>
      <c r="N107" t="s">
        <v>48</v>
      </c>
      <c r="O107">
        <v>7</v>
      </c>
      <c r="P107" t="s">
        <v>6</v>
      </c>
      <c r="Q107">
        <v>2.5</v>
      </c>
    </row>
    <row r="108" spans="1:17">
      <c r="A108">
        <v>3818</v>
      </c>
      <c r="B108" t="s">
        <v>33</v>
      </c>
      <c r="C108">
        <v>0.47499999999999998</v>
      </c>
      <c r="D108">
        <v>0.38500000000000001</v>
      </c>
      <c r="E108">
        <v>0.12</v>
      </c>
      <c r="F108">
        <v>0.56200000000000006</v>
      </c>
      <c r="G108">
        <v>0.28899999999999998</v>
      </c>
      <c r="H108">
        <v>9.0499999999999997E-2</v>
      </c>
      <c r="I108">
        <v>0.153</v>
      </c>
      <c r="J108">
        <v>8</v>
      </c>
      <c r="K108">
        <v>8</v>
      </c>
      <c r="L108" t="s">
        <v>55</v>
      </c>
      <c r="M108" t="s">
        <v>56</v>
      </c>
      <c r="N108" t="s">
        <v>57</v>
      </c>
      <c r="O108">
        <v>9</v>
      </c>
      <c r="P108" t="s">
        <v>9</v>
      </c>
      <c r="Q108">
        <v>1.9</v>
      </c>
    </row>
    <row r="109" spans="1:17">
      <c r="A109">
        <v>4004</v>
      </c>
      <c r="B109" t="s">
        <v>33</v>
      </c>
      <c r="C109">
        <v>0.51</v>
      </c>
      <c r="D109">
        <v>0.39</v>
      </c>
      <c r="E109">
        <v>0.125</v>
      </c>
      <c r="F109">
        <v>0.59699999999999998</v>
      </c>
      <c r="G109">
        <v>0.29299999999999998</v>
      </c>
      <c r="H109">
        <v>0.1265</v>
      </c>
      <c r="I109">
        <v>0.1555</v>
      </c>
      <c r="J109">
        <v>8</v>
      </c>
      <c r="K109">
        <v>6</v>
      </c>
      <c r="L109" t="s">
        <v>46</v>
      </c>
      <c r="M109" t="s">
        <v>47</v>
      </c>
      <c r="N109" t="s">
        <v>48</v>
      </c>
      <c r="O109">
        <v>8</v>
      </c>
      <c r="P109" t="s">
        <v>13</v>
      </c>
      <c r="Q109">
        <v>12.3</v>
      </c>
    </row>
    <row r="110" spans="1:17">
      <c r="A110">
        <v>3920</v>
      </c>
      <c r="B110" t="s">
        <v>33</v>
      </c>
      <c r="C110">
        <v>0.56499999999999995</v>
      </c>
      <c r="D110">
        <v>0.43</v>
      </c>
      <c r="E110">
        <v>0.13500000000000001</v>
      </c>
      <c r="F110">
        <v>0.85450000000000004</v>
      </c>
      <c r="G110">
        <v>0.32100000000000001</v>
      </c>
      <c r="H110">
        <v>0.17749999999999999</v>
      </c>
      <c r="I110">
        <v>0.27500000000000002</v>
      </c>
      <c r="J110">
        <v>11</v>
      </c>
      <c r="K110">
        <v>14</v>
      </c>
      <c r="L110" t="s">
        <v>72</v>
      </c>
      <c r="M110" t="s">
        <v>73</v>
      </c>
      <c r="N110" t="s">
        <v>74</v>
      </c>
      <c r="O110">
        <v>7</v>
      </c>
      <c r="P110" t="s">
        <v>6</v>
      </c>
      <c r="Q110">
        <v>2.5</v>
      </c>
    </row>
    <row r="111" spans="1:17">
      <c r="A111">
        <v>2494</v>
      </c>
      <c r="B111" t="s">
        <v>33</v>
      </c>
      <c r="C111">
        <v>0.42</v>
      </c>
      <c r="D111">
        <v>0.31</v>
      </c>
      <c r="E111">
        <v>0.1</v>
      </c>
      <c r="F111">
        <v>0.28649999999999998</v>
      </c>
      <c r="G111">
        <v>0.115</v>
      </c>
      <c r="H111">
        <v>7.3499999999999996E-2</v>
      </c>
      <c r="I111">
        <v>8.5000000000000006E-2</v>
      </c>
      <c r="J111">
        <v>8</v>
      </c>
      <c r="K111">
        <v>7</v>
      </c>
      <c r="L111" t="s">
        <v>62</v>
      </c>
      <c r="M111" t="s">
        <v>63</v>
      </c>
      <c r="N111" t="s">
        <v>64</v>
      </c>
      <c r="O111">
        <v>5</v>
      </c>
      <c r="P111" t="s">
        <v>12</v>
      </c>
      <c r="Q111">
        <v>12.8</v>
      </c>
    </row>
    <row r="112" spans="1:17">
      <c r="A112">
        <v>3667</v>
      </c>
      <c r="B112" t="s">
        <v>33</v>
      </c>
      <c r="C112">
        <v>0.57499999999999996</v>
      </c>
      <c r="D112">
        <v>0.44</v>
      </c>
      <c r="E112">
        <v>0.15</v>
      </c>
      <c r="F112">
        <v>0.98299999999999998</v>
      </c>
      <c r="G112">
        <v>0.48599999999999999</v>
      </c>
      <c r="H112">
        <v>0.215</v>
      </c>
      <c r="I112">
        <v>0.23899999999999999</v>
      </c>
      <c r="J112">
        <v>8</v>
      </c>
      <c r="K112">
        <v>1</v>
      </c>
      <c r="L112" t="s">
        <v>70</v>
      </c>
      <c r="M112" t="s">
        <v>71</v>
      </c>
      <c r="N112" t="s">
        <v>45</v>
      </c>
      <c r="O112">
        <v>9</v>
      </c>
      <c r="P112" t="s">
        <v>9</v>
      </c>
      <c r="Q112">
        <v>1.9</v>
      </c>
    </row>
    <row r="113" spans="1:17">
      <c r="A113">
        <v>952</v>
      </c>
      <c r="B113" t="s">
        <v>33</v>
      </c>
      <c r="C113">
        <v>0.48</v>
      </c>
      <c r="D113">
        <v>0.36</v>
      </c>
      <c r="E113">
        <v>0.1</v>
      </c>
      <c r="F113">
        <v>0.439</v>
      </c>
      <c r="G113">
        <v>0.19400000000000001</v>
      </c>
      <c r="H113">
        <v>9.9000000000000005E-2</v>
      </c>
      <c r="I113">
        <v>0.115</v>
      </c>
      <c r="J113">
        <v>8</v>
      </c>
      <c r="K113">
        <v>9</v>
      </c>
      <c r="L113" t="s">
        <v>34</v>
      </c>
      <c r="M113" t="s">
        <v>35</v>
      </c>
      <c r="N113" t="s">
        <v>36</v>
      </c>
      <c r="O113">
        <v>10</v>
      </c>
      <c r="P113" t="s">
        <v>11</v>
      </c>
      <c r="Q113">
        <v>24.1</v>
      </c>
    </row>
    <row r="114" spans="1:17">
      <c r="A114">
        <v>2990</v>
      </c>
      <c r="B114" t="s">
        <v>33</v>
      </c>
      <c r="C114">
        <v>0.56000000000000005</v>
      </c>
      <c r="D114">
        <v>0.42499999999999999</v>
      </c>
      <c r="E114">
        <v>0.13500000000000001</v>
      </c>
      <c r="F114">
        <v>0.9415</v>
      </c>
      <c r="G114">
        <v>0.50900000000000001</v>
      </c>
      <c r="H114">
        <v>0.20150000000000001</v>
      </c>
      <c r="I114">
        <v>0.19750000000000001</v>
      </c>
      <c r="J114">
        <v>9</v>
      </c>
      <c r="K114">
        <v>15</v>
      </c>
      <c r="L114" t="s">
        <v>60</v>
      </c>
      <c r="M114" t="s">
        <v>61</v>
      </c>
      <c r="N114" t="s">
        <v>45</v>
      </c>
      <c r="O114">
        <v>8</v>
      </c>
      <c r="P114" t="s">
        <v>13</v>
      </c>
      <c r="Q114">
        <v>12.3</v>
      </c>
    </row>
    <row r="115" spans="1:17">
      <c r="A115">
        <v>2743</v>
      </c>
      <c r="B115" t="s">
        <v>33</v>
      </c>
      <c r="C115">
        <v>0.46</v>
      </c>
      <c r="D115">
        <v>0.34499999999999997</v>
      </c>
      <c r="E115">
        <v>0.105</v>
      </c>
      <c r="F115">
        <v>0.41499999999999998</v>
      </c>
      <c r="G115">
        <v>0.187</v>
      </c>
      <c r="H115">
        <v>8.6999999999999994E-2</v>
      </c>
      <c r="I115">
        <v>0.11</v>
      </c>
      <c r="J115">
        <v>8</v>
      </c>
      <c r="K115">
        <v>1</v>
      </c>
      <c r="L115" t="s">
        <v>70</v>
      </c>
      <c r="M115" t="s">
        <v>71</v>
      </c>
      <c r="N115" t="s">
        <v>45</v>
      </c>
      <c r="O115">
        <v>9</v>
      </c>
      <c r="P115" t="s">
        <v>9</v>
      </c>
      <c r="Q115">
        <v>1.9</v>
      </c>
    </row>
    <row r="116" spans="1:17">
      <c r="A116">
        <v>2672</v>
      </c>
      <c r="B116" t="s">
        <v>33</v>
      </c>
      <c r="C116">
        <v>0.59</v>
      </c>
      <c r="D116">
        <v>0.46</v>
      </c>
      <c r="E116">
        <v>0.16</v>
      </c>
      <c r="F116">
        <v>1.0115000000000001</v>
      </c>
      <c r="G116">
        <v>0.44500000000000001</v>
      </c>
      <c r="H116">
        <v>0.26150000000000001</v>
      </c>
      <c r="I116">
        <v>0.25650000000000001</v>
      </c>
      <c r="J116">
        <v>8</v>
      </c>
      <c r="K116">
        <v>4</v>
      </c>
      <c r="L116" t="s">
        <v>40</v>
      </c>
      <c r="M116" t="s">
        <v>41</v>
      </c>
      <c r="N116" t="s">
        <v>42</v>
      </c>
      <c r="O116">
        <v>9</v>
      </c>
      <c r="P116" t="s">
        <v>9</v>
      </c>
      <c r="Q116">
        <v>1.9</v>
      </c>
    </row>
    <row r="117" spans="1:17">
      <c r="A117">
        <v>748</v>
      </c>
      <c r="B117" t="s">
        <v>33</v>
      </c>
      <c r="C117">
        <v>0.52</v>
      </c>
      <c r="D117">
        <v>0.38500000000000001</v>
      </c>
      <c r="E117">
        <v>0.14000000000000001</v>
      </c>
      <c r="F117">
        <v>0.65949999999999998</v>
      </c>
      <c r="G117">
        <v>0.2485</v>
      </c>
      <c r="H117">
        <v>0.20349999999999999</v>
      </c>
      <c r="I117">
        <v>0.16</v>
      </c>
      <c r="J117">
        <v>9</v>
      </c>
      <c r="K117">
        <v>3</v>
      </c>
      <c r="L117" t="s">
        <v>52</v>
      </c>
      <c r="M117" t="s">
        <v>53</v>
      </c>
      <c r="N117" t="s">
        <v>54</v>
      </c>
      <c r="O117">
        <v>4</v>
      </c>
      <c r="P117" t="s">
        <v>8</v>
      </c>
      <c r="Q117">
        <v>6.1</v>
      </c>
    </row>
    <row r="118" spans="1:17">
      <c r="A118">
        <v>3831</v>
      </c>
      <c r="B118" t="s">
        <v>33</v>
      </c>
      <c r="C118">
        <v>0.5</v>
      </c>
      <c r="D118">
        <v>0.38500000000000001</v>
      </c>
      <c r="E118">
        <v>0.12</v>
      </c>
      <c r="F118">
        <v>0.63349999999999995</v>
      </c>
      <c r="G118">
        <v>0.23050000000000001</v>
      </c>
      <c r="H118">
        <v>0.125</v>
      </c>
      <c r="I118">
        <v>0.23499999999999999</v>
      </c>
      <c r="J118">
        <v>14</v>
      </c>
      <c r="K118">
        <v>1</v>
      </c>
      <c r="L118" t="s">
        <v>70</v>
      </c>
      <c r="M118" t="s">
        <v>71</v>
      </c>
      <c r="N118" t="s">
        <v>45</v>
      </c>
      <c r="O118">
        <v>8</v>
      </c>
      <c r="P118" t="s">
        <v>13</v>
      </c>
      <c r="Q118">
        <v>12.3</v>
      </c>
    </row>
    <row r="119" spans="1:17">
      <c r="A119">
        <v>1992</v>
      </c>
      <c r="B119" t="s">
        <v>33</v>
      </c>
      <c r="C119">
        <v>0.28499999999999998</v>
      </c>
      <c r="D119">
        <v>0.215</v>
      </c>
      <c r="E119">
        <v>0.06</v>
      </c>
      <c r="F119">
        <v>9.35E-2</v>
      </c>
      <c r="G119">
        <v>3.1E-2</v>
      </c>
      <c r="H119">
        <v>2.3E-2</v>
      </c>
      <c r="I119">
        <v>0.03</v>
      </c>
      <c r="J119">
        <v>6</v>
      </c>
      <c r="K119">
        <v>9</v>
      </c>
      <c r="L119" t="s">
        <v>34</v>
      </c>
      <c r="M119" t="s">
        <v>35</v>
      </c>
      <c r="N119" t="s">
        <v>36</v>
      </c>
      <c r="O119">
        <v>5</v>
      </c>
      <c r="P119" t="s">
        <v>12</v>
      </c>
      <c r="Q119">
        <v>12.8</v>
      </c>
    </row>
    <row r="120" spans="1:17">
      <c r="A120">
        <v>91</v>
      </c>
      <c r="B120" t="s">
        <v>33</v>
      </c>
      <c r="C120">
        <v>0.56499999999999995</v>
      </c>
      <c r="D120">
        <v>0.42499999999999999</v>
      </c>
      <c r="E120">
        <v>0.13500000000000001</v>
      </c>
      <c r="F120">
        <v>0.8115</v>
      </c>
      <c r="G120">
        <v>0.34100000000000003</v>
      </c>
      <c r="H120">
        <v>0.16750000000000001</v>
      </c>
      <c r="I120">
        <v>0.255</v>
      </c>
      <c r="J120">
        <v>15</v>
      </c>
      <c r="K120">
        <v>13</v>
      </c>
      <c r="L120" t="s">
        <v>43</v>
      </c>
      <c r="M120" t="s">
        <v>44</v>
      </c>
      <c r="N120" t="s">
        <v>45</v>
      </c>
      <c r="O120">
        <v>3</v>
      </c>
      <c r="P120" t="s">
        <v>10</v>
      </c>
      <c r="Q120">
        <v>3.6</v>
      </c>
    </row>
    <row r="121" spans="1:17">
      <c r="A121">
        <v>2565</v>
      </c>
      <c r="B121" t="s">
        <v>33</v>
      </c>
      <c r="C121">
        <v>0.45</v>
      </c>
      <c r="D121">
        <v>0.35</v>
      </c>
      <c r="E121">
        <v>0.125</v>
      </c>
      <c r="F121">
        <v>0.47749999999999998</v>
      </c>
      <c r="G121">
        <v>0.2235</v>
      </c>
      <c r="H121">
        <v>8.8999999999999996E-2</v>
      </c>
      <c r="I121">
        <v>0.11799999999999999</v>
      </c>
      <c r="J121">
        <v>6</v>
      </c>
      <c r="K121">
        <v>6</v>
      </c>
      <c r="L121" t="s">
        <v>46</v>
      </c>
      <c r="M121" t="s">
        <v>47</v>
      </c>
      <c r="N121" t="s">
        <v>48</v>
      </c>
      <c r="O121">
        <v>8</v>
      </c>
      <c r="P121" t="s">
        <v>13</v>
      </c>
      <c r="Q121">
        <v>12.3</v>
      </c>
    </row>
    <row r="122" spans="1:17">
      <c r="A122">
        <v>2495</v>
      </c>
      <c r="B122" t="s">
        <v>33</v>
      </c>
      <c r="C122">
        <v>0.4</v>
      </c>
      <c r="D122">
        <v>0.30499999999999999</v>
      </c>
      <c r="E122">
        <v>0.13</v>
      </c>
      <c r="F122">
        <v>0.29349999999999998</v>
      </c>
      <c r="G122">
        <v>9.6000000000000002E-2</v>
      </c>
      <c r="H122">
        <v>6.7500000000000004E-2</v>
      </c>
      <c r="I122">
        <v>0.105</v>
      </c>
      <c r="J122">
        <v>9</v>
      </c>
      <c r="K122">
        <v>9</v>
      </c>
      <c r="L122" t="s">
        <v>34</v>
      </c>
      <c r="M122" t="s">
        <v>35</v>
      </c>
      <c r="N122" t="s">
        <v>36</v>
      </c>
      <c r="O122">
        <v>3</v>
      </c>
      <c r="P122" t="s">
        <v>10</v>
      </c>
      <c r="Q122">
        <v>3.6</v>
      </c>
    </row>
    <row r="123" spans="1:17">
      <c r="A123">
        <v>2057</v>
      </c>
      <c r="B123" t="s">
        <v>33</v>
      </c>
      <c r="C123">
        <v>0.47499999999999998</v>
      </c>
      <c r="D123">
        <v>0.38</v>
      </c>
      <c r="E123">
        <v>0.14000000000000001</v>
      </c>
      <c r="F123">
        <v>0.68899999999999995</v>
      </c>
      <c r="G123">
        <v>0.3165</v>
      </c>
      <c r="H123">
        <v>0.13150000000000001</v>
      </c>
      <c r="I123">
        <v>0.19550000000000001</v>
      </c>
      <c r="J123">
        <v>7</v>
      </c>
      <c r="K123">
        <v>7</v>
      </c>
      <c r="L123" t="s">
        <v>62</v>
      </c>
      <c r="M123" t="s">
        <v>63</v>
      </c>
      <c r="N123" t="s">
        <v>64</v>
      </c>
      <c r="O123">
        <v>8</v>
      </c>
      <c r="P123" t="s">
        <v>13</v>
      </c>
      <c r="Q123">
        <v>12.3</v>
      </c>
    </row>
    <row r="124" spans="1:17">
      <c r="A124">
        <v>2531</v>
      </c>
      <c r="B124" t="s">
        <v>33</v>
      </c>
      <c r="C124">
        <v>0.6</v>
      </c>
      <c r="D124">
        <v>0.48499999999999999</v>
      </c>
      <c r="E124">
        <v>0.16500000000000001</v>
      </c>
      <c r="F124">
        <v>1.1405000000000001</v>
      </c>
      <c r="G124">
        <v>0.58699999999999997</v>
      </c>
      <c r="H124">
        <v>0.2175</v>
      </c>
      <c r="I124">
        <v>0.28799999999999998</v>
      </c>
      <c r="J124">
        <v>9</v>
      </c>
      <c r="K124">
        <v>12</v>
      </c>
      <c r="L124" t="s">
        <v>58</v>
      </c>
      <c r="M124" t="s">
        <v>59</v>
      </c>
      <c r="N124" t="s">
        <v>45</v>
      </c>
      <c r="O124">
        <v>8</v>
      </c>
      <c r="P124" t="s">
        <v>13</v>
      </c>
      <c r="Q124">
        <v>12.3</v>
      </c>
    </row>
    <row r="125" spans="1:17">
      <c r="A125">
        <v>3238</v>
      </c>
      <c r="B125" t="s">
        <v>33</v>
      </c>
      <c r="C125">
        <v>0.63500000000000001</v>
      </c>
      <c r="D125">
        <v>0.51</v>
      </c>
      <c r="E125">
        <v>0.155</v>
      </c>
      <c r="F125">
        <v>1.1559999999999999</v>
      </c>
      <c r="G125">
        <v>0.42799999999999999</v>
      </c>
      <c r="H125">
        <v>0.28899999999999998</v>
      </c>
      <c r="I125">
        <v>0.315</v>
      </c>
      <c r="J125">
        <v>18</v>
      </c>
      <c r="K125">
        <v>6</v>
      </c>
      <c r="L125" t="s">
        <v>46</v>
      </c>
      <c r="M125" t="s">
        <v>47</v>
      </c>
      <c r="N125" t="s">
        <v>48</v>
      </c>
      <c r="O125">
        <v>8</v>
      </c>
      <c r="P125" t="s">
        <v>13</v>
      </c>
      <c r="Q125">
        <v>12.3</v>
      </c>
    </row>
    <row r="126" spans="1:17">
      <c r="A126">
        <v>3833</v>
      </c>
      <c r="B126" t="s">
        <v>33</v>
      </c>
      <c r="C126">
        <v>0.46</v>
      </c>
      <c r="D126">
        <v>0.36499999999999999</v>
      </c>
      <c r="E126">
        <v>0.115</v>
      </c>
      <c r="F126">
        <v>0.44850000000000001</v>
      </c>
      <c r="G126">
        <v>0.16500000000000001</v>
      </c>
      <c r="H126">
        <v>8.3000000000000004E-2</v>
      </c>
      <c r="I126">
        <v>0.17</v>
      </c>
      <c r="J126">
        <v>14</v>
      </c>
      <c r="K126">
        <v>14</v>
      </c>
      <c r="L126" t="s">
        <v>72</v>
      </c>
      <c r="M126" t="s">
        <v>73</v>
      </c>
      <c r="N126" t="s">
        <v>74</v>
      </c>
      <c r="O126">
        <v>2</v>
      </c>
      <c r="P126" t="s">
        <v>5</v>
      </c>
      <c r="Q126">
        <v>18</v>
      </c>
    </row>
    <row r="127" spans="1:17">
      <c r="A127">
        <v>3611</v>
      </c>
      <c r="B127" t="s">
        <v>33</v>
      </c>
      <c r="C127">
        <v>0.57999999999999996</v>
      </c>
      <c r="D127">
        <v>0.45</v>
      </c>
      <c r="E127">
        <v>0.16</v>
      </c>
      <c r="F127">
        <v>0.86750000000000005</v>
      </c>
      <c r="G127">
        <v>0.39350000000000002</v>
      </c>
      <c r="H127">
        <v>0.221</v>
      </c>
      <c r="I127">
        <v>0.215</v>
      </c>
      <c r="J127">
        <v>9</v>
      </c>
      <c r="K127">
        <v>11</v>
      </c>
      <c r="L127" t="s">
        <v>65</v>
      </c>
      <c r="M127" t="s">
        <v>66</v>
      </c>
      <c r="N127" t="s">
        <v>45</v>
      </c>
      <c r="O127">
        <v>1</v>
      </c>
      <c r="P127" t="s">
        <v>4</v>
      </c>
      <c r="Q127">
        <v>22.1</v>
      </c>
    </row>
    <row r="128" spans="1:17">
      <c r="A128">
        <v>2750</v>
      </c>
      <c r="B128" t="s">
        <v>33</v>
      </c>
      <c r="C128">
        <v>0.505</v>
      </c>
      <c r="D128">
        <v>0.38</v>
      </c>
      <c r="E128">
        <v>0.13500000000000001</v>
      </c>
      <c r="F128">
        <v>0.53849999999999998</v>
      </c>
      <c r="G128">
        <v>0.26450000000000001</v>
      </c>
      <c r="H128">
        <v>9.5000000000000001E-2</v>
      </c>
      <c r="I128">
        <v>0.16500000000000001</v>
      </c>
      <c r="J128">
        <v>9</v>
      </c>
      <c r="K128">
        <v>1</v>
      </c>
      <c r="L128" t="s">
        <v>70</v>
      </c>
      <c r="M128" t="s">
        <v>71</v>
      </c>
      <c r="N128" t="s">
        <v>45</v>
      </c>
      <c r="O128">
        <v>8</v>
      </c>
      <c r="P128" t="s">
        <v>13</v>
      </c>
      <c r="Q128">
        <v>12.3</v>
      </c>
    </row>
    <row r="129" spans="1:17">
      <c r="A129">
        <v>3476</v>
      </c>
      <c r="B129" t="s">
        <v>33</v>
      </c>
      <c r="C129">
        <v>0.4</v>
      </c>
      <c r="D129">
        <v>0.315</v>
      </c>
      <c r="E129">
        <v>8.5000000000000006E-2</v>
      </c>
      <c r="F129">
        <v>0.26750000000000002</v>
      </c>
      <c r="G129">
        <v>0.11600000000000001</v>
      </c>
      <c r="H129">
        <v>5.8500000000000003E-2</v>
      </c>
      <c r="I129">
        <v>7.6499999999999999E-2</v>
      </c>
      <c r="J129">
        <v>6</v>
      </c>
      <c r="K129">
        <v>10</v>
      </c>
      <c r="L129" t="s">
        <v>37</v>
      </c>
      <c r="M129" t="s">
        <v>38</v>
      </c>
      <c r="N129" t="s">
        <v>39</v>
      </c>
      <c r="O129">
        <v>8</v>
      </c>
      <c r="P129" t="s">
        <v>13</v>
      </c>
      <c r="Q129">
        <v>12.3</v>
      </c>
    </row>
    <row r="130" spans="1:17">
      <c r="A130">
        <v>258</v>
      </c>
      <c r="B130" t="s">
        <v>33</v>
      </c>
      <c r="C130">
        <v>0.54500000000000004</v>
      </c>
      <c r="D130">
        <v>0.46</v>
      </c>
      <c r="E130">
        <v>0.16</v>
      </c>
      <c r="F130">
        <v>0.89749999999999996</v>
      </c>
      <c r="G130">
        <v>0.34100000000000003</v>
      </c>
      <c r="H130">
        <v>0.16550000000000001</v>
      </c>
      <c r="I130">
        <v>0.34499999999999997</v>
      </c>
      <c r="J130">
        <v>10</v>
      </c>
      <c r="K130">
        <v>6</v>
      </c>
      <c r="L130" t="s">
        <v>46</v>
      </c>
      <c r="M130" t="s">
        <v>47</v>
      </c>
      <c r="N130" t="s">
        <v>48</v>
      </c>
      <c r="O130">
        <v>6</v>
      </c>
      <c r="P130" t="s">
        <v>7</v>
      </c>
      <c r="Q130">
        <v>14.1</v>
      </c>
    </row>
    <row r="131" spans="1:17">
      <c r="A131">
        <v>1907</v>
      </c>
      <c r="B131" t="s">
        <v>33</v>
      </c>
      <c r="C131">
        <v>0.57499999999999996</v>
      </c>
      <c r="D131">
        <v>0.45</v>
      </c>
      <c r="E131">
        <v>0.13500000000000001</v>
      </c>
      <c r="F131">
        <v>0.82450000000000001</v>
      </c>
      <c r="G131">
        <v>0.33750000000000002</v>
      </c>
      <c r="H131">
        <v>0.21149999999999999</v>
      </c>
      <c r="I131">
        <v>0.23899999999999999</v>
      </c>
      <c r="J131">
        <v>11</v>
      </c>
      <c r="K131">
        <v>1</v>
      </c>
      <c r="L131" t="s">
        <v>70</v>
      </c>
      <c r="M131" t="s">
        <v>71</v>
      </c>
      <c r="N131" t="s">
        <v>45</v>
      </c>
      <c r="O131">
        <v>8</v>
      </c>
      <c r="P131" t="s">
        <v>13</v>
      </c>
      <c r="Q131">
        <v>12.3</v>
      </c>
    </row>
    <row r="132" spans="1:17">
      <c r="A132">
        <v>218</v>
      </c>
      <c r="B132" t="s">
        <v>33</v>
      </c>
      <c r="C132">
        <v>0.40500000000000003</v>
      </c>
      <c r="D132">
        <v>0.3</v>
      </c>
      <c r="E132">
        <v>0.12</v>
      </c>
      <c r="F132">
        <v>0.32400000000000001</v>
      </c>
      <c r="G132">
        <v>0.1265</v>
      </c>
      <c r="H132">
        <v>7.0000000000000007E-2</v>
      </c>
      <c r="I132">
        <v>0.11</v>
      </c>
      <c r="J132">
        <v>7</v>
      </c>
      <c r="K132">
        <v>11</v>
      </c>
      <c r="L132" t="s">
        <v>65</v>
      </c>
      <c r="M132" t="s">
        <v>66</v>
      </c>
      <c r="N132" t="s">
        <v>45</v>
      </c>
      <c r="O132">
        <v>6</v>
      </c>
      <c r="P132" t="s">
        <v>7</v>
      </c>
      <c r="Q132">
        <v>14.1</v>
      </c>
    </row>
    <row r="133" spans="1:17">
      <c r="A133">
        <v>904</v>
      </c>
      <c r="B133" t="s">
        <v>33</v>
      </c>
      <c r="C133">
        <v>0.315</v>
      </c>
      <c r="D133">
        <v>0.23499999999999999</v>
      </c>
      <c r="E133">
        <v>7.4999999999999997E-2</v>
      </c>
      <c r="F133">
        <v>0.14849999999999999</v>
      </c>
      <c r="G133">
        <v>5.8500000000000003E-2</v>
      </c>
      <c r="H133">
        <v>3.7499999999999999E-2</v>
      </c>
      <c r="I133">
        <v>4.2500000000000003E-2</v>
      </c>
      <c r="J133">
        <v>6</v>
      </c>
      <c r="K133">
        <v>15</v>
      </c>
      <c r="L133" t="s">
        <v>60</v>
      </c>
      <c r="M133" t="s">
        <v>61</v>
      </c>
      <c r="N133" t="s">
        <v>45</v>
      </c>
      <c r="O133">
        <v>6</v>
      </c>
      <c r="P133" t="s">
        <v>7</v>
      </c>
      <c r="Q133">
        <v>14.1</v>
      </c>
    </row>
    <row r="134" spans="1:17">
      <c r="A134">
        <v>909</v>
      </c>
      <c r="B134" t="s">
        <v>33</v>
      </c>
      <c r="C134">
        <v>0.33500000000000002</v>
      </c>
      <c r="D134">
        <v>0.25</v>
      </c>
      <c r="E134">
        <v>7.4999999999999997E-2</v>
      </c>
      <c r="F134">
        <v>0.1825</v>
      </c>
      <c r="G134">
        <v>7.0499999999999993E-2</v>
      </c>
      <c r="H134">
        <v>4.3999999999999997E-2</v>
      </c>
      <c r="I134">
        <v>5.5E-2</v>
      </c>
      <c r="J134">
        <v>7</v>
      </c>
      <c r="K134">
        <v>13</v>
      </c>
      <c r="L134" t="s">
        <v>43</v>
      </c>
      <c r="M134" t="s">
        <v>44</v>
      </c>
      <c r="N134" t="s">
        <v>45</v>
      </c>
      <c r="O134">
        <v>5</v>
      </c>
      <c r="P134" t="s">
        <v>12</v>
      </c>
      <c r="Q134">
        <v>12.8</v>
      </c>
    </row>
    <row r="135" spans="1:17">
      <c r="A135">
        <v>303</v>
      </c>
      <c r="B135" t="s">
        <v>33</v>
      </c>
      <c r="C135">
        <v>0.37</v>
      </c>
      <c r="D135">
        <v>0.28000000000000003</v>
      </c>
      <c r="E135">
        <v>0.1</v>
      </c>
      <c r="F135">
        <v>0.252</v>
      </c>
      <c r="G135">
        <v>0.1065</v>
      </c>
      <c r="H135">
        <v>5.9499999999999997E-2</v>
      </c>
      <c r="I135">
        <v>7.3999999999999996E-2</v>
      </c>
      <c r="J135">
        <v>8</v>
      </c>
      <c r="K135">
        <v>8</v>
      </c>
      <c r="L135" t="s">
        <v>55</v>
      </c>
      <c r="M135" t="s">
        <v>56</v>
      </c>
      <c r="N135" t="s">
        <v>57</v>
      </c>
      <c r="O135">
        <v>6</v>
      </c>
      <c r="P135" t="s">
        <v>7</v>
      </c>
      <c r="Q135">
        <v>14.1</v>
      </c>
    </row>
    <row r="136" spans="1:17">
      <c r="A136">
        <v>1093</v>
      </c>
      <c r="B136" t="s">
        <v>33</v>
      </c>
      <c r="C136">
        <v>0.46</v>
      </c>
      <c r="D136">
        <v>0.35</v>
      </c>
      <c r="E136">
        <v>0.115</v>
      </c>
      <c r="F136">
        <v>0.41549999999999998</v>
      </c>
      <c r="G136">
        <v>0.18</v>
      </c>
      <c r="H136">
        <v>9.8000000000000004E-2</v>
      </c>
      <c r="I136">
        <v>0.11749999999999999</v>
      </c>
      <c r="J136">
        <v>7</v>
      </c>
      <c r="K136">
        <v>6</v>
      </c>
      <c r="L136" t="s">
        <v>46</v>
      </c>
      <c r="M136" t="s">
        <v>47</v>
      </c>
      <c r="N136" t="s">
        <v>48</v>
      </c>
      <c r="O136">
        <v>3</v>
      </c>
      <c r="P136" t="s">
        <v>10</v>
      </c>
      <c r="Q136">
        <v>3.6</v>
      </c>
    </row>
    <row r="137" spans="1:17">
      <c r="A137">
        <v>2887</v>
      </c>
      <c r="B137" t="s">
        <v>33</v>
      </c>
      <c r="C137">
        <v>0.505</v>
      </c>
      <c r="D137">
        <v>0.36499999999999999</v>
      </c>
      <c r="E137">
        <v>0.115</v>
      </c>
      <c r="F137">
        <v>0.52100000000000002</v>
      </c>
      <c r="G137">
        <v>0.25</v>
      </c>
      <c r="H137">
        <v>9.6000000000000002E-2</v>
      </c>
      <c r="I137">
        <v>0.15</v>
      </c>
      <c r="J137">
        <v>8</v>
      </c>
      <c r="K137">
        <v>3</v>
      </c>
      <c r="L137" t="s">
        <v>52</v>
      </c>
      <c r="M137" t="s">
        <v>53</v>
      </c>
      <c r="N137" t="s">
        <v>54</v>
      </c>
      <c r="O137">
        <v>7</v>
      </c>
      <c r="P137" t="s">
        <v>6</v>
      </c>
      <c r="Q137">
        <v>2.5</v>
      </c>
    </row>
    <row r="138" spans="1:17">
      <c r="A138">
        <v>4082</v>
      </c>
      <c r="B138" t="s">
        <v>33</v>
      </c>
      <c r="C138">
        <v>0.56000000000000005</v>
      </c>
      <c r="D138">
        <v>0.45</v>
      </c>
      <c r="E138">
        <v>0.14499999999999999</v>
      </c>
      <c r="F138">
        <v>0.9355</v>
      </c>
      <c r="G138">
        <v>0.42499999999999999</v>
      </c>
      <c r="H138">
        <v>0.16450000000000001</v>
      </c>
      <c r="I138">
        <v>0.27250000000000002</v>
      </c>
      <c r="J138">
        <v>11</v>
      </c>
      <c r="K138">
        <v>5</v>
      </c>
      <c r="L138" t="s">
        <v>67</v>
      </c>
      <c r="M138" t="s">
        <v>68</v>
      </c>
      <c r="N138" t="s">
        <v>69</v>
      </c>
      <c r="O138">
        <v>5</v>
      </c>
      <c r="P138" t="s">
        <v>12</v>
      </c>
      <c r="Q138">
        <v>12.8</v>
      </c>
    </row>
    <row r="139" spans="1:17">
      <c r="A139">
        <v>3208</v>
      </c>
      <c r="B139" t="s">
        <v>33</v>
      </c>
      <c r="C139">
        <v>0.48</v>
      </c>
      <c r="D139">
        <v>0.38</v>
      </c>
      <c r="E139">
        <v>0.125</v>
      </c>
      <c r="F139">
        <v>0.52300000000000002</v>
      </c>
      <c r="G139">
        <v>0.21049999999999999</v>
      </c>
      <c r="H139">
        <v>0.1045</v>
      </c>
      <c r="I139">
        <v>0.17499999999999999</v>
      </c>
      <c r="J139">
        <v>15</v>
      </c>
      <c r="K139">
        <v>8</v>
      </c>
      <c r="L139" t="s">
        <v>55</v>
      </c>
      <c r="M139" t="s">
        <v>56</v>
      </c>
      <c r="N139" t="s">
        <v>57</v>
      </c>
      <c r="O139">
        <v>7</v>
      </c>
      <c r="P139" t="s">
        <v>6</v>
      </c>
      <c r="Q139">
        <v>2.5</v>
      </c>
    </row>
    <row r="140" spans="1:17">
      <c r="A140">
        <v>912</v>
      </c>
      <c r="B140" t="s">
        <v>33</v>
      </c>
      <c r="C140">
        <v>0.34</v>
      </c>
      <c r="D140">
        <v>0.25</v>
      </c>
      <c r="E140">
        <v>7.0000000000000007E-2</v>
      </c>
      <c r="F140">
        <v>0.2225</v>
      </c>
      <c r="G140">
        <v>0.104</v>
      </c>
      <c r="H140">
        <v>4.2500000000000003E-2</v>
      </c>
      <c r="I140">
        <v>5.5E-2</v>
      </c>
      <c r="J140">
        <v>7</v>
      </c>
      <c r="K140">
        <v>10</v>
      </c>
      <c r="L140" t="s">
        <v>37</v>
      </c>
      <c r="M140" t="s">
        <v>38</v>
      </c>
      <c r="N140" t="s">
        <v>39</v>
      </c>
      <c r="O140">
        <v>5</v>
      </c>
      <c r="P140" t="s">
        <v>12</v>
      </c>
      <c r="Q140">
        <v>12.8</v>
      </c>
    </row>
    <row r="141" spans="1:17">
      <c r="A141">
        <v>989</v>
      </c>
      <c r="B141" t="s">
        <v>33</v>
      </c>
      <c r="C141">
        <v>0.56999999999999995</v>
      </c>
      <c r="D141">
        <v>0.46</v>
      </c>
      <c r="E141">
        <v>0.17</v>
      </c>
      <c r="F141">
        <v>0.90349999999999997</v>
      </c>
      <c r="G141">
        <v>0.40749999999999997</v>
      </c>
      <c r="H141">
        <v>0.19350000000000001</v>
      </c>
      <c r="I141">
        <v>0.214</v>
      </c>
      <c r="J141">
        <v>7</v>
      </c>
      <c r="K141">
        <v>4</v>
      </c>
      <c r="L141" t="s">
        <v>40</v>
      </c>
      <c r="M141" t="s">
        <v>41</v>
      </c>
      <c r="N141" t="s">
        <v>42</v>
      </c>
      <c r="O141">
        <v>5</v>
      </c>
      <c r="P141" t="s">
        <v>12</v>
      </c>
      <c r="Q141">
        <v>12.8</v>
      </c>
    </row>
    <row r="142" spans="1:17">
      <c r="A142">
        <v>1145</v>
      </c>
      <c r="B142" t="s">
        <v>33</v>
      </c>
      <c r="C142">
        <v>0.57999999999999996</v>
      </c>
      <c r="D142">
        <v>0.45500000000000002</v>
      </c>
      <c r="E142">
        <v>0.15</v>
      </c>
      <c r="F142">
        <v>1.1140000000000001</v>
      </c>
      <c r="G142">
        <v>0.47649999999999998</v>
      </c>
      <c r="H142">
        <v>0.2155</v>
      </c>
      <c r="I142">
        <v>0.26500000000000001</v>
      </c>
      <c r="J142">
        <v>8</v>
      </c>
      <c r="K142">
        <v>5</v>
      </c>
      <c r="L142" t="s">
        <v>67</v>
      </c>
      <c r="M142" t="s">
        <v>68</v>
      </c>
      <c r="N142" t="s">
        <v>69</v>
      </c>
      <c r="O142">
        <v>4</v>
      </c>
      <c r="P142" t="s">
        <v>8</v>
      </c>
      <c r="Q142">
        <v>6.1</v>
      </c>
    </row>
    <row r="143" spans="1:17">
      <c r="A143">
        <v>3271</v>
      </c>
      <c r="B143" t="s">
        <v>33</v>
      </c>
      <c r="C143">
        <v>0.625</v>
      </c>
      <c r="D143">
        <v>0.47499999999999998</v>
      </c>
      <c r="E143">
        <v>0.13</v>
      </c>
      <c r="F143">
        <v>0.85950000000000004</v>
      </c>
      <c r="G143">
        <v>0.31950000000000001</v>
      </c>
      <c r="H143">
        <v>0.17749999999999999</v>
      </c>
      <c r="I143">
        <v>0.24</v>
      </c>
      <c r="J143">
        <v>13</v>
      </c>
      <c r="K143">
        <v>3</v>
      </c>
      <c r="L143" t="s">
        <v>52</v>
      </c>
      <c r="M143" t="s">
        <v>53</v>
      </c>
      <c r="N143" t="s">
        <v>54</v>
      </c>
      <c r="O143">
        <v>9</v>
      </c>
      <c r="P143" t="s">
        <v>9</v>
      </c>
      <c r="Q143">
        <v>1.9</v>
      </c>
    </row>
    <row r="144" spans="1:17">
      <c r="A144">
        <v>2093</v>
      </c>
      <c r="B144" t="s">
        <v>33</v>
      </c>
      <c r="C144">
        <v>0.53</v>
      </c>
      <c r="D144">
        <v>0.42499999999999999</v>
      </c>
      <c r="E144">
        <v>0.13</v>
      </c>
      <c r="F144">
        <v>0.74550000000000005</v>
      </c>
      <c r="G144">
        <v>0.29949999999999999</v>
      </c>
      <c r="H144">
        <v>0.13550000000000001</v>
      </c>
      <c r="I144">
        <v>0.245</v>
      </c>
      <c r="J144">
        <v>10</v>
      </c>
      <c r="K144">
        <v>14</v>
      </c>
      <c r="L144" t="s">
        <v>72</v>
      </c>
      <c r="M144" t="s">
        <v>73</v>
      </c>
      <c r="N144" t="s">
        <v>74</v>
      </c>
      <c r="O144">
        <v>6</v>
      </c>
      <c r="P144" t="s">
        <v>7</v>
      </c>
      <c r="Q144">
        <v>14.1</v>
      </c>
    </row>
    <row r="145" spans="1:17">
      <c r="A145">
        <v>3269</v>
      </c>
      <c r="B145" t="s">
        <v>33</v>
      </c>
      <c r="C145">
        <v>0.41</v>
      </c>
      <c r="D145">
        <v>0.31</v>
      </c>
      <c r="E145">
        <v>0.125</v>
      </c>
      <c r="F145">
        <v>0.35949999999999999</v>
      </c>
      <c r="G145">
        <v>0.14149999999999999</v>
      </c>
      <c r="H145">
        <v>8.8499999999999995E-2</v>
      </c>
      <c r="I145">
        <v>0.115</v>
      </c>
      <c r="J145">
        <v>11</v>
      </c>
      <c r="K145">
        <v>11</v>
      </c>
      <c r="L145" t="s">
        <v>65</v>
      </c>
      <c r="M145" t="s">
        <v>66</v>
      </c>
      <c r="N145" t="s">
        <v>45</v>
      </c>
      <c r="O145">
        <v>9</v>
      </c>
      <c r="P145" t="s">
        <v>9</v>
      </c>
      <c r="Q145">
        <v>1.9</v>
      </c>
    </row>
    <row r="146" spans="1:17">
      <c r="A146">
        <v>3847</v>
      </c>
      <c r="B146" t="s">
        <v>33</v>
      </c>
      <c r="C146">
        <v>0.37</v>
      </c>
      <c r="D146">
        <v>0.27500000000000002</v>
      </c>
      <c r="E146">
        <v>8.5000000000000006E-2</v>
      </c>
      <c r="F146">
        <v>0.20449999999999999</v>
      </c>
      <c r="G146">
        <v>9.6000000000000002E-2</v>
      </c>
      <c r="H146">
        <v>5.6000000000000001E-2</v>
      </c>
      <c r="I146">
        <v>0.08</v>
      </c>
      <c r="J146">
        <v>6</v>
      </c>
      <c r="K146">
        <v>9</v>
      </c>
      <c r="L146" t="s">
        <v>34</v>
      </c>
      <c r="M146" t="s">
        <v>35</v>
      </c>
      <c r="N146" t="s">
        <v>36</v>
      </c>
      <c r="O146">
        <v>1</v>
      </c>
      <c r="P146" t="s">
        <v>4</v>
      </c>
      <c r="Q146">
        <v>22.1</v>
      </c>
    </row>
    <row r="147" spans="1:17">
      <c r="A147">
        <v>1842</v>
      </c>
      <c r="B147" t="s">
        <v>33</v>
      </c>
      <c r="C147">
        <v>0.435</v>
      </c>
      <c r="D147">
        <v>0.33500000000000002</v>
      </c>
      <c r="E147">
        <v>0.1</v>
      </c>
      <c r="F147">
        <v>0.32450000000000001</v>
      </c>
      <c r="G147">
        <v>0.13500000000000001</v>
      </c>
      <c r="H147">
        <v>7.85E-2</v>
      </c>
      <c r="I147">
        <v>9.8000000000000004E-2</v>
      </c>
      <c r="J147">
        <v>7</v>
      </c>
      <c r="K147">
        <v>11</v>
      </c>
      <c r="L147" t="s">
        <v>65</v>
      </c>
      <c r="M147" t="s">
        <v>66</v>
      </c>
      <c r="N147" t="s">
        <v>45</v>
      </c>
      <c r="O147">
        <v>10</v>
      </c>
      <c r="P147" t="s">
        <v>11</v>
      </c>
      <c r="Q147">
        <v>24.1</v>
      </c>
    </row>
    <row r="148" spans="1:17">
      <c r="A148">
        <v>971</v>
      </c>
      <c r="B148" t="s">
        <v>33</v>
      </c>
      <c r="C148">
        <v>0.51500000000000001</v>
      </c>
      <c r="D148">
        <v>0.43</v>
      </c>
      <c r="E148">
        <v>0.14000000000000001</v>
      </c>
      <c r="F148">
        <v>0.83399999999999996</v>
      </c>
      <c r="G148">
        <v>0.36699999999999999</v>
      </c>
      <c r="H148">
        <v>0.2</v>
      </c>
      <c r="I148">
        <v>0.23</v>
      </c>
      <c r="J148">
        <v>8</v>
      </c>
      <c r="K148">
        <v>15</v>
      </c>
      <c r="L148" t="s">
        <v>60</v>
      </c>
      <c r="M148" t="s">
        <v>61</v>
      </c>
      <c r="N148" t="s">
        <v>45</v>
      </c>
      <c r="O148">
        <v>2</v>
      </c>
      <c r="P148" t="s">
        <v>5</v>
      </c>
      <c r="Q148">
        <v>18</v>
      </c>
    </row>
    <row r="149" spans="1:17">
      <c r="A149">
        <v>1928</v>
      </c>
      <c r="B149" t="s">
        <v>33</v>
      </c>
      <c r="C149">
        <v>0.61499999999999999</v>
      </c>
      <c r="D149">
        <v>0.47</v>
      </c>
      <c r="E149">
        <v>0.15</v>
      </c>
      <c r="F149">
        <v>1.0874999999999999</v>
      </c>
      <c r="G149">
        <v>0.4975</v>
      </c>
      <c r="H149">
        <v>0.28299999999999997</v>
      </c>
      <c r="I149">
        <v>0.26850000000000002</v>
      </c>
      <c r="J149">
        <v>9</v>
      </c>
      <c r="K149">
        <v>11</v>
      </c>
      <c r="L149" t="s">
        <v>65</v>
      </c>
      <c r="M149" t="s">
        <v>66</v>
      </c>
      <c r="N149" t="s">
        <v>45</v>
      </c>
      <c r="O149">
        <v>2</v>
      </c>
      <c r="P149" t="s">
        <v>5</v>
      </c>
      <c r="Q149">
        <v>18</v>
      </c>
    </row>
    <row r="150" spans="1:17">
      <c r="A150">
        <v>427</v>
      </c>
      <c r="B150" t="s">
        <v>33</v>
      </c>
      <c r="C150">
        <v>0.61</v>
      </c>
      <c r="D150">
        <v>0.48499999999999999</v>
      </c>
      <c r="E150">
        <v>0.16500000000000001</v>
      </c>
      <c r="F150">
        <v>1.0914999999999999</v>
      </c>
      <c r="G150">
        <v>0.39350000000000002</v>
      </c>
      <c r="H150">
        <v>0.24349999999999999</v>
      </c>
      <c r="I150">
        <v>0.33</v>
      </c>
      <c r="J150">
        <v>18</v>
      </c>
      <c r="K150">
        <v>11</v>
      </c>
      <c r="L150" t="s">
        <v>65</v>
      </c>
      <c r="M150" t="s">
        <v>66</v>
      </c>
      <c r="N150" t="s">
        <v>45</v>
      </c>
      <c r="O150">
        <v>7</v>
      </c>
      <c r="P150" t="s">
        <v>6</v>
      </c>
      <c r="Q150">
        <v>2.5</v>
      </c>
    </row>
    <row r="151" spans="1:17">
      <c r="A151">
        <v>3572</v>
      </c>
      <c r="B151" t="s">
        <v>33</v>
      </c>
      <c r="C151">
        <v>0.58499999999999996</v>
      </c>
      <c r="D151">
        <v>0.46500000000000002</v>
      </c>
      <c r="E151">
        <v>0.16500000000000001</v>
      </c>
      <c r="F151">
        <v>0.9355</v>
      </c>
      <c r="G151">
        <v>0.40350000000000003</v>
      </c>
      <c r="H151">
        <v>0.22750000000000001</v>
      </c>
      <c r="I151">
        <v>0.25900000000000001</v>
      </c>
      <c r="J151">
        <v>9</v>
      </c>
      <c r="K151">
        <v>8</v>
      </c>
      <c r="L151" t="s">
        <v>55</v>
      </c>
      <c r="M151" t="s">
        <v>56</v>
      </c>
      <c r="N151" t="s">
        <v>57</v>
      </c>
      <c r="O151">
        <v>6</v>
      </c>
      <c r="P151" t="s">
        <v>7</v>
      </c>
      <c r="Q151">
        <v>14.1</v>
      </c>
    </row>
    <row r="152" spans="1:17">
      <c r="A152">
        <v>713</v>
      </c>
      <c r="B152" t="s">
        <v>33</v>
      </c>
      <c r="C152">
        <v>0.28000000000000003</v>
      </c>
      <c r="D152">
        <v>0.20499999999999999</v>
      </c>
      <c r="E152">
        <v>5.5E-2</v>
      </c>
      <c r="F152">
        <v>0.1135</v>
      </c>
      <c r="G152">
        <v>4.4999999999999998E-2</v>
      </c>
      <c r="H152">
        <v>2.75E-2</v>
      </c>
      <c r="I152">
        <v>3.3500000000000002E-2</v>
      </c>
      <c r="J152">
        <v>7</v>
      </c>
      <c r="K152">
        <v>11</v>
      </c>
      <c r="L152" t="s">
        <v>65</v>
      </c>
      <c r="M152" t="s">
        <v>66</v>
      </c>
      <c r="N152" t="s">
        <v>45</v>
      </c>
      <c r="O152">
        <v>5</v>
      </c>
      <c r="P152" t="s">
        <v>12</v>
      </c>
      <c r="Q152">
        <v>12.8</v>
      </c>
    </row>
    <row r="153" spans="1:17">
      <c r="A153">
        <v>3579</v>
      </c>
      <c r="B153" t="s">
        <v>33</v>
      </c>
      <c r="C153">
        <v>0.6</v>
      </c>
      <c r="D153">
        <v>0.47499999999999998</v>
      </c>
      <c r="E153">
        <v>0.17</v>
      </c>
      <c r="F153">
        <v>1.0880000000000001</v>
      </c>
      <c r="G153">
        <v>0.49049999999999999</v>
      </c>
      <c r="H153">
        <v>0.2475</v>
      </c>
      <c r="I153">
        <v>0.31</v>
      </c>
      <c r="J153">
        <v>10</v>
      </c>
      <c r="K153">
        <v>9</v>
      </c>
      <c r="L153" t="s">
        <v>34</v>
      </c>
      <c r="M153" t="s">
        <v>35</v>
      </c>
      <c r="N153" t="s">
        <v>36</v>
      </c>
      <c r="O153">
        <v>3</v>
      </c>
      <c r="P153" t="s">
        <v>10</v>
      </c>
      <c r="Q153">
        <v>3.6</v>
      </c>
    </row>
    <row r="154" spans="1:17">
      <c r="A154">
        <v>1235</v>
      </c>
      <c r="B154" t="s">
        <v>33</v>
      </c>
      <c r="C154">
        <v>0.375</v>
      </c>
      <c r="D154">
        <v>0.28999999999999998</v>
      </c>
      <c r="E154">
        <v>9.5000000000000001E-2</v>
      </c>
      <c r="F154">
        <v>0.21299999999999999</v>
      </c>
      <c r="G154">
        <v>9.6000000000000002E-2</v>
      </c>
      <c r="H154">
        <v>4.1000000000000002E-2</v>
      </c>
      <c r="I154">
        <v>6.0999999999999999E-2</v>
      </c>
      <c r="J154">
        <v>5</v>
      </c>
      <c r="K154">
        <v>1</v>
      </c>
      <c r="L154" t="s">
        <v>70</v>
      </c>
      <c r="M154" t="s">
        <v>71</v>
      </c>
      <c r="N154" t="s">
        <v>45</v>
      </c>
      <c r="O154">
        <v>3</v>
      </c>
      <c r="P154" t="s">
        <v>10</v>
      </c>
      <c r="Q154">
        <v>3.6</v>
      </c>
    </row>
    <row r="155" spans="1:17">
      <c r="A155">
        <v>1557</v>
      </c>
      <c r="B155" t="s">
        <v>33</v>
      </c>
      <c r="C155">
        <v>0.41499999999999998</v>
      </c>
      <c r="D155">
        <v>0.32500000000000001</v>
      </c>
      <c r="E155">
        <v>0.1</v>
      </c>
      <c r="F155">
        <v>0.313</v>
      </c>
      <c r="G155">
        <v>0.13900000000000001</v>
      </c>
      <c r="H155">
        <v>6.25E-2</v>
      </c>
      <c r="I155">
        <v>9.6500000000000002E-2</v>
      </c>
      <c r="J155">
        <v>7</v>
      </c>
      <c r="K155">
        <v>10</v>
      </c>
      <c r="L155" t="s">
        <v>37</v>
      </c>
      <c r="M155" t="s">
        <v>38</v>
      </c>
      <c r="N155" t="s">
        <v>39</v>
      </c>
      <c r="O155">
        <v>2</v>
      </c>
      <c r="P155" t="s">
        <v>5</v>
      </c>
      <c r="Q155">
        <v>18</v>
      </c>
    </row>
    <row r="156" spans="1:17">
      <c r="A156">
        <v>491</v>
      </c>
      <c r="B156" t="s">
        <v>33</v>
      </c>
      <c r="C156">
        <v>0.59</v>
      </c>
      <c r="D156">
        <v>0.45500000000000002</v>
      </c>
      <c r="E156">
        <v>0.14499999999999999</v>
      </c>
      <c r="F156">
        <v>1.073</v>
      </c>
      <c r="G156">
        <v>0.47499999999999998</v>
      </c>
      <c r="H156">
        <v>0.19</v>
      </c>
      <c r="I156">
        <v>0.28499999999999998</v>
      </c>
      <c r="J156">
        <v>14</v>
      </c>
      <c r="K156">
        <v>6</v>
      </c>
      <c r="L156" t="s">
        <v>46</v>
      </c>
      <c r="M156" t="s">
        <v>47</v>
      </c>
      <c r="N156" t="s">
        <v>48</v>
      </c>
      <c r="O156">
        <v>7</v>
      </c>
      <c r="P156" t="s">
        <v>6</v>
      </c>
      <c r="Q156">
        <v>2.5</v>
      </c>
    </row>
    <row r="157" spans="1:17">
      <c r="A157">
        <v>2567</v>
      </c>
      <c r="B157" t="s">
        <v>33</v>
      </c>
      <c r="C157">
        <v>0.45500000000000002</v>
      </c>
      <c r="D157">
        <v>0.35</v>
      </c>
      <c r="E157">
        <v>0.12</v>
      </c>
      <c r="F157">
        <v>0.45550000000000002</v>
      </c>
      <c r="G157">
        <v>0.19450000000000001</v>
      </c>
      <c r="H157">
        <v>0.1045</v>
      </c>
      <c r="I157">
        <v>0.13750000000000001</v>
      </c>
      <c r="J157">
        <v>7</v>
      </c>
      <c r="K157">
        <v>1</v>
      </c>
      <c r="L157" t="s">
        <v>70</v>
      </c>
      <c r="M157" t="s">
        <v>71</v>
      </c>
      <c r="N157" t="s">
        <v>45</v>
      </c>
      <c r="O157">
        <v>3</v>
      </c>
      <c r="P157" t="s">
        <v>10</v>
      </c>
      <c r="Q157">
        <v>3.6</v>
      </c>
    </row>
    <row r="158" spans="1:17">
      <c r="A158">
        <v>3937</v>
      </c>
      <c r="B158" t="s">
        <v>33</v>
      </c>
      <c r="C158">
        <v>0.47499999999999998</v>
      </c>
      <c r="D158">
        <v>0.4</v>
      </c>
      <c r="E158">
        <v>0.115</v>
      </c>
      <c r="F158">
        <v>0.54100000000000004</v>
      </c>
      <c r="G158">
        <v>0.186</v>
      </c>
      <c r="H158">
        <v>0.10249999999999999</v>
      </c>
      <c r="I158">
        <v>0.21</v>
      </c>
      <c r="J158">
        <v>13</v>
      </c>
      <c r="K158">
        <v>2</v>
      </c>
      <c r="L158" t="s">
        <v>49</v>
      </c>
      <c r="M158" t="s">
        <v>50</v>
      </c>
      <c r="N158" t="s">
        <v>51</v>
      </c>
      <c r="O158">
        <v>2</v>
      </c>
      <c r="P158" t="s">
        <v>5</v>
      </c>
      <c r="Q158">
        <v>18</v>
      </c>
    </row>
    <row r="159" spans="1:17">
      <c r="A159">
        <v>2605</v>
      </c>
      <c r="B159" t="s">
        <v>33</v>
      </c>
      <c r="C159">
        <v>0.62</v>
      </c>
      <c r="D159">
        <v>0.48499999999999999</v>
      </c>
      <c r="E159">
        <v>0.17499999999999999</v>
      </c>
      <c r="F159">
        <v>1.2155</v>
      </c>
      <c r="G159">
        <v>0.54500000000000004</v>
      </c>
      <c r="H159">
        <v>0.253</v>
      </c>
      <c r="I159">
        <v>0.34499999999999997</v>
      </c>
      <c r="J159">
        <v>10</v>
      </c>
      <c r="K159">
        <v>5</v>
      </c>
      <c r="L159" t="s">
        <v>67</v>
      </c>
      <c r="M159" t="s">
        <v>68</v>
      </c>
      <c r="N159" t="s">
        <v>69</v>
      </c>
      <c r="O159">
        <v>5</v>
      </c>
      <c r="P159" t="s">
        <v>12</v>
      </c>
      <c r="Q159">
        <v>12.8</v>
      </c>
    </row>
    <row r="160" spans="1:17">
      <c r="A160">
        <v>729</v>
      </c>
      <c r="B160" t="s">
        <v>33</v>
      </c>
      <c r="C160">
        <v>0.505</v>
      </c>
      <c r="D160">
        <v>0.4</v>
      </c>
      <c r="E160">
        <v>0.125</v>
      </c>
      <c r="F160">
        <v>0.77</v>
      </c>
      <c r="G160">
        <v>0.27350000000000002</v>
      </c>
      <c r="H160">
        <v>0.159</v>
      </c>
      <c r="I160">
        <v>0.255</v>
      </c>
      <c r="J160">
        <v>13</v>
      </c>
      <c r="K160">
        <v>11</v>
      </c>
      <c r="L160" t="s">
        <v>65</v>
      </c>
      <c r="M160" t="s">
        <v>66</v>
      </c>
      <c r="N160" t="s">
        <v>45</v>
      </c>
      <c r="O160">
        <v>5</v>
      </c>
      <c r="P160" t="s">
        <v>12</v>
      </c>
      <c r="Q160">
        <v>12.8</v>
      </c>
    </row>
    <row r="161" spans="1:17">
      <c r="A161">
        <v>841</v>
      </c>
      <c r="B161" t="s">
        <v>33</v>
      </c>
      <c r="C161">
        <v>0.49</v>
      </c>
      <c r="D161">
        <v>0.38500000000000001</v>
      </c>
      <c r="E161">
        <v>0.125</v>
      </c>
      <c r="F161">
        <v>0.60899999999999999</v>
      </c>
      <c r="G161">
        <v>0.30649999999999999</v>
      </c>
      <c r="H161">
        <v>9.6000000000000002E-2</v>
      </c>
      <c r="I161">
        <v>0.17749999999999999</v>
      </c>
      <c r="J161">
        <v>8</v>
      </c>
      <c r="K161">
        <v>9</v>
      </c>
      <c r="L161" t="s">
        <v>34</v>
      </c>
      <c r="M161" t="s">
        <v>35</v>
      </c>
      <c r="N161" t="s">
        <v>36</v>
      </c>
      <c r="O161">
        <v>6</v>
      </c>
      <c r="P161" t="s">
        <v>7</v>
      </c>
      <c r="Q161">
        <v>14.1</v>
      </c>
    </row>
    <row r="162" spans="1:17">
      <c r="A162">
        <v>1901</v>
      </c>
      <c r="B162" t="s">
        <v>33</v>
      </c>
      <c r="C162">
        <v>0.57499999999999996</v>
      </c>
      <c r="D162">
        <v>0.45</v>
      </c>
      <c r="E162">
        <v>0.155</v>
      </c>
      <c r="F162">
        <v>0.97650000000000003</v>
      </c>
      <c r="G162">
        <v>0.495</v>
      </c>
      <c r="H162">
        <v>0.2145</v>
      </c>
      <c r="I162">
        <v>0.23499999999999999</v>
      </c>
      <c r="J162">
        <v>9</v>
      </c>
      <c r="K162">
        <v>11</v>
      </c>
      <c r="L162" t="s">
        <v>65</v>
      </c>
      <c r="M162" t="s">
        <v>66</v>
      </c>
      <c r="N162" t="s">
        <v>45</v>
      </c>
      <c r="O162">
        <v>10</v>
      </c>
      <c r="P162" t="s">
        <v>11</v>
      </c>
      <c r="Q162">
        <v>24.1</v>
      </c>
    </row>
    <row r="163" spans="1:17">
      <c r="A163">
        <v>172</v>
      </c>
      <c r="B163" t="s">
        <v>33</v>
      </c>
      <c r="C163">
        <v>0.53</v>
      </c>
      <c r="D163">
        <v>0.39500000000000002</v>
      </c>
      <c r="E163">
        <v>0.14499999999999999</v>
      </c>
      <c r="F163">
        <v>0.77500000000000002</v>
      </c>
      <c r="G163">
        <v>0.308</v>
      </c>
      <c r="H163">
        <v>0.16900000000000001</v>
      </c>
      <c r="I163">
        <v>0.255</v>
      </c>
      <c r="J163">
        <v>7</v>
      </c>
      <c r="K163">
        <v>8</v>
      </c>
      <c r="L163" t="s">
        <v>55</v>
      </c>
      <c r="M163" t="s">
        <v>56</v>
      </c>
      <c r="N163" t="s">
        <v>57</v>
      </c>
      <c r="O163">
        <v>3</v>
      </c>
      <c r="P163" t="s">
        <v>10</v>
      </c>
      <c r="Q163">
        <v>3.6</v>
      </c>
    </row>
    <row r="164" spans="1:17">
      <c r="A164">
        <v>3826</v>
      </c>
      <c r="B164" t="s">
        <v>33</v>
      </c>
      <c r="C164">
        <v>0.625</v>
      </c>
      <c r="D164">
        <v>0.47</v>
      </c>
      <c r="E164">
        <v>0.17</v>
      </c>
      <c r="F164">
        <v>1.1665000000000001</v>
      </c>
      <c r="G164">
        <v>0.46050000000000002</v>
      </c>
      <c r="H164">
        <v>0.25650000000000001</v>
      </c>
      <c r="I164">
        <v>0.39450000000000002</v>
      </c>
      <c r="J164">
        <v>11</v>
      </c>
      <c r="K164">
        <v>12</v>
      </c>
      <c r="L164" t="s">
        <v>58</v>
      </c>
      <c r="M164" t="s">
        <v>59</v>
      </c>
      <c r="N164" t="s">
        <v>45</v>
      </c>
      <c r="O164">
        <v>6</v>
      </c>
      <c r="P164" t="s">
        <v>7</v>
      </c>
      <c r="Q164">
        <v>14.1</v>
      </c>
    </row>
    <row r="165" spans="1:17">
      <c r="A165">
        <v>2257</v>
      </c>
      <c r="B165" t="s">
        <v>33</v>
      </c>
      <c r="C165">
        <v>0.52</v>
      </c>
      <c r="D165">
        <v>0.38</v>
      </c>
      <c r="E165">
        <v>0.13500000000000001</v>
      </c>
      <c r="F165">
        <v>0.58250000000000002</v>
      </c>
      <c r="G165">
        <v>0.2505</v>
      </c>
      <c r="H165">
        <v>0.1565</v>
      </c>
      <c r="I165">
        <v>0.17499999999999999</v>
      </c>
      <c r="J165">
        <v>8</v>
      </c>
      <c r="K165">
        <v>2</v>
      </c>
      <c r="L165" t="s">
        <v>49</v>
      </c>
      <c r="M165" t="s">
        <v>50</v>
      </c>
      <c r="N165" t="s">
        <v>51</v>
      </c>
      <c r="O165">
        <v>1</v>
      </c>
      <c r="P165" t="s">
        <v>4</v>
      </c>
      <c r="Q165">
        <v>22.1</v>
      </c>
    </row>
    <row r="166" spans="1:17">
      <c r="A166">
        <v>3495</v>
      </c>
      <c r="B166" t="s">
        <v>33</v>
      </c>
      <c r="C166">
        <v>0.55500000000000005</v>
      </c>
      <c r="D166">
        <v>0.43</v>
      </c>
      <c r="E166">
        <v>0.13500000000000001</v>
      </c>
      <c r="F166">
        <v>0.81200000000000006</v>
      </c>
      <c r="G166">
        <v>0.40550000000000003</v>
      </c>
      <c r="H166">
        <v>0.16300000000000001</v>
      </c>
      <c r="I166">
        <v>0.2215</v>
      </c>
      <c r="J166">
        <v>9</v>
      </c>
      <c r="K166">
        <v>11</v>
      </c>
      <c r="L166" t="s">
        <v>65</v>
      </c>
      <c r="M166" t="s">
        <v>66</v>
      </c>
      <c r="N166" t="s">
        <v>45</v>
      </c>
      <c r="O166">
        <v>7</v>
      </c>
      <c r="P166" t="s">
        <v>6</v>
      </c>
      <c r="Q166">
        <v>2.5</v>
      </c>
    </row>
    <row r="167" spans="1:17">
      <c r="A167">
        <v>1309</v>
      </c>
      <c r="B167" t="s">
        <v>33</v>
      </c>
      <c r="C167">
        <v>0.54500000000000004</v>
      </c>
      <c r="D167">
        <v>0.44500000000000001</v>
      </c>
      <c r="E167">
        <v>0.15</v>
      </c>
      <c r="F167">
        <v>0.8</v>
      </c>
      <c r="G167">
        <v>0.35349999999999998</v>
      </c>
      <c r="H167">
        <v>0.16300000000000001</v>
      </c>
      <c r="I167">
        <v>0.20699999999999999</v>
      </c>
      <c r="J167">
        <v>9</v>
      </c>
      <c r="K167">
        <v>14</v>
      </c>
      <c r="L167" t="s">
        <v>72</v>
      </c>
      <c r="M167" t="s">
        <v>73</v>
      </c>
      <c r="N167" t="s">
        <v>74</v>
      </c>
      <c r="O167">
        <v>4</v>
      </c>
      <c r="P167" t="s">
        <v>8</v>
      </c>
      <c r="Q167">
        <v>6.1</v>
      </c>
    </row>
    <row r="168" spans="1:17">
      <c r="A168">
        <v>3215</v>
      </c>
      <c r="B168" t="s">
        <v>33</v>
      </c>
      <c r="C168">
        <v>0.56999999999999995</v>
      </c>
      <c r="D168">
        <v>0.495</v>
      </c>
      <c r="E168">
        <v>0.16</v>
      </c>
      <c r="F168">
        <v>1.0914999999999999</v>
      </c>
      <c r="G168">
        <v>0.45200000000000001</v>
      </c>
      <c r="H168">
        <v>0.27500000000000002</v>
      </c>
      <c r="I168">
        <v>0.315</v>
      </c>
      <c r="J168">
        <v>14</v>
      </c>
      <c r="K168">
        <v>8</v>
      </c>
      <c r="L168" t="s">
        <v>55</v>
      </c>
      <c r="M168" t="s">
        <v>56</v>
      </c>
      <c r="N168" t="s">
        <v>57</v>
      </c>
      <c r="O168">
        <v>4</v>
      </c>
      <c r="P168" t="s">
        <v>8</v>
      </c>
      <c r="Q168">
        <v>6.1</v>
      </c>
    </row>
    <row r="169" spans="1:17">
      <c r="A169">
        <v>1807</v>
      </c>
      <c r="B169" t="s">
        <v>33</v>
      </c>
      <c r="C169">
        <v>0.625</v>
      </c>
      <c r="D169">
        <v>0.49</v>
      </c>
      <c r="E169">
        <v>0.185</v>
      </c>
      <c r="F169">
        <v>1.169</v>
      </c>
      <c r="G169">
        <v>0.52749999999999997</v>
      </c>
      <c r="H169">
        <v>0.2535</v>
      </c>
      <c r="I169">
        <v>0.34399999999999997</v>
      </c>
      <c r="J169">
        <v>11</v>
      </c>
      <c r="K169">
        <v>7</v>
      </c>
      <c r="L169" t="s">
        <v>62</v>
      </c>
      <c r="M169" t="s">
        <v>63</v>
      </c>
      <c r="N169" t="s">
        <v>64</v>
      </c>
      <c r="O169">
        <v>1</v>
      </c>
      <c r="P169" t="s">
        <v>4</v>
      </c>
      <c r="Q169">
        <v>22.1</v>
      </c>
    </row>
    <row r="170" spans="1:17">
      <c r="A170">
        <v>1287</v>
      </c>
      <c r="B170" t="s">
        <v>33</v>
      </c>
      <c r="C170">
        <v>0.5</v>
      </c>
      <c r="D170">
        <v>0.39500000000000002</v>
      </c>
      <c r="E170">
        <v>0.14000000000000001</v>
      </c>
      <c r="F170">
        <v>0.62150000000000005</v>
      </c>
      <c r="G170">
        <v>0.29249999999999998</v>
      </c>
      <c r="H170">
        <v>0.1205</v>
      </c>
      <c r="I170">
        <v>0.19500000000000001</v>
      </c>
      <c r="J170">
        <v>9</v>
      </c>
      <c r="K170">
        <v>8</v>
      </c>
      <c r="L170" t="s">
        <v>55</v>
      </c>
      <c r="M170" t="s">
        <v>56</v>
      </c>
      <c r="N170" t="s">
        <v>57</v>
      </c>
      <c r="O170">
        <v>3</v>
      </c>
      <c r="P170" t="s">
        <v>10</v>
      </c>
      <c r="Q170">
        <v>3.6</v>
      </c>
    </row>
    <row r="171" spans="1:17">
      <c r="A171">
        <v>2153</v>
      </c>
      <c r="B171" t="s">
        <v>33</v>
      </c>
      <c r="C171">
        <v>0.4</v>
      </c>
      <c r="D171">
        <v>0.3</v>
      </c>
      <c r="E171">
        <v>0.115</v>
      </c>
      <c r="F171">
        <v>0.30249999999999999</v>
      </c>
      <c r="G171">
        <v>0.13350000000000001</v>
      </c>
      <c r="H171">
        <v>4.65E-2</v>
      </c>
      <c r="I171">
        <v>9.35E-2</v>
      </c>
      <c r="J171">
        <v>8</v>
      </c>
      <c r="K171">
        <v>4</v>
      </c>
      <c r="L171" t="s">
        <v>40</v>
      </c>
      <c r="M171" t="s">
        <v>41</v>
      </c>
      <c r="N171" t="s">
        <v>42</v>
      </c>
      <c r="O171">
        <v>3</v>
      </c>
      <c r="P171" t="s">
        <v>10</v>
      </c>
      <c r="Q171">
        <v>3.6</v>
      </c>
    </row>
    <row r="172" spans="1:17">
      <c r="A172">
        <v>1640</v>
      </c>
      <c r="B172" t="s">
        <v>33</v>
      </c>
      <c r="C172">
        <v>0.57499999999999996</v>
      </c>
      <c r="D172">
        <v>0.45</v>
      </c>
      <c r="E172">
        <v>0.13500000000000001</v>
      </c>
      <c r="F172">
        <v>0.80700000000000005</v>
      </c>
      <c r="G172">
        <v>0.36149999999999999</v>
      </c>
      <c r="H172">
        <v>0.17599999999999999</v>
      </c>
      <c r="I172">
        <v>0.254</v>
      </c>
      <c r="J172">
        <v>10</v>
      </c>
      <c r="K172">
        <v>3</v>
      </c>
      <c r="L172" t="s">
        <v>52</v>
      </c>
      <c r="M172" t="s">
        <v>53</v>
      </c>
      <c r="N172" t="s">
        <v>54</v>
      </c>
      <c r="O172">
        <v>7</v>
      </c>
      <c r="P172" t="s">
        <v>6</v>
      </c>
      <c r="Q172">
        <v>2.5</v>
      </c>
    </row>
    <row r="173" spans="1:17">
      <c r="A173">
        <v>4166</v>
      </c>
      <c r="B173" t="s">
        <v>33</v>
      </c>
      <c r="C173">
        <v>0.40500000000000003</v>
      </c>
      <c r="D173">
        <v>0.3</v>
      </c>
      <c r="E173">
        <v>8.5000000000000006E-2</v>
      </c>
      <c r="F173">
        <v>0.30349999999999999</v>
      </c>
      <c r="G173">
        <v>0.15</v>
      </c>
      <c r="H173">
        <v>5.0500000000000003E-2</v>
      </c>
      <c r="I173">
        <v>8.7999999999999995E-2</v>
      </c>
      <c r="J173">
        <v>7</v>
      </c>
      <c r="K173">
        <v>15</v>
      </c>
      <c r="L173" t="s">
        <v>60</v>
      </c>
      <c r="M173" t="s">
        <v>61</v>
      </c>
      <c r="N173" t="s">
        <v>45</v>
      </c>
      <c r="O173">
        <v>3</v>
      </c>
      <c r="P173" t="s">
        <v>10</v>
      </c>
      <c r="Q173">
        <v>3.6</v>
      </c>
    </row>
    <row r="174" spans="1:17">
      <c r="A174">
        <v>443</v>
      </c>
      <c r="B174" t="s">
        <v>33</v>
      </c>
      <c r="C174">
        <v>0.505</v>
      </c>
      <c r="D174">
        <v>0.42499999999999999</v>
      </c>
      <c r="E174">
        <v>0.14000000000000001</v>
      </c>
      <c r="F174">
        <v>0.85</v>
      </c>
      <c r="G174">
        <v>0.27500000000000002</v>
      </c>
      <c r="H174">
        <v>0.16250000000000001</v>
      </c>
      <c r="I174">
        <v>0.28499999999999998</v>
      </c>
      <c r="J174">
        <v>19</v>
      </c>
      <c r="K174">
        <v>6</v>
      </c>
      <c r="L174" t="s">
        <v>46</v>
      </c>
      <c r="M174" t="s">
        <v>47</v>
      </c>
      <c r="N174" t="s">
        <v>48</v>
      </c>
      <c r="O174">
        <v>7</v>
      </c>
      <c r="P174" t="s">
        <v>6</v>
      </c>
      <c r="Q174">
        <v>2.5</v>
      </c>
    </row>
    <row r="175" spans="1:17">
      <c r="A175">
        <v>1570</v>
      </c>
      <c r="B175" t="s">
        <v>33</v>
      </c>
      <c r="C175">
        <v>0.47499999999999998</v>
      </c>
      <c r="D175">
        <v>0.36</v>
      </c>
      <c r="E175">
        <v>0.14499999999999999</v>
      </c>
      <c r="F175">
        <v>0.63249999999999995</v>
      </c>
      <c r="G175">
        <v>0.28249999999999997</v>
      </c>
      <c r="H175">
        <v>0.13700000000000001</v>
      </c>
      <c r="I175">
        <v>0.19</v>
      </c>
      <c r="J175">
        <v>8</v>
      </c>
      <c r="K175">
        <v>5</v>
      </c>
      <c r="L175" t="s">
        <v>67</v>
      </c>
      <c r="M175" t="s">
        <v>68</v>
      </c>
      <c r="N175" t="s">
        <v>69</v>
      </c>
      <c r="O175">
        <v>7</v>
      </c>
      <c r="P175" t="s">
        <v>6</v>
      </c>
      <c r="Q175">
        <v>2.5</v>
      </c>
    </row>
    <row r="176" spans="1:17">
      <c r="A176">
        <v>1271</v>
      </c>
      <c r="B176" t="s">
        <v>33</v>
      </c>
      <c r="C176">
        <v>0.47</v>
      </c>
      <c r="D176">
        <v>0.35499999999999998</v>
      </c>
      <c r="E176">
        <v>0.18</v>
      </c>
      <c r="F176">
        <v>0.48</v>
      </c>
      <c r="G176">
        <v>0.20549999999999999</v>
      </c>
      <c r="H176">
        <v>0.105</v>
      </c>
      <c r="I176">
        <v>0.15049999999999999</v>
      </c>
      <c r="J176">
        <v>8</v>
      </c>
      <c r="K176">
        <v>7</v>
      </c>
      <c r="L176" t="s">
        <v>62</v>
      </c>
      <c r="M176" t="s">
        <v>63</v>
      </c>
      <c r="N176" t="s">
        <v>64</v>
      </c>
      <c r="O176">
        <v>1</v>
      </c>
      <c r="P176" t="s">
        <v>4</v>
      </c>
      <c r="Q176">
        <v>22.1</v>
      </c>
    </row>
    <row r="177" spans="1:17">
      <c r="A177">
        <v>2041</v>
      </c>
      <c r="B177" t="s">
        <v>33</v>
      </c>
      <c r="C177">
        <v>0.32</v>
      </c>
      <c r="D177">
        <v>0.255</v>
      </c>
      <c r="E177">
        <v>8.5000000000000006E-2</v>
      </c>
      <c r="F177">
        <v>0.17449999999999999</v>
      </c>
      <c r="G177">
        <v>7.1999999999999995E-2</v>
      </c>
      <c r="H177">
        <v>3.3000000000000002E-2</v>
      </c>
      <c r="I177">
        <v>5.7000000000000002E-2</v>
      </c>
      <c r="J177">
        <v>8</v>
      </c>
      <c r="K177">
        <v>4</v>
      </c>
      <c r="L177" t="s">
        <v>40</v>
      </c>
      <c r="M177" t="s">
        <v>41</v>
      </c>
      <c r="N177" t="s">
        <v>42</v>
      </c>
      <c r="O177">
        <v>5</v>
      </c>
      <c r="P177" t="s">
        <v>12</v>
      </c>
      <c r="Q177">
        <v>12.8</v>
      </c>
    </row>
    <row r="178" spans="1:17">
      <c r="A178">
        <v>103</v>
      </c>
      <c r="B178" t="s">
        <v>33</v>
      </c>
      <c r="C178">
        <v>0.53</v>
      </c>
      <c r="D178">
        <v>0.435</v>
      </c>
      <c r="E178">
        <v>0.16</v>
      </c>
      <c r="F178">
        <v>0.88300000000000001</v>
      </c>
      <c r="G178">
        <v>0.316</v>
      </c>
      <c r="H178">
        <v>0.16400000000000001</v>
      </c>
      <c r="I178">
        <v>0.33500000000000002</v>
      </c>
      <c r="J178">
        <v>15</v>
      </c>
      <c r="K178">
        <v>10</v>
      </c>
      <c r="L178" t="s">
        <v>37</v>
      </c>
      <c r="M178" t="s">
        <v>38</v>
      </c>
      <c r="N178" t="s">
        <v>39</v>
      </c>
      <c r="O178">
        <v>3</v>
      </c>
      <c r="P178" t="s">
        <v>10</v>
      </c>
      <c r="Q178">
        <v>3.6</v>
      </c>
    </row>
    <row r="179" spans="1:17">
      <c r="A179">
        <v>1612</v>
      </c>
      <c r="B179" t="s">
        <v>33</v>
      </c>
      <c r="C179">
        <v>0.55000000000000004</v>
      </c>
      <c r="D179">
        <v>0.435</v>
      </c>
      <c r="E179">
        <v>0.14000000000000001</v>
      </c>
      <c r="F179">
        <v>0.76249999999999996</v>
      </c>
      <c r="G179">
        <v>0.32700000000000001</v>
      </c>
      <c r="H179">
        <v>0.16850000000000001</v>
      </c>
      <c r="I179">
        <v>0.25900000000000001</v>
      </c>
      <c r="J179">
        <v>10</v>
      </c>
      <c r="K179">
        <v>1</v>
      </c>
      <c r="L179" t="s">
        <v>70</v>
      </c>
      <c r="M179" t="s">
        <v>71</v>
      </c>
      <c r="N179" t="s">
        <v>45</v>
      </c>
      <c r="O179">
        <v>10</v>
      </c>
      <c r="P179" t="s">
        <v>11</v>
      </c>
      <c r="Q179">
        <v>24.1</v>
      </c>
    </row>
    <row r="180" spans="1:17">
      <c r="A180">
        <v>3910</v>
      </c>
      <c r="B180" t="s">
        <v>33</v>
      </c>
      <c r="C180">
        <v>0.45500000000000002</v>
      </c>
      <c r="D180">
        <v>0.375</v>
      </c>
      <c r="E180">
        <v>0.125</v>
      </c>
      <c r="F180">
        <v>0.45800000000000002</v>
      </c>
      <c r="G180">
        <v>0.19850000000000001</v>
      </c>
      <c r="H180">
        <v>0.111</v>
      </c>
      <c r="I180">
        <v>0.12</v>
      </c>
      <c r="J180">
        <v>10</v>
      </c>
      <c r="K180">
        <v>9</v>
      </c>
      <c r="L180" t="s">
        <v>34</v>
      </c>
      <c r="M180" t="s">
        <v>35</v>
      </c>
      <c r="N180" t="s">
        <v>36</v>
      </c>
      <c r="O180">
        <v>2</v>
      </c>
      <c r="P180" t="s">
        <v>5</v>
      </c>
      <c r="Q180">
        <v>18</v>
      </c>
    </row>
    <row r="181" spans="1:17">
      <c r="A181">
        <v>3295</v>
      </c>
      <c r="B181" t="s">
        <v>33</v>
      </c>
      <c r="C181">
        <v>0.63</v>
      </c>
      <c r="D181">
        <v>0.5</v>
      </c>
      <c r="E181">
        <v>0.16</v>
      </c>
      <c r="F181">
        <v>1.22</v>
      </c>
      <c r="G181">
        <v>0.49049999999999999</v>
      </c>
      <c r="H181">
        <v>0.3</v>
      </c>
      <c r="I181">
        <v>0.34499999999999997</v>
      </c>
      <c r="J181">
        <v>14</v>
      </c>
      <c r="K181">
        <v>6</v>
      </c>
      <c r="L181" t="s">
        <v>46</v>
      </c>
      <c r="M181" t="s">
        <v>47</v>
      </c>
      <c r="N181" t="s">
        <v>48</v>
      </c>
      <c r="O181">
        <v>5</v>
      </c>
      <c r="P181" t="s">
        <v>12</v>
      </c>
      <c r="Q181">
        <v>12.8</v>
      </c>
    </row>
    <row r="182" spans="1:17">
      <c r="A182">
        <v>3356</v>
      </c>
      <c r="B182" t="s">
        <v>33</v>
      </c>
      <c r="C182">
        <v>0.435</v>
      </c>
      <c r="D182">
        <v>0.34</v>
      </c>
      <c r="E182">
        <v>0.11</v>
      </c>
      <c r="F182">
        <v>0.40699999999999997</v>
      </c>
      <c r="G182">
        <v>0.16850000000000001</v>
      </c>
      <c r="H182">
        <v>7.2999999999999995E-2</v>
      </c>
      <c r="I182">
        <v>0.13</v>
      </c>
      <c r="J182">
        <v>10</v>
      </c>
      <c r="K182">
        <v>2</v>
      </c>
      <c r="L182" t="s">
        <v>49</v>
      </c>
      <c r="M182" t="s">
        <v>50</v>
      </c>
      <c r="N182" t="s">
        <v>51</v>
      </c>
      <c r="O182">
        <v>1</v>
      </c>
      <c r="P182" t="s">
        <v>4</v>
      </c>
      <c r="Q182">
        <v>22.1</v>
      </c>
    </row>
    <row r="183" spans="1:17">
      <c r="A183">
        <v>2785</v>
      </c>
      <c r="B183" t="s">
        <v>33</v>
      </c>
      <c r="C183">
        <v>0.6</v>
      </c>
      <c r="D183">
        <v>0.45</v>
      </c>
      <c r="E183">
        <v>0.14499999999999999</v>
      </c>
      <c r="F183">
        <v>0.877</v>
      </c>
      <c r="G183">
        <v>0.4325</v>
      </c>
      <c r="H183">
        <v>0.155</v>
      </c>
      <c r="I183">
        <v>0.24</v>
      </c>
      <c r="J183">
        <v>9</v>
      </c>
      <c r="K183">
        <v>12</v>
      </c>
      <c r="L183" t="s">
        <v>58</v>
      </c>
      <c r="M183" t="s">
        <v>59</v>
      </c>
      <c r="N183" t="s">
        <v>45</v>
      </c>
      <c r="O183">
        <v>4</v>
      </c>
      <c r="P183" t="s">
        <v>8</v>
      </c>
      <c r="Q183">
        <v>6.1</v>
      </c>
    </row>
    <row r="184" spans="1:17">
      <c r="A184">
        <v>2063</v>
      </c>
      <c r="B184" t="s">
        <v>33</v>
      </c>
      <c r="C184">
        <v>0.505</v>
      </c>
      <c r="D184">
        <v>0.38500000000000001</v>
      </c>
      <c r="E184">
        <v>0.13</v>
      </c>
      <c r="F184">
        <v>0.64349999999999996</v>
      </c>
      <c r="G184">
        <v>0.3135</v>
      </c>
      <c r="H184">
        <v>0.14899999999999999</v>
      </c>
      <c r="I184">
        <v>0.1515</v>
      </c>
      <c r="J184">
        <v>7</v>
      </c>
      <c r="K184">
        <v>6</v>
      </c>
      <c r="L184" t="s">
        <v>46</v>
      </c>
      <c r="M184" t="s">
        <v>47</v>
      </c>
      <c r="N184" t="s">
        <v>48</v>
      </c>
      <c r="O184">
        <v>7</v>
      </c>
      <c r="P184" t="s">
        <v>6</v>
      </c>
      <c r="Q184">
        <v>2.5</v>
      </c>
    </row>
    <row r="185" spans="1:17">
      <c r="A185">
        <v>2165</v>
      </c>
      <c r="B185" t="s">
        <v>33</v>
      </c>
      <c r="C185">
        <v>0.375</v>
      </c>
      <c r="D185">
        <v>0.30499999999999999</v>
      </c>
      <c r="E185">
        <v>0.09</v>
      </c>
      <c r="F185">
        <v>0.32450000000000001</v>
      </c>
      <c r="G185">
        <v>0.13950000000000001</v>
      </c>
      <c r="H185">
        <v>5.6500000000000002E-2</v>
      </c>
      <c r="I185">
        <v>9.5000000000000001E-2</v>
      </c>
      <c r="J185">
        <v>5</v>
      </c>
      <c r="K185">
        <v>15</v>
      </c>
      <c r="L185" t="s">
        <v>60</v>
      </c>
      <c r="M185" t="s">
        <v>61</v>
      </c>
      <c r="N185" t="s">
        <v>45</v>
      </c>
      <c r="O185">
        <v>9</v>
      </c>
      <c r="P185" t="s">
        <v>9</v>
      </c>
      <c r="Q185">
        <v>1.9</v>
      </c>
    </row>
    <row r="186" spans="1:17">
      <c r="A186">
        <v>714</v>
      </c>
      <c r="B186" t="s">
        <v>33</v>
      </c>
      <c r="C186">
        <v>0.35499999999999998</v>
      </c>
      <c r="D186">
        <v>0.26500000000000001</v>
      </c>
      <c r="E186">
        <v>8.5000000000000006E-2</v>
      </c>
      <c r="F186">
        <v>0.20100000000000001</v>
      </c>
      <c r="G186">
        <v>6.9000000000000006E-2</v>
      </c>
      <c r="H186">
        <v>5.2999999999999999E-2</v>
      </c>
      <c r="I186">
        <v>6.9500000000000006E-2</v>
      </c>
      <c r="J186">
        <v>8</v>
      </c>
      <c r="K186">
        <v>12</v>
      </c>
      <c r="L186" t="s">
        <v>58</v>
      </c>
      <c r="M186" t="s">
        <v>59</v>
      </c>
      <c r="N186" t="s">
        <v>45</v>
      </c>
      <c r="O186">
        <v>10</v>
      </c>
      <c r="P186" t="s">
        <v>11</v>
      </c>
      <c r="Q186">
        <v>24.1</v>
      </c>
    </row>
    <row r="187" spans="1:17">
      <c r="A187">
        <v>1008</v>
      </c>
      <c r="B187" t="s">
        <v>33</v>
      </c>
      <c r="C187">
        <v>0.61</v>
      </c>
      <c r="D187">
        <v>0.47</v>
      </c>
      <c r="E187">
        <v>0.15</v>
      </c>
      <c r="F187">
        <v>1.1625000000000001</v>
      </c>
      <c r="G187">
        <v>0.56499999999999995</v>
      </c>
      <c r="H187">
        <v>0.25800000000000001</v>
      </c>
      <c r="I187">
        <v>0.3085</v>
      </c>
      <c r="J187">
        <v>11</v>
      </c>
      <c r="K187">
        <v>6</v>
      </c>
      <c r="L187" t="s">
        <v>46</v>
      </c>
      <c r="M187" t="s">
        <v>47</v>
      </c>
      <c r="N187" t="s">
        <v>48</v>
      </c>
      <c r="O187">
        <v>9</v>
      </c>
      <c r="P187" t="s">
        <v>9</v>
      </c>
      <c r="Q187">
        <v>1.9</v>
      </c>
    </row>
    <row r="188" spans="1:17">
      <c r="A188">
        <v>2263</v>
      </c>
      <c r="B188" t="s">
        <v>33</v>
      </c>
      <c r="C188">
        <v>0.57999999999999996</v>
      </c>
      <c r="D188">
        <v>0.45500000000000002</v>
      </c>
      <c r="E188">
        <v>0.16</v>
      </c>
      <c r="F188">
        <v>0.92149999999999999</v>
      </c>
      <c r="G188">
        <v>0.312</v>
      </c>
      <c r="H188">
        <v>0.19600000000000001</v>
      </c>
      <c r="I188">
        <v>0.3</v>
      </c>
      <c r="J188">
        <v>17</v>
      </c>
      <c r="K188">
        <v>13</v>
      </c>
      <c r="L188" t="s">
        <v>43</v>
      </c>
      <c r="M188" t="s">
        <v>44</v>
      </c>
      <c r="N188" t="s">
        <v>45</v>
      </c>
      <c r="O188">
        <v>10</v>
      </c>
      <c r="P188" t="s">
        <v>11</v>
      </c>
      <c r="Q188">
        <v>24.1</v>
      </c>
    </row>
    <row r="189" spans="1:17">
      <c r="A189">
        <v>677</v>
      </c>
      <c r="B189" t="s">
        <v>33</v>
      </c>
      <c r="C189">
        <v>0.54</v>
      </c>
      <c r="D189">
        <v>0.41499999999999998</v>
      </c>
      <c r="E189">
        <v>0.14499999999999999</v>
      </c>
      <c r="F189">
        <v>0.74</v>
      </c>
      <c r="G189">
        <v>0.26350000000000001</v>
      </c>
      <c r="H189">
        <v>0.16800000000000001</v>
      </c>
      <c r="I189">
        <v>0.245</v>
      </c>
      <c r="J189">
        <v>12</v>
      </c>
      <c r="K189">
        <v>9</v>
      </c>
      <c r="L189" t="s">
        <v>34</v>
      </c>
      <c r="M189" t="s">
        <v>35</v>
      </c>
      <c r="N189" t="s">
        <v>36</v>
      </c>
      <c r="O189">
        <v>5</v>
      </c>
      <c r="P189" t="s">
        <v>12</v>
      </c>
      <c r="Q189">
        <v>12.8</v>
      </c>
    </row>
    <row r="190" spans="1:17">
      <c r="A190">
        <v>2896</v>
      </c>
      <c r="B190" t="s">
        <v>33</v>
      </c>
      <c r="C190">
        <v>0.54</v>
      </c>
      <c r="D190">
        <v>0.41499999999999998</v>
      </c>
      <c r="E190">
        <v>0.11</v>
      </c>
      <c r="F190">
        <v>0.61899999999999999</v>
      </c>
      <c r="G190">
        <v>0.27550000000000002</v>
      </c>
      <c r="H190">
        <v>0.15</v>
      </c>
      <c r="I190">
        <v>0.17649999999999999</v>
      </c>
      <c r="J190">
        <v>10</v>
      </c>
      <c r="K190">
        <v>1</v>
      </c>
      <c r="L190" t="s">
        <v>70</v>
      </c>
      <c r="M190" t="s">
        <v>71</v>
      </c>
      <c r="N190" t="s">
        <v>45</v>
      </c>
      <c r="O190">
        <v>9</v>
      </c>
      <c r="P190" t="s">
        <v>9</v>
      </c>
      <c r="Q190">
        <v>1.9</v>
      </c>
    </row>
    <row r="191" spans="1:17">
      <c r="A191">
        <v>2715</v>
      </c>
      <c r="B191" t="s">
        <v>33</v>
      </c>
      <c r="C191">
        <v>0.28999999999999998</v>
      </c>
      <c r="D191">
        <v>0.215</v>
      </c>
      <c r="E191">
        <v>6.5000000000000002E-2</v>
      </c>
      <c r="F191">
        <v>9.8500000000000004E-2</v>
      </c>
      <c r="G191">
        <v>4.2500000000000003E-2</v>
      </c>
      <c r="H191">
        <v>2.1000000000000001E-2</v>
      </c>
      <c r="I191">
        <v>3.1E-2</v>
      </c>
      <c r="J191">
        <v>5</v>
      </c>
      <c r="K191">
        <v>8</v>
      </c>
      <c r="L191" t="s">
        <v>55</v>
      </c>
      <c r="M191" t="s">
        <v>56</v>
      </c>
      <c r="N191" t="s">
        <v>57</v>
      </c>
      <c r="O191">
        <v>10</v>
      </c>
      <c r="P191" t="s">
        <v>11</v>
      </c>
      <c r="Q191">
        <v>24.1</v>
      </c>
    </row>
    <row r="192" spans="1:17">
      <c r="A192">
        <v>3312</v>
      </c>
      <c r="B192" t="s">
        <v>33</v>
      </c>
      <c r="C192">
        <v>0.48</v>
      </c>
      <c r="D192">
        <v>0.38</v>
      </c>
      <c r="E192">
        <v>0.13500000000000001</v>
      </c>
      <c r="F192">
        <v>0.50700000000000001</v>
      </c>
      <c r="G192">
        <v>0.1915</v>
      </c>
      <c r="H192">
        <v>0.13650000000000001</v>
      </c>
      <c r="I192">
        <v>0.155</v>
      </c>
      <c r="J192">
        <v>12</v>
      </c>
      <c r="K192">
        <v>15</v>
      </c>
      <c r="L192" t="s">
        <v>60</v>
      </c>
      <c r="M192" t="s">
        <v>61</v>
      </c>
      <c r="N192" t="s">
        <v>45</v>
      </c>
      <c r="O192">
        <v>5</v>
      </c>
      <c r="P192" t="s">
        <v>12</v>
      </c>
      <c r="Q192">
        <v>12.8</v>
      </c>
    </row>
    <row r="193" spans="1:17">
      <c r="A193">
        <v>9</v>
      </c>
      <c r="B193" t="s">
        <v>33</v>
      </c>
      <c r="C193">
        <v>0.47499999999999998</v>
      </c>
      <c r="D193">
        <v>0.37</v>
      </c>
      <c r="E193">
        <v>0.125</v>
      </c>
      <c r="F193">
        <v>0.50949999999999995</v>
      </c>
      <c r="G193">
        <v>0.2165</v>
      </c>
      <c r="H193">
        <v>0.1125</v>
      </c>
      <c r="I193">
        <v>0.16500000000000001</v>
      </c>
      <c r="J193">
        <v>9</v>
      </c>
      <c r="K193">
        <v>2</v>
      </c>
      <c r="L193" t="s">
        <v>49</v>
      </c>
      <c r="M193" t="s">
        <v>50</v>
      </c>
      <c r="N193" t="s">
        <v>51</v>
      </c>
      <c r="O193">
        <v>3</v>
      </c>
      <c r="P193" t="s">
        <v>10</v>
      </c>
      <c r="Q193">
        <v>3.6</v>
      </c>
    </row>
    <row r="194" spans="1:17">
      <c r="A194">
        <v>2556</v>
      </c>
      <c r="B194" t="s">
        <v>33</v>
      </c>
      <c r="C194">
        <v>0.37</v>
      </c>
      <c r="D194">
        <v>0.28999999999999998</v>
      </c>
      <c r="E194">
        <v>0.08</v>
      </c>
      <c r="F194">
        <v>0.2545</v>
      </c>
      <c r="G194">
        <v>0.108</v>
      </c>
      <c r="H194">
        <v>5.6500000000000002E-2</v>
      </c>
      <c r="I194">
        <v>7.0000000000000007E-2</v>
      </c>
      <c r="J194">
        <v>6</v>
      </c>
      <c r="K194">
        <v>15</v>
      </c>
      <c r="L194" t="s">
        <v>60</v>
      </c>
      <c r="M194" t="s">
        <v>61</v>
      </c>
      <c r="N194" t="s">
        <v>45</v>
      </c>
      <c r="O194">
        <v>5</v>
      </c>
      <c r="P194" t="s">
        <v>12</v>
      </c>
      <c r="Q194">
        <v>12.8</v>
      </c>
    </row>
    <row r="195" spans="1:17">
      <c r="A195">
        <v>3872</v>
      </c>
      <c r="B195" t="s">
        <v>33</v>
      </c>
      <c r="C195">
        <v>0.45</v>
      </c>
      <c r="D195">
        <v>0.36</v>
      </c>
      <c r="E195">
        <v>0.11</v>
      </c>
      <c r="F195">
        <v>0.44700000000000001</v>
      </c>
      <c r="G195">
        <v>0.20300000000000001</v>
      </c>
      <c r="H195">
        <v>8.2000000000000003E-2</v>
      </c>
      <c r="I195">
        <v>0.13</v>
      </c>
      <c r="J195">
        <v>12</v>
      </c>
      <c r="K195">
        <v>13</v>
      </c>
      <c r="L195" t="s">
        <v>43</v>
      </c>
      <c r="M195" t="s">
        <v>44</v>
      </c>
      <c r="N195" t="s">
        <v>45</v>
      </c>
      <c r="O195">
        <v>10</v>
      </c>
      <c r="P195" t="s">
        <v>11</v>
      </c>
      <c r="Q195">
        <v>24.1</v>
      </c>
    </row>
    <row r="196" spans="1:17">
      <c r="A196">
        <v>2521</v>
      </c>
      <c r="B196" t="s">
        <v>33</v>
      </c>
      <c r="C196">
        <v>0.52500000000000002</v>
      </c>
      <c r="D196">
        <v>0.42499999999999999</v>
      </c>
      <c r="E196">
        <v>0.19</v>
      </c>
      <c r="F196">
        <v>0.872</v>
      </c>
      <c r="G196">
        <v>0.46250000000000002</v>
      </c>
      <c r="H196">
        <v>0.17249999999999999</v>
      </c>
      <c r="I196">
        <v>0.19900000000000001</v>
      </c>
      <c r="J196">
        <v>9</v>
      </c>
      <c r="K196">
        <v>8</v>
      </c>
      <c r="L196" t="s">
        <v>55</v>
      </c>
      <c r="M196" t="s">
        <v>56</v>
      </c>
      <c r="N196" t="s">
        <v>57</v>
      </c>
      <c r="O196">
        <v>9</v>
      </c>
      <c r="P196" t="s">
        <v>9</v>
      </c>
      <c r="Q196">
        <v>1.9</v>
      </c>
    </row>
    <row r="197" spans="1:17">
      <c r="A197">
        <v>3507</v>
      </c>
      <c r="B197" t="s">
        <v>33</v>
      </c>
      <c r="C197">
        <v>0.625</v>
      </c>
      <c r="D197">
        <v>0.47</v>
      </c>
      <c r="E197">
        <v>0.17499999999999999</v>
      </c>
      <c r="F197">
        <v>1.179</v>
      </c>
      <c r="G197">
        <v>0.60499999999999998</v>
      </c>
      <c r="H197">
        <v>0.25800000000000001</v>
      </c>
      <c r="I197">
        <v>0.27100000000000002</v>
      </c>
      <c r="J197">
        <v>9</v>
      </c>
      <c r="K197">
        <v>12</v>
      </c>
      <c r="L197" t="s">
        <v>58</v>
      </c>
      <c r="M197" t="s">
        <v>59</v>
      </c>
      <c r="N197" t="s">
        <v>45</v>
      </c>
      <c r="O197">
        <v>3</v>
      </c>
      <c r="P197" t="s">
        <v>10</v>
      </c>
      <c r="Q197">
        <v>3.6</v>
      </c>
    </row>
    <row r="198" spans="1:17">
      <c r="A198">
        <v>3361</v>
      </c>
      <c r="B198" t="s">
        <v>33</v>
      </c>
      <c r="C198">
        <v>0.57999999999999996</v>
      </c>
      <c r="D198">
        <v>0.44</v>
      </c>
      <c r="E198">
        <v>0.17499999999999999</v>
      </c>
      <c r="F198">
        <v>1.073</v>
      </c>
      <c r="G198">
        <v>0.40050000000000002</v>
      </c>
      <c r="H198">
        <v>0.23449999999999999</v>
      </c>
      <c r="I198">
        <v>0.33500000000000002</v>
      </c>
      <c r="J198">
        <v>19</v>
      </c>
      <c r="K198">
        <v>1</v>
      </c>
      <c r="L198" t="s">
        <v>70</v>
      </c>
      <c r="M198" t="s">
        <v>71</v>
      </c>
      <c r="N198" t="s">
        <v>45</v>
      </c>
      <c r="O198">
        <v>8</v>
      </c>
      <c r="P198" t="s">
        <v>13</v>
      </c>
      <c r="Q198">
        <v>12.3</v>
      </c>
    </row>
    <row r="199" spans="1:17">
      <c r="A199">
        <v>821</v>
      </c>
      <c r="B199" t="s">
        <v>33</v>
      </c>
      <c r="C199">
        <v>0.36499999999999999</v>
      </c>
      <c r="D199">
        <v>0.27500000000000002</v>
      </c>
      <c r="E199">
        <v>0.13500000000000001</v>
      </c>
      <c r="F199">
        <v>0.24</v>
      </c>
      <c r="G199">
        <v>0.108</v>
      </c>
      <c r="H199">
        <v>4.4499999999999998E-2</v>
      </c>
      <c r="I199">
        <v>7.3499999999999996E-2</v>
      </c>
      <c r="J199">
        <v>7</v>
      </c>
      <c r="K199">
        <v>10</v>
      </c>
      <c r="L199" t="s">
        <v>37</v>
      </c>
      <c r="M199" t="s">
        <v>38</v>
      </c>
      <c r="N199" t="s">
        <v>39</v>
      </c>
      <c r="O199">
        <v>2</v>
      </c>
      <c r="P199" t="s">
        <v>5</v>
      </c>
      <c r="Q199">
        <v>18</v>
      </c>
    </row>
    <row r="200" spans="1:17">
      <c r="A200">
        <v>2007</v>
      </c>
      <c r="B200" t="s">
        <v>33</v>
      </c>
      <c r="C200">
        <v>0.40500000000000003</v>
      </c>
      <c r="D200">
        <v>0.25</v>
      </c>
      <c r="E200">
        <v>0.09</v>
      </c>
      <c r="F200">
        <v>0.28749999999999998</v>
      </c>
      <c r="G200">
        <v>0.128</v>
      </c>
      <c r="H200">
        <v>6.3E-2</v>
      </c>
      <c r="I200">
        <v>8.0500000000000002E-2</v>
      </c>
      <c r="J200">
        <v>7</v>
      </c>
      <c r="K200">
        <v>11</v>
      </c>
      <c r="L200" t="s">
        <v>65</v>
      </c>
      <c r="M200" t="s">
        <v>66</v>
      </c>
      <c r="N200" t="s">
        <v>45</v>
      </c>
      <c r="O200">
        <v>5</v>
      </c>
      <c r="P200" t="s">
        <v>12</v>
      </c>
      <c r="Q200">
        <v>12.8</v>
      </c>
    </row>
    <row r="201" spans="1:17">
      <c r="A201">
        <v>619</v>
      </c>
      <c r="B201" t="s">
        <v>33</v>
      </c>
      <c r="C201">
        <v>0.31</v>
      </c>
      <c r="D201">
        <v>0.22500000000000001</v>
      </c>
      <c r="E201">
        <v>7.4999999999999997E-2</v>
      </c>
      <c r="F201">
        <v>0.1295</v>
      </c>
      <c r="G201">
        <v>4.5499999999999999E-2</v>
      </c>
      <c r="H201">
        <v>3.3500000000000002E-2</v>
      </c>
      <c r="I201">
        <v>4.3999999999999997E-2</v>
      </c>
      <c r="J201">
        <v>9</v>
      </c>
      <c r="K201">
        <v>7</v>
      </c>
      <c r="L201" t="s">
        <v>62</v>
      </c>
      <c r="M201" t="s">
        <v>63</v>
      </c>
      <c r="N201" t="s">
        <v>64</v>
      </c>
      <c r="O201">
        <v>2</v>
      </c>
      <c r="P201" t="s">
        <v>5</v>
      </c>
      <c r="Q201">
        <v>18</v>
      </c>
    </row>
    <row r="202" spans="1:17">
      <c r="A202">
        <v>2341</v>
      </c>
      <c r="B202" t="s">
        <v>33</v>
      </c>
      <c r="C202">
        <v>0.59</v>
      </c>
      <c r="D202">
        <v>0.47</v>
      </c>
      <c r="E202">
        <v>0.17</v>
      </c>
      <c r="F202">
        <v>0.9</v>
      </c>
      <c r="G202">
        <v>0.35499999999999998</v>
      </c>
      <c r="H202">
        <v>0.1905</v>
      </c>
      <c r="I202">
        <v>0.25</v>
      </c>
      <c r="J202">
        <v>11</v>
      </c>
      <c r="K202">
        <v>7</v>
      </c>
      <c r="L202" t="s">
        <v>62</v>
      </c>
      <c r="M202" t="s">
        <v>63</v>
      </c>
      <c r="N202" t="s">
        <v>64</v>
      </c>
      <c r="O202">
        <v>1</v>
      </c>
      <c r="P202" t="s">
        <v>4</v>
      </c>
      <c r="Q202">
        <v>22.1</v>
      </c>
    </row>
    <row r="203" spans="1:17">
      <c r="A203">
        <v>819</v>
      </c>
      <c r="B203" t="s">
        <v>33</v>
      </c>
      <c r="C203">
        <v>0.35</v>
      </c>
      <c r="D203">
        <v>0.25</v>
      </c>
      <c r="E203">
        <v>7.0000000000000007E-2</v>
      </c>
      <c r="F203">
        <v>0.18</v>
      </c>
      <c r="G203">
        <v>6.5500000000000003E-2</v>
      </c>
      <c r="H203">
        <v>4.8000000000000001E-2</v>
      </c>
      <c r="I203">
        <v>5.3999999999999999E-2</v>
      </c>
      <c r="J203">
        <v>6</v>
      </c>
      <c r="K203">
        <v>12</v>
      </c>
      <c r="L203" t="s">
        <v>58</v>
      </c>
      <c r="M203" t="s">
        <v>59</v>
      </c>
      <c r="N203" t="s">
        <v>45</v>
      </c>
      <c r="O203">
        <v>8</v>
      </c>
      <c r="P203" t="s">
        <v>13</v>
      </c>
      <c r="Q203">
        <v>12.3</v>
      </c>
    </row>
    <row r="204" spans="1:17">
      <c r="A204">
        <v>404</v>
      </c>
      <c r="B204" t="s">
        <v>33</v>
      </c>
      <c r="C204">
        <v>0.51500000000000001</v>
      </c>
      <c r="D204">
        <v>0.41499999999999998</v>
      </c>
      <c r="E204">
        <v>0.14000000000000001</v>
      </c>
      <c r="F204">
        <v>0.69350000000000001</v>
      </c>
      <c r="G204">
        <v>0.3115</v>
      </c>
      <c r="H204">
        <v>0.152</v>
      </c>
      <c r="I204">
        <v>0.2</v>
      </c>
      <c r="J204">
        <v>10</v>
      </c>
      <c r="K204">
        <v>13</v>
      </c>
      <c r="L204" t="s">
        <v>43</v>
      </c>
      <c r="M204" t="s">
        <v>44</v>
      </c>
      <c r="N204" t="s">
        <v>45</v>
      </c>
      <c r="O204">
        <v>1</v>
      </c>
      <c r="P204" t="s">
        <v>4</v>
      </c>
      <c r="Q204">
        <v>22.1</v>
      </c>
    </row>
    <row r="205" spans="1:17">
      <c r="A205">
        <v>3259</v>
      </c>
      <c r="B205" t="s">
        <v>33</v>
      </c>
      <c r="C205">
        <v>0.45500000000000002</v>
      </c>
      <c r="D205">
        <v>0.375</v>
      </c>
      <c r="E205">
        <v>0.125</v>
      </c>
      <c r="F205">
        <v>0.48399999999999999</v>
      </c>
      <c r="G205">
        <v>0.2155</v>
      </c>
      <c r="H205">
        <v>0.10199999999999999</v>
      </c>
      <c r="I205">
        <v>0.16500000000000001</v>
      </c>
      <c r="J205">
        <v>7</v>
      </c>
      <c r="K205">
        <v>14</v>
      </c>
      <c r="L205" t="s">
        <v>72</v>
      </c>
      <c r="M205" t="s">
        <v>73</v>
      </c>
      <c r="N205" t="s">
        <v>74</v>
      </c>
      <c r="O205">
        <v>9</v>
      </c>
      <c r="P205" t="s">
        <v>9</v>
      </c>
      <c r="Q205">
        <v>1.9</v>
      </c>
    </row>
    <row r="206" spans="1:17">
      <c r="A206">
        <v>126</v>
      </c>
      <c r="B206" t="s">
        <v>33</v>
      </c>
      <c r="C206">
        <v>0.27</v>
      </c>
      <c r="D206">
        <v>0.19500000000000001</v>
      </c>
      <c r="E206">
        <v>0.06</v>
      </c>
      <c r="F206">
        <v>7.2999999999999995E-2</v>
      </c>
      <c r="G206">
        <v>2.8500000000000001E-2</v>
      </c>
      <c r="H206">
        <v>2.35E-2</v>
      </c>
      <c r="I206">
        <v>0.03</v>
      </c>
      <c r="J206">
        <v>5</v>
      </c>
      <c r="K206">
        <v>12</v>
      </c>
      <c r="L206" t="s">
        <v>58</v>
      </c>
      <c r="M206" t="s">
        <v>59</v>
      </c>
      <c r="N206" t="s">
        <v>45</v>
      </c>
      <c r="O206">
        <v>10</v>
      </c>
      <c r="P206" t="s">
        <v>11</v>
      </c>
      <c r="Q206">
        <v>24.1</v>
      </c>
    </row>
    <row r="207" spans="1:17">
      <c r="A207">
        <v>961</v>
      </c>
      <c r="B207" t="s">
        <v>33</v>
      </c>
      <c r="C207">
        <v>0.5</v>
      </c>
      <c r="D207">
        <v>0.4</v>
      </c>
      <c r="E207">
        <v>0.125</v>
      </c>
      <c r="F207">
        <v>0.67249999999999999</v>
      </c>
      <c r="G207">
        <v>0.33600000000000002</v>
      </c>
      <c r="H207">
        <v>0.12</v>
      </c>
      <c r="I207">
        <v>0.1825</v>
      </c>
      <c r="J207">
        <v>7</v>
      </c>
      <c r="K207">
        <v>9</v>
      </c>
      <c r="L207" t="s">
        <v>34</v>
      </c>
      <c r="M207" t="s">
        <v>35</v>
      </c>
      <c r="N207" t="s">
        <v>36</v>
      </c>
      <c r="O207">
        <v>4</v>
      </c>
      <c r="P207" t="s">
        <v>8</v>
      </c>
      <c r="Q207">
        <v>6.1</v>
      </c>
    </row>
    <row r="208" spans="1:17">
      <c r="A208">
        <v>3861</v>
      </c>
      <c r="B208" t="s">
        <v>33</v>
      </c>
      <c r="C208">
        <v>0.55000000000000004</v>
      </c>
      <c r="D208">
        <v>0.46500000000000002</v>
      </c>
      <c r="E208">
        <v>0.15</v>
      </c>
      <c r="F208">
        <v>1.0820000000000001</v>
      </c>
      <c r="G208">
        <v>0.35749999999999998</v>
      </c>
      <c r="H208">
        <v>0.19400000000000001</v>
      </c>
      <c r="I208">
        <v>0.19</v>
      </c>
      <c r="J208">
        <v>14</v>
      </c>
      <c r="K208">
        <v>12</v>
      </c>
      <c r="L208" t="s">
        <v>58</v>
      </c>
      <c r="M208" t="s">
        <v>59</v>
      </c>
      <c r="N208" t="s">
        <v>45</v>
      </c>
      <c r="O208">
        <v>6</v>
      </c>
      <c r="P208" t="s">
        <v>7</v>
      </c>
      <c r="Q208">
        <v>14.1</v>
      </c>
    </row>
    <row r="209" spans="1:17">
      <c r="A209">
        <v>1267</v>
      </c>
      <c r="B209" t="s">
        <v>33</v>
      </c>
      <c r="C209">
        <v>0.46</v>
      </c>
      <c r="D209">
        <v>0.35</v>
      </c>
      <c r="E209">
        <v>0.105</v>
      </c>
      <c r="F209">
        <v>0.3705</v>
      </c>
      <c r="G209">
        <v>0.1575</v>
      </c>
      <c r="H209">
        <v>7.6999999999999999E-2</v>
      </c>
      <c r="I209">
        <v>0.114</v>
      </c>
      <c r="J209">
        <v>9</v>
      </c>
      <c r="K209">
        <v>1</v>
      </c>
      <c r="L209" t="s">
        <v>70</v>
      </c>
      <c r="M209" t="s">
        <v>71</v>
      </c>
      <c r="N209" t="s">
        <v>45</v>
      </c>
      <c r="O209">
        <v>3</v>
      </c>
      <c r="P209" t="s">
        <v>10</v>
      </c>
      <c r="Q209">
        <v>3.6</v>
      </c>
    </row>
    <row r="210" spans="1:17">
      <c r="A210">
        <v>2504</v>
      </c>
      <c r="B210" t="s">
        <v>33</v>
      </c>
      <c r="C210">
        <v>0.3</v>
      </c>
      <c r="D210">
        <v>0.23</v>
      </c>
      <c r="E210">
        <v>7.4999999999999997E-2</v>
      </c>
      <c r="F210">
        <v>0.127</v>
      </c>
      <c r="G210">
        <v>5.1999999999999998E-2</v>
      </c>
      <c r="H210">
        <v>0.03</v>
      </c>
      <c r="I210">
        <v>3.4500000000000003E-2</v>
      </c>
      <c r="J210">
        <v>6</v>
      </c>
      <c r="K210">
        <v>8</v>
      </c>
      <c r="L210" t="s">
        <v>55</v>
      </c>
      <c r="M210" t="s">
        <v>56</v>
      </c>
      <c r="N210" t="s">
        <v>57</v>
      </c>
      <c r="O210">
        <v>9</v>
      </c>
      <c r="P210" t="s">
        <v>9</v>
      </c>
      <c r="Q210">
        <v>1.9</v>
      </c>
    </row>
    <row r="211" spans="1:17">
      <c r="A211">
        <v>1126</v>
      </c>
      <c r="B211" t="s">
        <v>33</v>
      </c>
      <c r="C211">
        <v>0.55000000000000004</v>
      </c>
      <c r="D211">
        <v>0.42499999999999999</v>
      </c>
      <c r="E211">
        <v>0.15</v>
      </c>
      <c r="F211">
        <v>0.83150000000000002</v>
      </c>
      <c r="G211">
        <v>0.41099999999999998</v>
      </c>
      <c r="H211">
        <v>0.17649999999999999</v>
      </c>
      <c r="I211">
        <v>0.2165</v>
      </c>
      <c r="J211">
        <v>10</v>
      </c>
      <c r="K211">
        <v>10</v>
      </c>
      <c r="L211" t="s">
        <v>37</v>
      </c>
      <c r="M211" t="s">
        <v>38</v>
      </c>
      <c r="N211" t="s">
        <v>39</v>
      </c>
      <c r="O211">
        <v>7</v>
      </c>
      <c r="P211" t="s">
        <v>6</v>
      </c>
      <c r="Q211">
        <v>2.5</v>
      </c>
    </row>
    <row r="212" spans="1:17">
      <c r="A212">
        <v>4075</v>
      </c>
      <c r="B212" t="s">
        <v>33</v>
      </c>
      <c r="C212">
        <v>0.52</v>
      </c>
      <c r="D212">
        <v>0.4</v>
      </c>
      <c r="E212">
        <v>0.14000000000000001</v>
      </c>
      <c r="F212">
        <v>0.622</v>
      </c>
      <c r="G212">
        <v>0.27800000000000002</v>
      </c>
      <c r="H212">
        <v>0.14549999999999999</v>
      </c>
      <c r="I212">
        <v>0.16900000000000001</v>
      </c>
      <c r="J212">
        <v>8</v>
      </c>
      <c r="K212">
        <v>2</v>
      </c>
      <c r="L212" t="s">
        <v>49</v>
      </c>
      <c r="M212" t="s">
        <v>50</v>
      </c>
      <c r="N212" t="s">
        <v>51</v>
      </c>
      <c r="O212">
        <v>8</v>
      </c>
      <c r="P212" t="s">
        <v>13</v>
      </c>
      <c r="Q212">
        <v>12.3</v>
      </c>
    </row>
    <row r="213" spans="1:17">
      <c r="A213">
        <v>1339</v>
      </c>
      <c r="B213" t="s">
        <v>33</v>
      </c>
      <c r="C213">
        <v>0.57999999999999996</v>
      </c>
      <c r="D213">
        <v>0.45500000000000002</v>
      </c>
      <c r="E213">
        <v>0.13500000000000001</v>
      </c>
      <c r="F213">
        <v>0.79549999999999998</v>
      </c>
      <c r="G213">
        <v>0.40500000000000003</v>
      </c>
      <c r="H213">
        <v>0.16700000000000001</v>
      </c>
      <c r="I213">
        <v>0.20399999999999999</v>
      </c>
      <c r="J213">
        <v>10</v>
      </c>
      <c r="K213">
        <v>12</v>
      </c>
      <c r="L213" t="s">
        <v>58</v>
      </c>
      <c r="M213" t="s">
        <v>59</v>
      </c>
      <c r="N213" t="s">
        <v>45</v>
      </c>
      <c r="O213">
        <v>4</v>
      </c>
      <c r="P213" t="s">
        <v>8</v>
      </c>
      <c r="Q213">
        <v>6.1</v>
      </c>
    </row>
    <row r="214" spans="1:17">
      <c r="A214">
        <v>3200</v>
      </c>
      <c r="B214" t="s">
        <v>33</v>
      </c>
      <c r="C214">
        <v>0.49</v>
      </c>
      <c r="D214">
        <v>0.38</v>
      </c>
      <c r="E214">
        <v>0.155</v>
      </c>
      <c r="F214">
        <v>0.57799999999999996</v>
      </c>
      <c r="G214">
        <v>0.23949999999999999</v>
      </c>
      <c r="H214">
        <v>0.1255</v>
      </c>
      <c r="I214">
        <v>0.18</v>
      </c>
      <c r="J214">
        <v>9</v>
      </c>
      <c r="K214">
        <v>12</v>
      </c>
      <c r="L214" t="s">
        <v>58</v>
      </c>
      <c r="M214" t="s">
        <v>59</v>
      </c>
      <c r="N214" t="s">
        <v>45</v>
      </c>
      <c r="O214">
        <v>1</v>
      </c>
      <c r="P214" t="s">
        <v>4</v>
      </c>
      <c r="Q214">
        <v>22.1</v>
      </c>
    </row>
    <row r="215" spans="1:17">
      <c r="A215">
        <v>2392</v>
      </c>
      <c r="B215" t="s">
        <v>33</v>
      </c>
      <c r="C215">
        <v>0.37</v>
      </c>
      <c r="D215">
        <v>0.28999999999999998</v>
      </c>
      <c r="E215">
        <v>0.09</v>
      </c>
      <c r="F215">
        <v>0.24099999999999999</v>
      </c>
      <c r="G215">
        <v>0.11</v>
      </c>
      <c r="H215">
        <v>4.4999999999999998E-2</v>
      </c>
      <c r="I215">
        <v>6.9000000000000006E-2</v>
      </c>
      <c r="J215">
        <v>10</v>
      </c>
      <c r="K215">
        <v>2</v>
      </c>
      <c r="L215" t="s">
        <v>49</v>
      </c>
      <c r="M215" t="s">
        <v>50</v>
      </c>
      <c r="N215" t="s">
        <v>51</v>
      </c>
      <c r="O215">
        <v>5</v>
      </c>
      <c r="P215" t="s">
        <v>12</v>
      </c>
      <c r="Q215">
        <v>12.8</v>
      </c>
    </row>
    <row r="216" spans="1:17">
      <c r="A216">
        <v>1810</v>
      </c>
      <c r="B216" t="s">
        <v>33</v>
      </c>
      <c r="C216">
        <v>0.64</v>
      </c>
      <c r="D216">
        <v>0.47499999999999998</v>
      </c>
      <c r="E216">
        <v>0.14000000000000001</v>
      </c>
      <c r="F216">
        <v>1.0725</v>
      </c>
      <c r="G216">
        <v>0.48949999999999999</v>
      </c>
      <c r="H216">
        <v>0.22950000000000001</v>
      </c>
      <c r="I216">
        <v>0.31</v>
      </c>
      <c r="J216">
        <v>8</v>
      </c>
      <c r="K216">
        <v>3</v>
      </c>
      <c r="L216" t="s">
        <v>52</v>
      </c>
      <c r="M216" t="s">
        <v>53</v>
      </c>
      <c r="N216" t="s">
        <v>54</v>
      </c>
      <c r="O216">
        <v>7</v>
      </c>
      <c r="P216" t="s">
        <v>6</v>
      </c>
      <c r="Q216">
        <v>2.5</v>
      </c>
    </row>
    <row r="217" spans="1:17">
      <c r="A217">
        <v>3036</v>
      </c>
      <c r="B217" t="s">
        <v>33</v>
      </c>
      <c r="C217">
        <v>0.55000000000000004</v>
      </c>
      <c r="D217">
        <v>0.40500000000000003</v>
      </c>
      <c r="E217">
        <v>0.15</v>
      </c>
      <c r="F217">
        <v>0.67549999999999999</v>
      </c>
      <c r="G217">
        <v>0.30149999999999999</v>
      </c>
      <c r="H217">
        <v>0.14649999999999999</v>
      </c>
      <c r="I217">
        <v>0.21</v>
      </c>
      <c r="J217">
        <v>10</v>
      </c>
      <c r="K217">
        <v>12</v>
      </c>
      <c r="L217" t="s">
        <v>58</v>
      </c>
      <c r="M217" t="s">
        <v>59</v>
      </c>
      <c r="N217" t="s">
        <v>45</v>
      </c>
      <c r="O217">
        <v>9</v>
      </c>
      <c r="P217" t="s">
        <v>9</v>
      </c>
      <c r="Q217">
        <v>1.9</v>
      </c>
    </row>
    <row r="218" spans="1:17">
      <c r="A218">
        <v>314</v>
      </c>
      <c r="B218" t="s">
        <v>33</v>
      </c>
      <c r="C218">
        <v>0.62</v>
      </c>
      <c r="D218">
        <v>0.47</v>
      </c>
      <c r="E218">
        <v>0.2</v>
      </c>
      <c r="F218">
        <v>1.2255</v>
      </c>
      <c r="G218">
        <v>0.38100000000000001</v>
      </c>
      <c r="H218">
        <v>0.27</v>
      </c>
      <c r="I218">
        <v>0.435</v>
      </c>
      <c r="J218">
        <v>23</v>
      </c>
      <c r="K218">
        <v>9</v>
      </c>
      <c r="L218" t="s">
        <v>34</v>
      </c>
      <c r="M218" t="s">
        <v>35</v>
      </c>
      <c r="N218" t="s">
        <v>36</v>
      </c>
      <c r="O218">
        <v>6</v>
      </c>
      <c r="P218" t="s">
        <v>7</v>
      </c>
      <c r="Q218">
        <v>14.1</v>
      </c>
    </row>
    <row r="219" spans="1:17">
      <c r="A219">
        <v>1532</v>
      </c>
      <c r="B219" t="s">
        <v>33</v>
      </c>
      <c r="C219">
        <v>0.21</v>
      </c>
      <c r="D219">
        <v>0.17</v>
      </c>
      <c r="E219">
        <v>4.4999999999999998E-2</v>
      </c>
      <c r="F219">
        <v>4.7500000000000001E-2</v>
      </c>
      <c r="G219">
        <v>1.9E-2</v>
      </c>
      <c r="H219">
        <v>1.0999999999999999E-2</v>
      </c>
      <c r="I219">
        <v>1.2999999999999999E-2</v>
      </c>
      <c r="J219">
        <v>5</v>
      </c>
      <c r="K219">
        <v>11</v>
      </c>
      <c r="L219" t="s">
        <v>65</v>
      </c>
      <c r="M219" t="s">
        <v>66</v>
      </c>
      <c r="N219" t="s">
        <v>45</v>
      </c>
      <c r="O219">
        <v>7</v>
      </c>
      <c r="P219" t="s">
        <v>6</v>
      </c>
      <c r="Q219">
        <v>2.5</v>
      </c>
    </row>
    <row r="220" spans="1:17">
      <c r="A220">
        <v>2344</v>
      </c>
      <c r="B220" t="s">
        <v>33</v>
      </c>
      <c r="C220">
        <v>0.17</v>
      </c>
      <c r="D220">
        <v>0.125</v>
      </c>
      <c r="E220">
        <v>5.5E-2</v>
      </c>
      <c r="F220">
        <v>2.35E-2</v>
      </c>
      <c r="G220">
        <v>8.9999999999999993E-3</v>
      </c>
      <c r="H220">
        <v>5.4999999999999997E-3</v>
      </c>
      <c r="I220">
        <v>8.0000000000000002E-3</v>
      </c>
      <c r="J220">
        <v>6</v>
      </c>
      <c r="K220">
        <v>13</v>
      </c>
      <c r="L220" t="s">
        <v>43</v>
      </c>
      <c r="M220" t="s">
        <v>44</v>
      </c>
      <c r="N220" t="s">
        <v>45</v>
      </c>
      <c r="O220">
        <v>8</v>
      </c>
      <c r="P220" t="s">
        <v>13</v>
      </c>
      <c r="Q220">
        <v>12.3</v>
      </c>
    </row>
    <row r="221" spans="1:17">
      <c r="A221">
        <v>1165</v>
      </c>
      <c r="B221" t="s">
        <v>33</v>
      </c>
      <c r="C221">
        <v>0.61499999999999999</v>
      </c>
      <c r="D221">
        <v>0.46</v>
      </c>
      <c r="E221">
        <v>0.17</v>
      </c>
      <c r="F221">
        <v>1.0565</v>
      </c>
      <c r="G221">
        <v>0.48149999999999998</v>
      </c>
      <c r="H221">
        <v>0.27200000000000002</v>
      </c>
      <c r="I221">
        <v>0.27</v>
      </c>
      <c r="J221">
        <v>10</v>
      </c>
      <c r="K221">
        <v>14</v>
      </c>
      <c r="L221" t="s">
        <v>72</v>
      </c>
      <c r="M221" t="s">
        <v>73</v>
      </c>
      <c r="N221" t="s">
        <v>74</v>
      </c>
      <c r="O221">
        <v>9</v>
      </c>
      <c r="P221" t="s">
        <v>9</v>
      </c>
      <c r="Q221">
        <v>1.9</v>
      </c>
    </row>
    <row r="222" spans="1:17">
      <c r="A222">
        <v>1009</v>
      </c>
      <c r="B222" t="s">
        <v>33</v>
      </c>
      <c r="C222">
        <v>0.61</v>
      </c>
      <c r="D222">
        <v>0.47499999999999998</v>
      </c>
      <c r="E222">
        <v>0.155</v>
      </c>
      <c r="F222">
        <v>1.1679999999999999</v>
      </c>
      <c r="G222">
        <v>0.55400000000000005</v>
      </c>
      <c r="H222">
        <v>0.23899999999999999</v>
      </c>
      <c r="I222">
        <v>0.32950000000000002</v>
      </c>
      <c r="J222">
        <v>10</v>
      </c>
      <c r="K222">
        <v>10</v>
      </c>
      <c r="L222" t="s">
        <v>37</v>
      </c>
      <c r="M222" t="s">
        <v>38</v>
      </c>
      <c r="N222" t="s">
        <v>39</v>
      </c>
      <c r="O222">
        <v>3</v>
      </c>
      <c r="P222" t="s">
        <v>10</v>
      </c>
      <c r="Q222">
        <v>3.6</v>
      </c>
    </row>
    <row r="223" spans="1:17">
      <c r="A223">
        <v>735</v>
      </c>
      <c r="B223" t="s">
        <v>33</v>
      </c>
      <c r="C223">
        <v>0.52500000000000002</v>
      </c>
      <c r="D223">
        <v>0.42499999999999999</v>
      </c>
      <c r="E223">
        <v>0.12</v>
      </c>
      <c r="F223">
        <v>0.86650000000000005</v>
      </c>
      <c r="G223">
        <v>0.28249999999999997</v>
      </c>
      <c r="H223">
        <v>0.17599999999999999</v>
      </c>
      <c r="I223">
        <v>0.28999999999999998</v>
      </c>
      <c r="J223">
        <v>18</v>
      </c>
      <c r="K223">
        <v>8</v>
      </c>
      <c r="L223" t="s">
        <v>55</v>
      </c>
      <c r="M223" t="s">
        <v>56</v>
      </c>
      <c r="N223" t="s">
        <v>57</v>
      </c>
      <c r="O223">
        <v>7</v>
      </c>
      <c r="P223" t="s">
        <v>6</v>
      </c>
      <c r="Q223">
        <v>2.5</v>
      </c>
    </row>
    <row r="224" spans="1:17">
      <c r="A224">
        <v>3889</v>
      </c>
      <c r="B224" t="s">
        <v>33</v>
      </c>
      <c r="C224">
        <v>0.57499999999999996</v>
      </c>
      <c r="D224">
        <v>0.45</v>
      </c>
      <c r="E224">
        <v>0.1</v>
      </c>
      <c r="F224">
        <v>0.93149999999999999</v>
      </c>
      <c r="G224">
        <v>0.43099999999999999</v>
      </c>
      <c r="H224">
        <v>0.222</v>
      </c>
      <c r="I224">
        <v>0.23499999999999999</v>
      </c>
      <c r="J224">
        <v>12</v>
      </c>
      <c r="K224">
        <v>6</v>
      </c>
      <c r="L224" t="s">
        <v>46</v>
      </c>
      <c r="M224" t="s">
        <v>47</v>
      </c>
      <c r="N224" t="s">
        <v>48</v>
      </c>
      <c r="O224">
        <v>2</v>
      </c>
      <c r="P224" t="s">
        <v>5</v>
      </c>
      <c r="Q224">
        <v>18</v>
      </c>
    </row>
    <row r="225" spans="1:17">
      <c r="A225">
        <v>3722</v>
      </c>
      <c r="B225" t="s">
        <v>33</v>
      </c>
      <c r="C225">
        <v>0.43</v>
      </c>
      <c r="D225">
        <v>0.31</v>
      </c>
      <c r="E225">
        <v>0.13</v>
      </c>
      <c r="F225">
        <v>0.64849999999999997</v>
      </c>
      <c r="G225">
        <v>0.27350000000000002</v>
      </c>
      <c r="H225">
        <v>0.16300000000000001</v>
      </c>
      <c r="I225">
        <v>0.184</v>
      </c>
      <c r="J225">
        <v>9</v>
      </c>
      <c r="K225">
        <v>15</v>
      </c>
      <c r="L225" t="s">
        <v>60</v>
      </c>
      <c r="M225" t="s">
        <v>61</v>
      </c>
      <c r="N225" t="s">
        <v>45</v>
      </c>
      <c r="O225">
        <v>10</v>
      </c>
      <c r="P225" t="s">
        <v>11</v>
      </c>
      <c r="Q225">
        <v>24.1</v>
      </c>
    </row>
    <row r="226" spans="1:17">
      <c r="A226">
        <v>2583</v>
      </c>
      <c r="B226" t="s">
        <v>33</v>
      </c>
      <c r="C226">
        <v>0.53</v>
      </c>
      <c r="D226">
        <v>0.41</v>
      </c>
      <c r="E226">
        <v>0.14000000000000001</v>
      </c>
      <c r="F226">
        <v>0.68100000000000005</v>
      </c>
      <c r="G226">
        <v>0.3095</v>
      </c>
      <c r="H226">
        <v>0.14149999999999999</v>
      </c>
      <c r="I226">
        <v>0.1835</v>
      </c>
      <c r="J226">
        <v>6</v>
      </c>
      <c r="K226">
        <v>13</v>
      </c>
      <c r="L226" t="s">
        <v>43</v>
      </c>
      <c r="M226" t="s">
        <v>44</v>
      </c>
      <c r="N226" t="s">
        <v>45</v>
      </c>
      <c r="O226">
        <v>6</v>
      </c>
      <c r="P226" t="s">
        <v>7</v>
      </c>
      <c r="Q226">
        <v>14.1</v>
      </c>
    </row>
    <row r="227" spans="1:17">
      <c r="A227">
        <v>1215</v>
      </c>
      <c r="B227" t="s">
        <v>33</v>
      </c>
      <c r="C227">
        <v>0.27500000000000002</v>
      </c>
      <c r="D227">
        <v>0.19500000000000001</v>
      </c>
      <c r="E227">
        <v>0.09</v>
      </c>
      <c r="F227">
        <v>0.1125</v>
      </c>
      <c r="G227">
        <v>5.45E-2</v>
      </c>
      <c r="H227">
        <v>2.9499999999999998E-2</v>
      </c>
      <c r="I227">
        <v>3.5499999999999997E-2</v>
      </c>
      <c r="J227">
        <v>6</v>
      </c>
      <c r="K227">
        <v>4</v>
      </c>
      <c r="L227" t="s">
        <v>40</v>
      </c>
      <c r="M227" t="s">
        <v>41</v>
      </c>
      <c r="N227" t="s">
        <v>42</v>
      </c>
      <c r="O227">
        <v>2</v>
      </c>
      <c r="P227" t="s">
        <v>5</v>
      </c>
      <c r="Q227">
        <v>18</v>
      </c>
    </row>
    <row r="228" spans="1:17">
      <c r="A228">
        <v>814</v>
      </c>
      <c r="B228" t="s">
        <v>33</v>
      </c>
      <c r="C228">
        <v>0.255</v>
      </c>
      <c r="D228">
        <v>0.185</v>
      </c>
      <c r="E228">
        <v>0.06</v>
      </c>
      <c r="F228">
        <v>8.7999999999999995E-2</v>
      </c>
      <c r="G228">
        <v>3.6499999999999998E-2</v>
      </c>
      <c r="H228">
        <v>2.1000000000000001E-2</v>
      </c>
      <c r="I228">
        <v>2.3E-2</v>
      </c>
      <c r="J228">
        <v>5</v>
      </c>
      <c r="K228">
        <v>14</v>
      </c>
      <c r="L228" t="s">
        <v>72</v>
      </c>
      <c r="M228" t="s">
        <v>73</v>
      </c>
      <c r="N228" t="s">
        <v>74</v>
      </c>
      <c r="O228">
        <v>7</v>
      </c>
      <c r="P228" t="s">
        <v>6</v>
      </c>
      <c r="Q228">
        <v>2.5</v>
      </c>
    </row>
    <row r="229" spans="1:17">
      <c r="A229">
        <v>908</v>
      </c>
      <c r="B229" t="s">
        <v>33</v>
      </c>
      <c r="C229">
        <v>0.33</v>
      </c>
      <c r="D229">
        <v>0.26500000000000001</v>
      </c>
      <c r="E229">
        <v>8.5000000000000006E-2</v>
      </c>
      <c r="F229">
        <v>0.19600000000000001</v>
      </c>
      <c r="G229">
        <v>7.7499999999999999E-2</v>
      </c>
      <c r="H229">
        <v>3.0499999999999999E-2</v>
      </c>
      <c r="I229">
        <v>4.4499999999999998E-2</v>
      </c>
      <c r="J229">
        <v>6</v>
      </c>
      <c r="K229">
        <v>1</v>
      </c>
      <c r="L229" t="s">
        <v>70</v>
      </c>
      <c r="M229" t="s">
        <v>71</v>
      </c>
      <c r="N229" t="s">
        <v>45</v>
      </c>
      <c r="O229">
        <v>1</v>
      </c>
      <c r="P229" t="s">
        <v>4</v>
      </c>
      <c r="Q229">
        <v>22.1</v>
      </c>
    </row>
    <row r="230" spans="1:17">
      <c r="A230">
        <v>1606</v>
      </c>
      <c r="B230" t="s">
        <v>33</v>
      </c>
      <c r="C230">
        <v>0.54</v>
      </c>
      <c r="D230">
        <v>0.42</v>
      </c>
      <c r="E230">
        <v>0.14000000000000001</v>
      </c>
      <c r="F230">
        <v>0.62749999999999995</v>
      </c>
      <c r="G230">
        <v>0.2505</v>
      </c>
      <c r="H230">
        <v>0.11749999999999999</v>
      </c>
      <c r="I230">
        <v>0.23499999999999999</v>
      </c>
      <c r="J230">
        <v>9</v>
      </c>
      <c r="K230">
        <v>5</v>
      </c>
      <c r="L230" t="s">
        <v>67</v>
      </c>
      <c r="M230" t="s">
        <v>68</v>
      </c>
      <c r="N230" t="s">
        <v>69</v>
      </c>
      <c r="O230">
        <v>7</v>
      </c>
      <c r="P230" t="s">
        <v>6</v>
      </c>
      <c r="Q230">
        <v>2.5</v>
      </c>
    </row>
    <row r="231" spans="1:17">
      <c r="A231">
        <v>2298</v>
      </c>
      <c r="B231" t="s">
        <v>33</v>
      </c>
      <c r="C231">
        <v>0.47499999999999998</v>
      </c>
      <c r="D231">
        <v>0.36</v>
      </c>
      <c r="E231">
        <v>0.12</v>
      </c>
      <c r="F231">
        <v>0.57799999999999996</v>
      </c>
      <c r="G231">
        <v>0.28249999999999997</v>
      </c>
      <c r="H231">
        <v>0.12</v>
      </c>
      <c r="I231">
        <v>0.17</v>
      </c>
      <c r="J231">
        <v>8</v>
      </c>
      <c r="K231">
        <v>1</v>
      </c>
      <c r="L231" t="s">
        <v>70</v>
      </c>
      <c r="M231" t="s">
        <v>71</v>
      </c>
      <c r="N231" t="s">
        <v>45</v>
      </c>
      <c r="O231">
        <v>8</v>
      </c>
      <c r="P231" t="s">
        <v>13</v>
      </c>
      <c r="Q231">
        <v>12.3</v>
      </c>
    </row>
    <row r="232" spans="1:17">
      <c r="A232">
        <v>710</v>
      </c>
      <c r="B232" t="s">
        <v>33</v>
      </c>
      <c r="C232">
        <v>0.29499999999999998</v>
      </c>
      <c r="D232">
        <v>0.22500000000000001</v>
      </c>
      <c r="E232">
        <v>0.09</v>
      </c>
      <c r="F232">
        <v>0.1105</v>
      </c>
      <c r="G232">
        <v>4.0500000000000001E-2</v>
      </c>
      <c r="H232">
        <v>2.4500000000000001E-2</v>
      </c>
      <c r="I232">
        <v>3.2000000000000001E-2</v>
      </c>
      <c r="J232">
        <v>7</v>
      </c>
      <c r="K232">
        <v>13</v>
      </c>
      <c r="L232" t="s">
        <v>43</v>
      </c>
      <c r="M232" t="s">
        <v>44</v>
      </c>
      <c r="N232" t="s">
        <v>45</v>
      </c>
      <c r="O232">
        <v>7</v>
      </c>
      <c r="P232" t="s">
        <v>6</v>
      </c>
      <c r="Q232">
        <v>2.5</v>
      </c>
    </row>
    <row r="233" spans="1:17">
      <c r="A233">
        <v>551</v>
      </c>
      <c r="B233" t="s">
        <v>33</v>
      </c>
      <c r="C233">
        <v>0.65</v>
      </c>
      <c r="D233">
        <v>0.51500000000000001</v>
      </c>
      <c r="E233">
        <v>0.16</v>
      </c>
      <c r="F233">
        <v>1.1625000000000001</v>
      </c>
      <c r="G233">
        <v>0.495</v>
      </c>
      <c r="H233">
        <v>0.20300000000000001</v>
      </c>
      <c r="I233">
        <v>0.33</v>
      </c>
      <c r="J233">
        <v>17</v>
      </c>
      <c r="K233">
        <v>1</v>
      </c>
      <c r="L233" t="s">
        <v>70</v>
      </c>
      <c r="M233" t="s">
        <v>71</v>
      </c>
      <c r="N233" t="s">
        <v>45</v>
      </c>
      <c r="O233">
        <v>6</v>
      </c>
      <c r="P233" t="s">
        <v>7</v>
      </c>
      <c r="Q233">
        <v>14.1</v>
      </c>
    </row>
    <row r="234" spans="1:17">
      <c r="A234">
        <v>4102</v>
      </c>
      <c r="B234" t="s">
        <v>33</v>
      </c>
      <c r="C234">
        <v>0.67500000000000004</v>
      </c>
      <c r="D234">
        <v>0.51</v>
      </c>
      <c r="E234">
        <v>0.15</v>
      </c>
      <c r="F234">
        <v>1.1964999999999999</v>
      </c>
      <c r="G234">
        <v>0.47499999999999998</v>
      </c>
      <c r="H234">
        <v>0.30399999999999999</v>
      </c>
      <c r="I234">
        <v>0.38600000000000001</v>
      </c>
      <c r="J234">
        <v>11</v>
      </c>
      <c r="K234">
        <v>6</v>
      </c>
      <c r="L234" t="s">
        <v>46</v>
      </c>
      <c r="M234" t="s">
        <v>47</v>
      </c>
      <c r="N234" t="s">
        <v>48</v>
      </c>
      <c r="O234">
        <v>10</v>
      </c>
      <c r="P234" t="s">
        <v>11</v>
      </c>
      <c r="Q234">
        <v>24.1</v>
      </c>
    </row>
    <row r="235" spans="1:17">
      <c r="A235">
        <v>3843</v>
      </c>
      <c r="B235" t="s">
        <v>33</v>
      </c>
      <c r="C235">
        <v>0.61499999999999999</v>
      </c>
      <c r="D235">
        <v>0.47499999999999998</v>
      </c>
      <c r="E235">
        <v>0.14499999999999999</v>
      </c>
      <c r="F235">
        <v>0.95250000000000001</v>
      </c>
      <c r="G235">
        <v>0.39150000000000001</v>
      </c>
      <c r="H235">
        <v>0.19500000000000001</v>
      </c>
      <c r="I235">
        <v>0.32</v>
      </c>
      <c r="J235">
        <v>9</v>
      </c>
      <c r="K235">
        <v>14</v>
      </c>
      <c r="L235" t="s">
        <v>72</v>
      </c>
      <c r="M235" t="s">
        <v>73</v>
      </c>
      <c r="N235" t="s">
        <v>74</v>
      </c>
      <c r="O235">
        <v>6</v>
      </c>
      <c r="P235" t="s">
        <v>7</v>
      </c>
      <c r="Q235">
        <v>14.1</v>
      </c>
    </row>
    <row r="236" spans="1:17">
      <c r="A236">
        <v>22</v>
      </c>
      <c r="B236" t="s">
        <v>33</v>
      </c>
      <c r="C236">
        <v>0.38</v>
      </c>
      <c r="D236">
        <v>0.27500000000000002</v>
      </c>
      <c r="E236">
        <v>0.1</v>
      </c>
      <c r="F236">
        <v>0.22550000000000001</v>
      </c>
      <c r="G236">
        <v>0.08</v>
      </c>
      <c r="H236">
        <v>4.9000000000000002E-2</v>
      </c>
      <c r="I236">
        <v>8.5000000000000006E-2</v>
      </c>
      <c r="J236">
        <v>10</v>
      </c>
      <c r="K236">
        <v>2</v>
      </c>
      <c r="L236" t="s">
        <v>49</v>
      </c>
      <c r="M236" t="s">
        <v>50</v>
      </c>
      <c r="N236" t="s">
        <v>51</v>
      </c>
      <c r="O236">
        <v>8</v>
      </c>
      <c r="P236" t="s">
        <v>13</v>
      </c>
      <c r="Q236">
        <v>12.3</v>
      </c>
    </row>
    <row r="237" spans="1:17">
      <c r="A237">
        <v>157</v>
      </c>
      <c r="B237" t="s">
        <v>33</v>
      </c>
      <c r="C237">
        <v>0.57499999999999996</v>
      </c>
      <c r="D237">
        <v>0.46</v>
      </c>
      <c r="E237">
        <v>0.19</v>
      </c>
      <c r="F237">
        <v>0.99399999999999999</v>
      </c>
      <c r="G237">
        <v>0.39200000000000002</v>
      </c>
      <c r="H237">
        <v>0.24249999999999999</v>
      </c>
      <c r="I237">
        <v>0.34</v>
      </c>
      <c r="J237">
        <v>13</v>
      </c>
      <c r="K237">
        <v>14</v>
      </c>
      <c r="L237" t="s">
        <v>72</v>
      </c>
      <c r="M237" t="s">
        <v>73</v>
      </c>
      <c r="N237" t="s">
        <v>74</v>
      </c>
      <c r="O237">
        <v>3</v>
      </c>
      <c r="P237" t="s">
        <v>10</v>
      </c>
      <c r="Q237">
        <v>3.6</v>
      </c>
    </row>
    <row r="238" spans="1:17">
      <c r="A238">
        <v>2501</v>
      </c>
      <c r="B238" t="s">
        <v>33</v>
      </c>
      <c r="C238">
        <v>0.48</v>
      </c>
      <c r="D238">
        <v>0.39</v>
      </c>
      <c r="E238">
        <v>0.125</v>
      </c>
      <c r="F238">
        <v>0.6905</v>
      </c>
      <c r="G238">
        <v>0.219</v>
      </c>
      <c r="H238">
        <v>0.155</v>
      </c>
      <c r="I238">
        <v>0.2</v>
      </c>
      <c r="J238">
        <v>12</v>
      </c>
      <c r="K238">
        <v>12</v>
      </c>
      <c r="L238" t="s">
        <v>58</v>
      </c>
      <c r="M238" t="s">
        <v>59</v>
      </c>
      <c r="N238" t="s">
        <v>45</v>
      </c>
      <c r="O238">
        <v>1</v>
      </c>
      <c r="P238" t="s">
        <v>4</v>
      </c>
      <c r="Q238">
        <v>22.1</v>
      </c>
    </row>
    <row r="239" spans="1:17">
      <c r="A239">
        <v>2226</v>
      </c>
      <c r="B239" t="s">
        <v>33</v>
      </c>
      <c r="C239">
        <v>0.59</v>
      </c>
      <c r="D239">
        <v>0.47499999999999998</v>
      </c>
      <c r="E239">
        <v>0.155</v>
      </c>
      <c r="F239">
        <v>0.85699999999999998</v>
      </c>
      <c r="G239">
        <v>0.35599999999999998</v>
      </c>
      <c r="H239">
        <v>0.17399999999999999</v>
      </c>
      <c r="I239">
        <v>0.28000000000000003</v>
      </c>
      <c r="J239">
        <v>13</v>
      </c>
      <c r="K239">
        <v>13</v>
      </c>
      <c r="L239" t="s">
        <v>43</v>
      </c>
      <c r="M239" t="s">
        <v>44</v>
      </c>
      <c r="N239" t="s">
        <v>45</v>
      </c>
      <c r="O239">
        <v>5</v>
      </c>
      <c r="P239" t="s">
        <v>12</v>
      </c>
      <c r="Q239">
        <v>12.8</v>
      </c>
    </row>
    <row r="240" spans="1:17">
      <c r="A240">
        <v>2763</v>
      </c>
      <c r="B240" t="s">
        <v>33</v>
      </c>
      <c r="C240">
        <v>0.55000000000000004</v>
      </c>
      <c r="D240">
        <v>0.42</v>
      </c>
      <c r="E240">
        <v>0.155</v>
      </c>
      <c r="F240">
        <v>0.91200000000000003</v>
      </c>
      <c r="G240">
        <v>0.495</v>
      </c>
      <c r="H240">
        <v>0.18049999999999999</v>
      </c>
      <c r="I240">
        <v>0.20499999999999999</v>
      </c>
      <c r="J240">
        <v>9</v>
      </c>
      <c r="K240">
        <v>2</v>
      </c>
      <c r="L240" t="s">
        <v>49</v>
      </c>
      <c r="M240" t="s">
        <v>50</v>
      </c>
      <c r="N240" t="s">
        <v>51</v>
      </c>
      <c r="O240">
        <v>10</v>
      </c>
      <c r="P240" t="s">
        <v>11</v>
      </c>
      <c r="Q240">
        <v>24.1</v>
      </c>
    </row>
    <row r="241" spans="1:17">
      <c r="A241">
        <v>3723</v>
      </c>
      <c r="B241" t="s">
        <v>33</v>
      </c>
      <c r="C241">
        <v>0.46500000000000002</v>
      </c>
      <c r="D241">
        <v>0.36</v>
      </c>
      <c r="E241">
        <v>0.105</v>
      </c>
      <c r="F241">
        <v>0.45200000000000001</v>
      </c>
      <c r="G241">
        <v>0.22</v>
      </c>
      <c r="H241">
        <v>0.159</v>
      </c>
      <c r="I241">
        <v>0.10349999999999999</v>
      </c>
      <c r="J241">
        <v>9</v>
      </c>
      <c r="K241">
        <v>4</v>
      </c>
      <c r="L241" t="s">
        <v>40</v>
      </c>
      <c r="M241" t="s">
        <v>41</v>
      </c>
      <c r="N241" t="s">
        <v>42</v>
      </c>
      <c r="O241">
        <v>2</v>
      </c>
      <c r="P241" t="s">
        <v>5</v>
      </c>
      <c r="Q241">
        <v>18</v>
      </c>
    </row>
    <row r="242" spans="1:17">
      <c r="A242">
        <v>3494</v>
      </c>
      <c r="B242" t="s">
        <v>33</v>
      </c>
      <c r="C242">
        <v>0.55500000000000005</v>
      </c>
      <c r="D242">
        <v>0.44</v>
      </c>
      <c r="E242">
        <v>0.15</v>
      </c>
      <c r="F242">
        <v>0.83799999999999997</v>
      </c>
      <c r="G242">
        <v>0.41549999999999998</v>
      </c>
      <c r="H242">
        <v>0.14599999999999999</v>
      </c>
      <c r="I242">
        <v>0.23</v>
      </c>
      <c r="J242">
        <v>8</v>
      </c>
      <c r="K242">
        <v>1</v>
      </c>
      <c r="L242" t="s">
        <v>70</v>
      </c>
      <c r="M242" t="s">
        <v>71</v>
      </c>
      <c r="N242" t="s">
        <v>45</v>
      </c>
      <c r="O242">
        <v>2</v>
      </c>
      <c r="P242" t="s">
        <v>5</v>
      </c>
      <c r="Q242">
        <v>18</v>
      </c>
    </row>
    <row r="243" spans="1:17">
      <c r="A243">
        <v>1337</v>
      </c>
      <c r="B243" t="s">
        <v>33</v>
      </c>
      <c r="C243">
        <v>0.57499999999999996</v>
      </c>
      <c r="D243">
        <v>0.46</v>
      </c>
      <c r="E243">
        <v>0.155</v>
      </c>
      <c r="F243">
        <v>0.89200000000000002</v>
      </c>
      <c r="G243">
        <v>0.4415</v>
      </c>
      <c r="H243">
        <v>0.17599999999999999</v>
      </c>
      <c r="I243">
        <v>0.22</v>
      </c>
      <c r="J243">
        <v>10</v>
      </c>
      <c r="K243">
        <v>4</v>
      </c>
      <c r="L243" t="s">
        <v>40</v>
      </c>
      <c r="M243" t="s">
        <v>41</v>
      </c>
      <c r="N243" t="s">
        <v>42</v>
      </c>
      <c r="O243">
        <v>4</v>
      </c>
      <c r="P243" t="s">
        <v>8</v>
      </c>
      <c r="Q243">
        <v>6.1</v>
      </c>
    </row>
    <row r="244" spans="1:17">
      <c r="A244">
        <v>1949</v>
      </c>
      <c r="B244" t="s">
        <v>33</v>
      </c>
      <c r="C244">
        <v>0.63500000000000001</v>
      </c>
      <c r="D244">
        <v>0.51500000000000001</v>
      </c>
      <c r="E244">
        <v>0.16500000000000001</v>
      </c>
      <c r="F244">
        <v>1.2290000000000001</v>
      </c>
      <c r="G244">
        <v>0.50549999999999995</v>
      </c>
      <c r="H244">
        <v>0.29749999999999999</v>
      </c>
      <c r="I244">
        <v>0.35349999999999998</v>
      </c>
      <c r="J244">
        <v>10</v>
      </c>
      <c r="K244">
        <v>13</v>
      </c>
      <c r="L244" t="s">
        <v>43</v>
      </c>
      <c r="M244" t="s">
        <v>44</v>
      </c>
      <c r="N244" t="s">
        <v>45</v>
      </c>
      <c r="O244">
        <v>4</v>
      </c>
      <c r="P244" t="s">
        <v>8</v>
      </c>
      <c r="Q244">
        <v>6.1</v>
      </c>
    </row>
    <row r="245" spans="1:17">
      <c r="A245">
        <v>378</v>
      </c>
      <c r="B245" t="s">
        <v>33</v>
      </c>
      <c r="C245">
        <v>0.58499999999999996</v>
      </c>
      <c r="D245">
        <v>0.45</v>
      </c>
      <c r="E245">
        <v>0.16</v>
      </c>
      <c r="F245">
        <v>1.077</v>
      </c>
      <c r="G245">
        <v>0.4995</v>
      </c>
      <c r="H245">
        <v>0.28749999999999998</v>
      </c>
      <c r="I245">
        <v>0.25</v>
      </c>
      <c r="J245">
        <v>10</v>
      </c>
      <c r="K245">
        <v>8</v>
      </c>
      <c r="L245" t="s">
        <v>55</v>
      </c>
      <c r="M245" t="s">
        <v>56</v>
      </c>
      <c r="N245" t="s">
        <v>57</v>
      </c>
      <c r="O245">
        <v>8</v>
      </c>
      <c r="P245" t="s">
        <v>13</v>
      </c>
      <c r="Q245">
        <v>12.3</v>
      </c>
    </row>
    <row r="246" spans="1:17">
      <c r="A246">
        <v>2559</v>
      </c>
      <c r="B246" t="s">
        <v>33</v>
      </c>
      <c r="C246">
        <v>0.40500000000000003</v>
      </c>
      <c r="D246">
        <v>0.31</v>
      </c>
      <c r="E246">
        <v>6.5000000000000002E-2</v>
      </c>
      <c r="F246">
        <v>0.32050000000000001</v>
      </c>
      <c r="G246">
        <v>0.1575</v>
      </c>
      <c r="H246">
        <v>6.6000000000000003E-2</v>
      </c>
      <c r="I246">
        <v>8.7999999999999995E-2</v>
      </c>
      <c r="J246">
        <v>6</v>
      </c>
      <c r="K246">
        <v>7</v>
      </c>
      <c r="L246" t="s">
        <v>62</v>
      </c>
      <c r="M246" t="s">
        <v>63</v>
      </c>
      <c r="N246" t="s">
        <v>64</v>
      </c>
      <c r="O246">
        <v>1</v>
      </c>
      <c r="P246" t="s">
        <v>4</v>
      </c>
      <c r="Q246">
        <v>22.1</v>
      </c>
    </row>
    <row r="247" spans="1:17">
      <c r="A247">
        <v>331</v>
      </c>
      <c r="B247" t="s">
        <v>33</v>
      </c>
      <c r="C247">
        <v>0.5</v>
      </c>
      <c r="D247">
        <v>0.38</v>
      </c>
      <c r="E247">
        <v>0.155</v>
      </c>
      <c r="F247">
        <v>0.59550000000000003</v>
      </c>
      <c r="G247">
        <v>0.2135</v>
      </c>
      <c r="H247">
        <v>0.161</v>
      </c>
      <c r="I247">
        <v>0.2</v>
      </c>
      <c r="J247">
        <v>12</v>
      </c>
      <c r="K247">
        <v>15</v>
      </c>
      <c r="L247" t="s">
        <v>60</v>
      </c>
      <c r="M247" t="s">
        <v>61</v>
      </c>
      <c r="N247" t="s">
        <v>45</v>
      </c>
      <c r="O247">
        <v>4</v>
      </c>
      <c r="P247" t="s">
        <v>8</v>
      </c>
      <c r="Q247">
        <v>6.1</v>
      </c>
    </row>
    <row r="248" spans="1:17">
      <c r="A248">
        <v>1229</v>
      </c>
      <c r="B248" t="s">
        <v>33</v>
      </c>
      <c r="C248">
        <v>0.36</v>
      </c>
      <c r="D248">
        <v>0.27</v>
      </c>
      <c r="E248">
        <v>8.5000000000000006E-2</v>
      </c>
      <c r="F248">
        <v>0.19600000000000001</v>
      </c>
      <c r="G248">
        <v>8.7499999999999994E-2</v>
      </c>
      <c r="H248">
        <v>3.5000000000000003E-2</v>
      </c>
      <c r="I248">
        <v>6.4000000000000001E-2</v>
      </c>
      <c r="J248">
        <v>4</v>
      </c>
      <c r="K248">
        <v>1</v>
      </c>
      <c r="L248" t="s">
        <v>70</v>
      </c>
      <c r="M248" t="s">
        <v>71</v>
      </c>
      <c r="N248" t="s">
        <v>45</v>
      </c>
      <c r="O248">
        <v>3</v>
      </c>
      <c r="P248" t="s">
        <v>10</v>
      </c>
      <c r="Q248">
        <v>3.6</v>
      </c>
    </row>
    <row r="249" spans="1:17">
      <c r="A249">
        <v>6</v>
      </c>
      <c r="B249" t="s">
        <v>33</v>
      </c>
      <c r="C249">
        <v>0.42499999999999999</v>
      </c>
      <c r="D249">
        <v>0.3</v>
      </c>
      <c r="E249">
        <v>9.5000000000000001E-2</v>
      </c>
      <c r="F249">
        <v>0.35149999999999998</v>
      </c>
      <c r="G249">
        <v>0.14099999999999999</v>
      </c>
      <c r="H249">
        <v>7.7499999999999999E-2</v>
      </c>
      <c r="I249">
        <v>0.12</v>
      </c>
      <c r="J249">
        <v>8</v>
      </c>
      <c r="K249">
        <v>9</v>
      </c>
      <c r="L249" t="s">
        <v>34</v>
      </c>
      <c r="M249" t="s">
        <v>35</v>
      </c>
      <c r="N249" t="s">
        <v>36</v>
      </c>
      <c r="O249">
        <v>3</v>
      </c>
      <c r="P249" t="s">
        <v>10</v>
      </c>
      <c r="Q249">
        <v>3.6</v>
      </c>
    </row>
    <row r="250" spans="1:17">
      <c r="A250">
        <v>2514</v>
      </c>
      <c r="B250" t="s">
        <v>33</v>
      </c>
      <c r="C250">
        <v>0.46500000000000002</v>
      </c>
      <c r="D250">
        <v>0.35</v>
      </c>
      <c r="E250">
        <v>0.13500000000000001</v>
      </c>
      <c r="F250">
        <v>0.62649999999999995</v>
      </c>
      <c r="G250">
        <v>0.25900000000000001</v>
      </c>
      <c r="H250">
        <v>0.14449999999999999</v>
      </c>
      <c r="I250">
        <v>0.17499999999999999</v>
      </c>
      <c r="J250">
        <v>8</v>
      </c>
      <c r="K250">
        <v>3</v>
      </c>
      <c r="L250" t="s">
        <v>52</v>
      </c>
      <c r="M250" t="s">
        <v>53</v>
      </c>
      <c r="N250" t="s">
        <v>54</v>
      </c>
      <c r="O250">
        <v>6</v>
      </c>
      <c r="P250" t="s">
        <v>7</v>
      </c>
      <c r="Q250">
        <v>14.1</v>
      </c>
    </row>
    <row r="251" spans="1:17">
      <c r="A251">
        <v>1333</v>
      </c>
      <c r="B251" t="s">
        <v>33</v>
      </c>
      <c r="C251">
        <v>0.56999999999999995</v>
      </c>
      <c r="D251">
        <v>0.44</v>
      </c>
      <c r="E251">
        <v>0.13</v>
      </c>
      <c r="F251">
        <v>0.76649999999999996</v>
      </c>
      <c r="G251">
        <v>0.34699999999999998</v>
      </c>
      <c r="H251">
        <v>0.17849999999999999</v>
      </c>
      <c r="I251">
        <v>0.20200000000000001</v>
      </c>
      <c r="J251">
        <v>10</v>
      </c>
      <c r="K251">
        <v>14</v>
      </c>
      <c r="L251" t="s">
        <v>72</v>
      </c>
      <c r="M251" t="s">
        <v>73</v>
      </c>
      <c r="N251" t="s">
        <v>74</v>
      </c>
      <c r="O251">
        <v>3</v>
      </c>
      <c r="P251" t="s">
        <v>10</v>
      </c>
      <c r="Q251">
        <v>3.6</v>
      </c>
    </row>
    <row r="252" spans="1:17">
      <c r="A252">
        <v>3894</v>
      </c>
      <c r="B252" t="s">
        <v>33</v>
      </c>
      <c r="C252">
        <v>0.435</v>
      </c>
      <c r="D252">
        <v>0.35499999999999998</v>
      </c>
      <c r="E252">
        <v>0.125</v>
      </c>
      <c r="F252">
        <v>0.40749999999999997</v>
      </c>
      <c r="G252">
        <v>0.1535</v>
      </c>
      <c r="H252">
        <v>7.3999999999999996E-2</v>
      </c>
      <c r="I252">
        <v>0.16500000000000001</v>
      </c>
      <c r="J252">
        <v>9</v>
      </c>
      <c r="K252">
        <v>9</v>
      </c>
      <c r="L252" t="s">
        <v>34</v>
      </c>
      <c r="M252" t="s">
        <v>35</v>
      </c>
      <c r="N252" t="s">
        <v>36</v>
      </c>
      <c r="O252">
        <v>5</v>
      </c>
      <c r="P252" t="s">
        <v>12</v>
      </c>
      <c r="Q252">
        <v>12.8</v>
      </c>
    </row>
    <row r="253" spans="1:17">
      <c r="A253">
        <v>2875</v>
      </c>
      <c r="B253" t="s">
        <v>33</v>
      </c>
      <c r="C253">
        <v>0.42499999999999999</v>
      </c>
      <c r="D253">
        <v>0.34</v>
      </c>
      <c r="E253">
        <v>0.1</v>
      </c>
      <c r="F253">
        <v>0.371</v>
      </c>
      <c r="G253">
        <v>0.15</v>
      </c>
      <c r="H253">
        <v>8.6499999999999994E-2</v>
      </c>
      <c r="I253">
        <v>0.115</v>
      </c>
      <c r="J253">
        <v>8</v>
      </c>
      <c r="K253">
        <v>7</v>
      </c>
      <c r="L253" t="s">
        <v>62</v>
      </c>
      <c r="M253" t="s">
        <v>63</v>
      </c>
      <c r="N253" t="s">
        <v>64</v>
      </c>
      <c r="O253">
        <v>4</v>
      </c>
      <c r="P253" t="s">
        <v>8</v>
      </c>
      <c r="Q253">
        <v>6.1</v>
      </c>
    </row>
    <row r="254" spans="1:17">
      <c r="A254">
        <v>1382</v>
      </c>
      <c r="B254" t="s">
        <v>33</v>
      </c>
      <c r="C254">
        <v>0.625</v>
      </c>
      <c r="D254">
        <v>0.505</v>
      </c>
      <c r="E254">
        <v>0.17499999999999999</v>
      </c>
      <c r="F254">
        <v>1.1499999999999999</v>
      </c>
      <c r="G254">
        <v>0.54749999999999999</v>
      </c>
      <c r="H254">
        <v>0.25600000000000001</v>
      </c>
      <c r="I254">
        <v>0.30449999999999999</v>
      </c>
      <c r="J254">
        <v>11</v>
      </c>
      <c r="K254">
        <v>7</v>
      </c>
      <c r="L254" t="s">
        <v>62</v>
      </c>
      <c r="M254" t="s">
        <v>63</v>
      </c>
      <c r="N254" t="s">
        <v>64</v>
      </c>
      <c r="O254">
        <v>7</v>
      </c>
      <c r="P254" t="s">
        <v>6</v>
      </c>
      <c r="Q254">
        <v>2.5</v>
      </c>
    </row>
    <row r="255" spans="1:17">
      <c r="A255">
        <v>3118</v>
      </c>
      <c r="B255" t="s">
        <v>33</v>
      </c>
      <c r="C255">
        <v>0.47</v>
      </c>
      <c r="D255">
        <v>0.36</v>
      </c>
      <c r="E255">
        <v>0.1</v>
      </c>
      <c r="F255">
        <v>0.47049999999999997</v>
      </c>
      <c r="G255">
        <v>0.16350000000000001</v>
      </c>
      <c r="H255">
        <v>8.8999999999999996E-2</v>
      </c>
      <c r="I255">
        <v>0.13850000000000001</v>
      </c>
      <c r="J255">
        <v>8</v>
      </c>
      <c r="K255">
        <v>13</v>
      </c>
      <c r="L255" t="s">
        <v>43</v>
      </c>
      <c r="M255" t="s">
        <v>44</v>
      </c>
      <c r="N255" t="s">
        <v>45</v>
      </c>
      <c r="O255">
        <v>5</v>
      </c>
      <c r="P255" t="s">
        <v>12</v>
      </c>
      <c r="Q255">
        <v>12.8</v>
      </c>
    </row>
    <row r="256" spans="1:17">
      <c r="A256">
        <v>3308</v>
      </c>
      <c r="B256" t="s">
        <v>33</v>
      </c>
      <c r="C256">
        <v>0.45</v>
      </c>
      <c r="D256">
        <v>0.32500000000000001</v>
      </c>
      <c r="E256">
        <v>0.13500000000000001</v>
      </c>
      <c r="F256">
        <v>0.438</v>
      </c>
      <c r="G256">
        <v>0.18049999999999999</v>
      </c>
      <c r="H256">
        <v>0.11650000000000001</v>
      </c>
      <c r="I256">
        <v>0.11</v>
      </c>
      <c r="J256">
        <v>9</v>
      </c>
      <c r="K256">
        <v>2</v>
      </c>
      <c r="L256" t="s">
        <v>49</v>
      </c>
      <c r="M256" t="s">
        <v>50</v>
      </c>
      <c r="N256" t="s">
        <v>51</v>
      </c>
      <c r="O256">
        <v>4</v>
      </c>
      <c r="P256" t="s">
        <v>8</v>
      </c>
      <c r="Q256">
        <v>6.1</v>
      </c>
    </row>
    <row r="257" spans="1:17">
      <c r="A257">
        <v>3952</v>
      </c>
      <c r="B257" t="s">
        <v>33</v>
      </c>
      <c r="C257">
        <v>0.46500000000000002</v>
      </c>
      <c r="D257">
        <v>0.39</v>
      </c>
      <c r="E257">
        <v>0.11</v>
      </c>
      <c r="F257">
        <v>0.63549999999999995</v>
      </c>
      <c r="G257">
        <v>0.18149999999999999</v>
      </c>
      <c r="H257">
        <v>0.157</v>
      </c>
      <c r="I257">
        <v>0.22500000000000001</v>
      </c>
      <c r="J257">
        <v>13</v>
      </c>
      <c r="K257">
        <v>10</v>
      </c>
      <c r="L257" t="s">
        <v>37</v>
      </c>
      <c r="M257" t="s">
        <v>38</v>
      </c>
      <c r="N257" t="s">
        <v>39</v>
      </c>
      <c r="O257">
        <v>7</v>
      </c>
      <c r="P257" t="s">
        <v>6</v>
      </c>
      <c r="Q257">
        <v>2.5</v>
      </c>
    </row>
    <row r="258" spans="1:17">
      <c r="A258">
        <v>1904</v>
      </c>
      <c r="B258" t="s">
        <v>33</v>
      </c>
      <c r="C258">
        <v>0.57499999999999996</v>
      </c>
      <c r="D258">
        <v>0.44500000000000001</v>
      </c>
      <c r="E258">
        <v>0.14499999999999999</v>
      </c>
      <c r="F258">
        <v>0.876</v>
      </c>
      <c r="G258">
        <v>0.3795</v>
      </c>
      <c r="H258">
        <v>0.1615</v>
      </c>
      <c r="I258">
        <v>0.27</v>
      </c>
      <c r="J258">
        <v>10</v>
      </c>
      <c r="K258">
        <v>12</v>
      </c>
      <c r="L258" t="s">
        <v>58</v>
      </c>
      <c r="M258" t="s">
        <v>59</v>
      </c>
      <c r="N258" t="s">
        <v>45</v>
      </c>
      <c r="O258">
        <v>2</v>
      </c>
      <c r="P258" t="s">
        <v>5</v>
      </c>
      <c r="Q258">
        <v>18</v>
      </c>
    </row>
    <row r="259" spans="1:17">
      <c r="A259">
        <v>3980</v>
      </c>
      <c r="B259" t="s">
        <v>33</v>
      </c>
      <c r="C259">
        <v>0.495</v>
      </c>
      <c r="D259">
        <v>0.375</v>
      </c>
      <c r="E259">
        <v>0.115</v>
      </c>
      <c r="F259">
        <v>0.62450000000000006</v>
      </c>
      <c r="G259">
        <v>0.28199999999999997</v>
      </c>
      <c r="H259">
        <v>0.14299999999999999</v>
      </c>
      <c r="I259">
        <v>0.155</v>
      </c>
      <c r="J259">
        <v>6</v>
      </c>
      <c r="K259">
        <v>13</v>
      </c>
      <c r="L259" t="s">
        <v>43</v>
      </c>
      <c r="M259" t="s">
        <v>44</v>
      </c>
      <c r="N259" t="s">
        <v>45</v>
      </c>
      <c r="O259">
        <v>2</v>
      </c>
      <c r="P259" t="s">
        <v>5</v>
      </c>
      <c r="Q259">
        <v>18</v>
      </c>
    </row>
    <row r="260" spans="1:17">
      <c r="A260">
        <v>2104</v>
      </c>
      <c r="B260" t="s">
        <v>33</v>
      </c>
      <c r="C260">
        <v>0.375</v>
      </c>
      <c r="D260">
        <v>0.28999999999999998</v>
      </c>
      <c r="E260">
        <v>0.1</v>
      </c>
      <c r="F260">
        <v>0.27600000000000002</v>
      </c>
      <c r="G260">
        <v>0.11749999999999999</v>
      </c>
      <c r="H260">
        <v>5.6500000000000002E-2</v>
      </c>
      <c r="I260">
        <v>8.5000000000000006E-2</v>
      </c>
      <c r="J260">
        <v>9</v>
      </c>
      <c r="K260">
        <v>3</v>
      </c>
      <c r="L260" t="s">
        <v>52</v>
      </c>
      <c r="M260" t="s">
        <v>53</v>
      </c>
      <c r="N260" t="s">
        <v>54</v>
      </c>
      <c r="O260">
        <v>2</v>
      </c>
      <c r="P260" t="s">
        <v>5</v>
      </c>
      <c r="Q260">
        <v>18</v>
      </c>
    </row>
    <row r="261" spans="1:17">
      <c r="A261">
        <v>1467</v>
      </c>
      <c r="B261" t="s">
        <v>33</v>
      </c>
      <c r="C261">
        <v>0.51500000000000001</v>
      </c>
      <c r="D261">
        <v>0.42499999999999999</v>
      </c>
      <c r="E261">
        <v>0.14499999999999999</v>
      </c>
      <c r="F261">
        <v>0.9365</v>
      </c>
      <c r="G261">
        <v>0.497</v>
      </c>
      <c r="H261">
        <v>0.18099999999999999</v>
      </c>
      <c r="I261">
        <v>0.2185</v>
      </c>
      <c r="J261">
        <v>8</v>
      </c>
      <c r="K261">
        <v>15</v>
      </c>
      <c r="L261" t="s">
        <v>60</v>
      </c>
      <c r="M261" t="s">
        <v>61</v>
      </c>
      <c r="N261" t="s">
        <v>45</v>
      </c>
      <c r="O261">
        <v>9</v>
      </c>
      <c r="P261" t="s">
        <v>9</v>
      </c>
      <c r="Q261">
        <v>1.9</v>
      </c>
    </row>
    <row r="262" spans="1:17">
      <c r="A262">
        <v>978</v>
      </c>
      <c r="B262" t="s">
        <v>33</v>
      </c>
      <c r="C262">
        <v>0.53500000000000003</v>
      </c>
      <c r="D262">
        <v>0.4</v>
      </c>
      <c r="E262">
        <v>0.13500000000000001</v>
      </c>
      <c r="F262">
        <v>0.82150000000000001</v>
      </c>
      <c r="G262">
        <v>0.39350000000000002</v>
      </c>
      <c r="H262">
        <v>0.19600000000000001</v>
      </c>
      <c r="I262">
        <v>0.20499999999999999</v>
      </c>
      <c r="J262">
        <v>8</v>
      </c>
      <c r="K262">
        <v>2</v>
      </c>
      <c r="L262" t="s">
        <v>49</v>
      </c>
      <c r="M262" t="s">
        <v>50</v>
      </c>
      <c r="N262" t="s">
        <v>51</v>
      </c>
      <c r="O262">
        <v>7</v>
      </c>
      <c r="P262" t="s">
        <v>6</v>
      </c>
      <c r="Q262">
        <v>2.5</v>
      </c>
    </row>
    <row r="263" spans="1:17">
      <c r="A263">
        <v>3146</v>
      </c>
      <c r="B263" t="s">
        <v>33</v>
      </c>
      <c r="C263">
        <v>0.55000000000000004</v>
      </c>
      <c r="D263">
        <v>0.42</v>
      </c>
      <c r="E263">
        <v>0.17</v>
      </c>
      <c r="F263">
        <v>0.84650000000000003</v>
      </c>
      <c r="G263">
        <v>0.33600000000000002</v>
      </c>
      <c r="H263">
        <v>0.24049999999999999</v>
      </c>
      <c r="I263">
        <v>0.245</v>
      </c>
      <c r="J263">
        <v>13</v>
      </c>
      <c r="K263">
        <v>8</v>
      </c>
      <c r="L263" t="s">
        <v>55</v>
      </c>
      <c r="M263" t="s">
        <v>56</v>
      </c>
      <c r="N263" t="s">
        <v>57</v>
      </c>
      <c r="O263">
        <v>2</v>
      </c>
      <c r="P263" t="s">
        <v>5</v>
      </c>
      <c r="Q263">
        <v>18</v>
      </c>
    </row>
    <row r="264" spans="1:17">
      <c r="A264">
        <v>2244</v>
      </c>
      <c r="B264" t="s">
        <v>33</v>
      </c>
      <c r="C264">
        <v>0.46500000000000002</v>
      </c>
      <c r="D264">
        <v>0.36</v>
      </c>
      <c r="E264">
        <v>0.13</v>
      </c>
      <c r="F264">
        <v>0.52649999999999997</v>
      </c>
      <c r="G264">
        <v>0.21049999999999999</v>
      </c>
      <c r="H264">
        <v>0.11849999999999999</v>
      </c>
      <c r="I264">
        <v>0.16500000000000001</v>
      </c>
      <c r="J264">
        <v>10</v>
      </c>
      <c r="K264">
        <v>3</v>
      </c>
      <c r="L264" t="s">
        <v>52</v>
      </c>
      <c r="M264" t="s">
        <v>53</v>
      </c>
      <c r="N264" t="s">
        <v>54</v>
      </c>
      <c r="O264">
        <v>10</v>
      </c>
      <c r="P264" t="s">
        <v>11</v>
      </c>
      <c r="Q264">
        <v>24.1</v>
      </c>
    </row>
    <row r="265" spans="1:17">
      <c r="A265">
        <v>2793</v>
      </c>
      <c r="B265" t="s">
        <v>33</v>
      </c>
      <c r="C265">
        <v>0.625</v>
      </c>
      <c r="D265">
        <v>0.49</v>
      </c>
      <c r="E265">
        <v>0.16500000000000001</v>
      </c>
      <c r="F265">
        <v>1.2050000000000001</v>
      </c>
      <c r="G265">
        <v>0.51749999999999996</v>
      </c>
      <c r="H265">
        <v>0.3105</v>
      </c>
      <c r="I265">
        <v>0.34649999999999997</v>
      </c>
      <c r="J265">
        <v>10</v>
      </c>
      <c r="K265">
        <v>4</v>
      </c>
      <c r="L265" t="s">
        <v>40</v>
      </c>
      <c r="M265" t="s">
        <v>41</v>
      </c>
      <c r="N265" t="s">
        <v>42</v>
      </c>
      <c r="O265">
        <v>7</v>
      </c>
      <c r="P265" t="s">
        <v>6</v>
      </c>
      <c r="Q265">
        <v>2.5</v>
      </c>
    </row>
    <row r="266" spans="1:17">
      <c r="A266">
        <v>829</v>
      </c>
      <c r="B266" t="s">
        <v>33</v>
      </c>
      <c r="C266">
        <v>0.41</v>
      </c>
      <c r="D266">
        <v>0.32500000000000001</v>
      </c>
      <c r="E266">
        <v>0.1</v>
      </c>
      <c r="F266">
        <v>0.39400000000000002</v>
      </c>
      <c r="G266">
        <v>0.20799999999999999</v>
      </c>
      <c r="H266">
        <v>6.5500000000000003E-2</v>
      </c>
      <c r="I266">
        <v>0.106</v>
      </c>
      <c r="J266">
        <v>6</v>
      </c>
      <c r="K266">
        <v>1</v>
      </c>
      <c r="L266" t="s">
        <v>70</v>
      </c>
      <c r="M266" t="s">
        <v>71</v>
      </c>
      <c r="N266" t="s">
        <v>45</v>
      </c>
      <c r="O266">
        <v>5</v>
      </c>
      <c r="P266" t="s">
        <v>12</v>
      </c>
      <c r="Q266">
        <v>12.8</v>
      </c>
    </row>
    <row r="267" spans="1:17">
      <c r="A267">
        <v>2310</v>
      </c>
      <c r="B267" t="s">
        <v>33</v>
      </c>
      <c r="C267">
        <v>0.47</v>
      </c>
      <c r="D267">
        <v>0.375</v>
      </c>
      <c r="E267">
        <v>0.13</v>
      </c>
      <c r="F267">
        <v>0.57950000000000002</v>
      </c>
      <c r="G267">
        <v>0.2145</v>
      </c>
      <c r="H267">
        <v>0.16400000000000001</v>
      </c>
      <c r="I267">
        <v>0.19500000000000001</v>
      </c>
      <c r="J267">
        <v>13</v>
      </c>
      <c r="K267">
        <v>12</v>
      </c>
      <c r="L267" t="s">
        <v>58</v>
      </c>
      <c r="M267" t="s">
        <v>59</v>
      </c>
      <c r="N267" t="s">
        <v>45</v>
      </c>
      <c r="O267">
        <v>8</v>
      </c>
      <c r="P267" t="s">
        <v>13</v>
      </c>
      <c r="Q267">
        <v>12.3</v>
      </c>
    </row>
    <row r="268" spans="1:17">
      <c r="A268">
        <v>1453</v>
      </c>
      <c r="B268" t="s">
        <v>33</v>
      </c>
      <c r="C268">
        <v>0.47</v>
      </c>
      <c r="D268">
        <v>0.34499999999999997</v>
      </c>
      <c r="E268">
        <v>0.14000000000000001</v>
      </c>
      <c r="F268">
        <v>0.46150000000000002</v>
      </c>
      <c r="G268">
        <v>0.22900000000000001</v>
      </c>
      <c r="H268">
        <v>0.1105</v>
      </c>
      <c r="I268">
        <v>0.11600000000000001</v>
      </c>
      <c r="J268">
        <v>9</v>
      </c>
      <c r="K268">
        <v>11</v>
      </c>
      <c r="L268" t="s">
        <v>65</v>
      </c>
      <c r="M268" t="s">
        <v>66</v>
      </c>
      <c r="N268" t="s">
        <v>45</v>
      </c>
      <c r="O268">
        <v>4</v>
      </c>
      <c r="P268" t="s">
        <v>8</v>
      </c>
      <c r="Q268">
        <v>6.1</v>
      </c>
    </row>
    <row r="269" spans="1:17">
      <c r="A269">
        <v>3549</v>
      </c>
      <c r="B269" t="s">
        <v>33</v>
      </c>
      <c r="C269">
        <v>0.495</v>
      </c>
      <c r="D269">
        <v>0.37</v>
      </c>
      <c r="E269">
        <v>0.12</v>
      </c>
      <c r="F269">
        <v>0.59399999999999997</v>
      </c>
      <c r="G269">
        <v>0.28000000000000003</v>
      </c>
      <c r="H269">
        <v>0.11</v>
      </c>
      <c r="I269">
        <v>0.13750000000000001</v>
      </c>
      <c r="J269">
        <v>7</v>
      </c>
      <c r="K269">
        <v>12</v>
      </c>
      <c r="L269" t="s">
        <v>58</v>
      </c>
      <c r="M269" t="s">
        <v>59</v>
      </c>
      <c r="N269" t="s">
        <v>45</v>
      </c>
      <c r="O269">
        <v>5</v>
      </c>
      <c r="P269" t="s">
        <v>12</v>
      </c>
      <c r="Q269">
        <v>12.8</v>
      </c>
    </row>
    <row r="270" spans="1:17">
      <c r="A270">
        <v>794</v>
      </c>
      <c r="B270" t="s">
        <v>33</v>
      </c>
      <c r="C270">
        <v>0.57499999999999996</v>
      </c>
      <c r="D270">
        <v>0.45</v>
      </c>
      <c r="E270">
        <v>0.16500000000000001</v>
      </c>
      <c r="F270">
        <v>0.92149999999999999</v>
      </c>
      <c r="G270">
        <v>0.32750000000000001</v>
      </c>
      <c r="H270">
        <v>0.22500000000000001</v>
      </c>
      <c r="I270">
        <v>0.25600000000000001</v>
      </c>
      <c r="J270">
        <v>12</v>
      </c>
      <c r="K270">
        <v>14</v>
      </c>
      <c r="L270" t="s">
        <v>72</v>
      </c>
      <c r="M270" t="s">
        <v>73</v>
      </c>
      <c r="N270" t="s">
        <v>74</v>
      </c>
      <c r="O270">
        <v>1</v>
      </c>
      <c r="P270" t="s">
        <v>4</v>
      </c>
      <c r="Q270">
        <v>22.1</v>
      </c>
    </row>
    <row r="271" spans="1:17">
      <c r="A271">
        <v>1251</v>
      </c>
      <c r="B271" t="s">
        <v>33</v>
      </c>
      <c r="C271">
        <v>0.4</v>
      </c>
      <c r="D271">
        <v>0.28999999999999998</v>
      </c>
      <c r="E271">
        <v>0.1</v>
      </c>
      <c r="F271">
        <v>0.26750000000000002</v>
      </c>
      <c r="G271">
        <v>0.1205</v>
      </c>
      <c r="H271">
        <v>6.0499999999999998E-2</v>
      </c>
      <c r="I271">
        <v>7.6499999999999999E-2</v>
      </c>
      <c r="J271">
        <v>5</v>
      </c>
      <c r="K271">
        <v>14</v>
      </c>
      <c r="L271" t="s">
        <v>72</v>
      </c>
      <c r="M271" t="s">
        <v>73</v>
      </c>
      <c r="N271" t="s">
        <v>74</v>
      </c>
      <c r="O271">
        <v>7</v>
      </c>
      <c r="P271" t="s">
        <v>6</v>
      </c>
      <c r="Q271">
        <v>2.5</v>
      </c>
    </row>
    <row r="272" spans="1:17">
      <c r="A272">
        <v>2496</v>
      </c>
      <c r="B272" t="s">
        <v>33</v>
      </c>
      <c r="C272">
        <v>0.45</v>
      </c>
      <c r="D272">
        <v>0.36</v>
      </c>
      <c r="E272">
        <v>0.16</v>
      </c>
      <c r="F272">
        <v>0.56699999999999995</v>
      </c>
      <c r="G272">
        <v>0.17399999999999999</v>
      </c>
      <c r="H272">
        <v>0.1245</v>
      </c>
      <c r="I272">
        <v>0.22500000000000001</v>
      </c>
      <c r="J272">
        <v>12</v>
      </c>
      <c r="K272">
        <v>14</v>
      </c>
      <c r="L272" t="s">
        <v>72</v>
      </c>
      <c r="M272" t="s">
        <v>73</v>
      </c>
      <c r="N272" t="s">
        <v>74</v>
      </c>
      <c r="O272">
        <v>3</v>
      </c>
      <c r="P272" t="s">
        <v>10</v>
      </c>
      <c r="Q272">
        <v>3.6</v>
      </c>
    </row>
    <row r="273" spans="1:17">
      <c r="A273">
        <v>2446</v>
      </c>
      <c r="B273" t="s">
        <v>33</v>
      </c>
      <c r="C273">
        <v>0.5</v>
      </c>
      <c r="D273">
        <v>0.38</v>
      </c>
      <c r="E273">
        <v>0.13500000000000001</v>
      </c>
      <c r="F273">
        <v>0.58350000000000002</v>
      </c>
      <c r="G273">
        <v>0.22950000000000001</v>
      </c>
      <c r="H273">
        <v>0.1265</v>
      </c>
      <c r="I273">
        <v>0.18</v>
      </c>
      <c r="J273">
        <v>12</v>
      </c>
      <c r="K273">
        <v>11</v>
      </c>
      <c r="L273" t="s">
        <v>65</v>
      </c>
      <c r="M273" t="s">
        <v>66</v>
      </c>
      <c r="N273" t="s">
        <v>45</v>
      </c>
      <c r="O273">
        <v>6</v>
      </c>
      <c r="P273" t="s">
        <v>7</v>
      </c>
      <c r="Q273">
        <v>14.1</v>
      </c>
    </row>
    <row r="274" spans="1:17">
      <c r="A274">
        <v>2124</v>
      </c>
      <c r="B274" t="s">
        <v>33</v>
      </c>
      <c r="C274">
        <v>0.28999999999999998</v>
      </c>
      <c r="D274">
        <v>0.21</v>
      </c>
      <c r="E274">
        <v>7.4999999999999997E-2</v>
      </c>
      <c r="F274">
        <v>0.27500000000000002</v>
      </c>
      <c r="G274">
        <v>0.113</v>
      </c>
      <c r="H274">
        <v>6.7500000000000004E-2</v>
      </c>
      <c r="I274">
        <v>3.5000000000000003E-2</v>
      </c>
      <c r="J274">
        <v>6</v>
      </c>
      <c r="K274">
        <v>3</v>
      </c>
      <c r="L274" t="s">
        <v>52</v>
      </c>
      <c r="M274" t="s">
        <v>53</v>
      </c>
      <c r="N274" t="s">
        <v>54</v>
      </c>
      <c r="O274">
        <v>3</v>
      </c>
      <c r="P274" t="s">
        <v>10</v>
      </c>
      <c r="Q274">
        <v>3.6</v>
      </c>
    </row>
    <row r="275" spans="1:17">
      <c r="A275">
        <v>323</v>
      </c>
      <c r="B275" t="s">
        <v>33</v>
      </c>
      <c r="C275">
        <v>0.38500000000000001</v>
      </c>
      <c r="D275">
        <v>0.31</v>
      </c>
      <c r="E275">
        <v>0.1</v>
      </c>
      <c r="F275">
        <v>0.28449999999999998</v>
      </c>
      <c r="G275">
        <v>0.1065</v>
      </c>
      <c r="H275">
        <v>7.4999999999999997E-2</v>
      </c>
      <c r="I275">
        <v>0.1</v>
      </c>
      <c r="J275">
        <v>11</v>
      </c>
      <c r="K275">
        <v>5</v>
      </c>
      <c r="L275" t="s">
        <v>67</v>
      </c>
      <c r="M275" t="s">
        <v>68</v>
      </c>
      <c r="N275" t="s">
        <v>69</v>
      </c>
      <c r="O275">
        <v>6</v>
      </c>
      <c r="P275" t="s">
        <v>7</v>
      </c>
      <c r="Q275">
        <v>14.1</v>
      </c>
    </row>
    <row r="276" spans="1:17">
      <c r="A276">
        <v>2575</v>
      </c>
      <c r="B276" t="s">
        <v>33</v>
      </c>
      <c r="C276">
        <v>0.48</v>
      </c>
      <c r="D276">
        <v>0.37</v>
      </c>
      <c r="E276">
        <v>0.1</v>
      </c>
      <c r="F276">
        <v>0.51349999999999996</v>
      </c>
      <c r="G276">
        <v>0.24299999999999999</v>
      </c>
      <c r="H276">
        <v>0.10150000000000001</v>
      </c>
      <c r="I276">
        <v>0.13500000000000001</v>
      </c>
      <c r="J276">
        <v>8</v>
      </c>
      <c r="K276">
        <v>14</v>
      </c>
      <c r="L276" t="s">
        <v>72</v>
      </c>
      <c r="M276" t="s">
        <v>73</v>
      </c>
      <c r="N276" t="s">
        <v>74</v>
      </c>
      <c r="O276">
        <v>9</v>
      </c>
      <c r="P276" t="s">
        <v>9</v>
      </c>
      <c r="Q276">
        <v>1.9</v>
      </c>
    </row>
    <row r="277" spans="1:17">
      <c r="A277">
        <v>1885</v>
      </c>
      <c r="B277" t="s">
        <v>33</v>
      </c>
      <c r="C277">
        <v>0.55500000000000005</v>
      </c>
      <c r="D277">
        <v>0.4</v>
      </c>
      <c r="E277">
        <v>0.13</v>
      </c>
      <c r="F277">
        <v>0.70750000000000002</v>
      </c>
      <c r="G277">
        <v>0.33200000000000002</v>
      </c>
      <c r="H277">
        <v>0.1585</v>
      </c>
      <c r="I277">
        <v>0.18</v>
      </c>
      <c r="J277">
        <v>7</v>
      </c>
      <c r="K277">
        <v>14</v>
      </c>
      <c r="L277" t="s">
        <v>72</v>
      </c>
      <c r="M277" t="s">
        <v>73</v>
      </c>
      <c r="N277" t="s">
        <v>74</v>
      </c>
      <c r="O277">
        <v>1</v>
      </c>
      <c r="P277" t="s">
        <v>4</v>
      </c>
      <c r="Q277">
        <v>22.1</v>
      </c>
    </row>
    <row r="278" spans="1:17">
      <c r="A278">
        <v>3502</v>
      </c>
      <c r="B278" t="s">
        <v>33</v>
      </c>
      <c r="C278">
        <v>0.6</v>
      </c>
      <c r="D278">
        <v>0.47499999999999998</v>
      </c>
      <c r="E278">
        <v>0.16</v>
      </c>
      <c r="F278">
        <v>1.1639999999999999</v>
      </c>
      <c r="G278">
        <v>0.50449999999999995</v>
      </c>
      <c r="H278">
        <v>0.26350000000000001</v>
      </c>
      <c r="I278">
        <v>0.33500000000000002</v>
      </c>
      <c r="J278">
        <v>12</v>
      </c>
      <c r="K278">
        <v>13</v>
      </c>
      <c r="L278" t="s">
        <v>43</v>
      </c>
      <c r="M278" t="s">
        <v>44</v>
      </c>
      <c r="N278" t="s">
        <v>45</v>
      </c>
      <c r="O278">
        <v>7</v>
      </c>
      <c r="P278" t="s">
        <v>6</v>
      </c>
      <c r="Q278">
        <v>2.5</v>
      </c>
    </row>
    <row r="279" spans="1:17">
      <c r="A279">
        <v>1613</v>
      </c>
      <c r="B279" t="s">
        <v>33</v>
      </c>
      <c r="C279">
        <v>0.55000000000000004</v>
      </c>
      <c r="D279">
        <v>0.42499999999999999</v>
      </c>
      <c r="E279">
        <v>0.15</v>
      </c>
      <c r="F279">
        <v>0.63900000000000001</v>
      </c>
      <c r="G279">
        <v>0.26900000000000002</v>
      </c>
      <c r="H279">
        <v>0.13450000000000001</v>
      </c>
      <c r="I279">
        <v>0.217</v>
      </c>
      <c r="J279">
        <v>9</v>
      </c>
      <c r="K279">
        <v>4</v>
      </c>
      <c r="L279" t="s">
        <v>40</v>
      </c>
      <c r="M279" t="s">
        <v>41</v>
      </c>
      <c r="N279" t="s">
        <v>42</v>
      </c>
      <c r="O279">
        <v>7</v>
      </c>
      <c r="P279" t="s">
        <v>6</v>
      </c>
      <c r="Q279">
        <v>2.5</v>
      </c>
    </row>
    <row r="280" spans="1:17">
      <c r="A280">
        <v>2096</v>
      </c>
      <c r="B280" t="s">
        <v>33</v>
      </c>
      <c r="C280">
        <v>0.41499999999999998</v>
      </c>
      <c r="D280">
        <v>0.3</v>
      </c>
      <c r="E280">
        <v>0.1</v>
      </c>
      <c r="F280">
        <v>0.33550000000000002</v>
      </c>
      <c r="G280">
        <v>0.1545</v>
      </c>
      <c r="H280">
        <v>6.8500000000000005E-2</v>
      </c>
      <c r="I280">
        <v>9.5000000000000001E-2</v>
      </c>
      <c r="J280">
        <v>7</v>
      </c>
      <c r="K280">
        <v>14</v>
      </c>
      <c r="L280" t="s">
        <v>72</v>
      </c>
      <c r="M280" t="s">
        <v>73</v>
      </c>
      <c r="N280" t="s">
        <v>74</v>
      </c>
      <c r="O280">
        <v>7</v>
      </c>
      <c r="P280" t="s">
        <v>6</v>
      </c>
      <c r="Q280">
        <v>2.5</v>
      </c>
    </row>
    <row r="281" spans="1:17">
      <c r="A281">
        <v>519</v>
      </c>
      <c r="B281" t="s">
        <v>33</v>
      </c>
      <c r="C281">
        <v>0.32500000000000001</v>
      </c>
      <c r="D281">
        <v>0.23</v>
      </c>
      <c r="E281">
        <v>0.09</v>
      </c>
      <c r="F281">
        <v>0.14699999999999999</v>
      </c>
      <c r="G281">
        <v>0.06</v>
      </c>
      <c r="H281">
        <v>3.4000000000000002E-2</v>
      </c>
      <c r="I281">
        <v>4.4999999999999998E-2</v>
      </c>
      <c r="J281">
        <v>4</v>
      </c>
      <c r="K281">
        <v>4</v>
      </c>
      <c r="L281" t="s">
        <v>40</v>
      </c>
      <c r="M281" t="s">
        <v>41</v>
      </c>
      <c r="N281" t="s">
        <v>42</v>
      </c>
      <c r="O281">
        <v>6</v>
      </c>
      <c r="P281" t="s">
        <v>7</v>
      </c>
      <c r="Q281">
        <v>14.1</v>
      </c>
    </row>
    <row r="282" spans="1:17">
      <c r="A282">
        <v>1106</v>
      </c>
      <c r="B282" t="s">
        <v>33</v>
      </c>
      <c r="C282">
        <v>0.51</v>
      </c>
      <c r="D282">
        <v>0.4</v>
      </c>
      <c r="E282">
        <v>0.125</v>
      </c>
      <c r="F282">
        <v>0.54500000000000004</v>
      </c>
      <c r="G282">
        <v>0.26100000000000001</v>
      </c>
      <c r="H282">
        <v>0.115</v>
      </c>
      <c r="I282">
        <v>0.13850000000000001</v>
      </c>
      <c r="J282">
        <v>6</v>
      </c>
      <c r="K282">
        <v>14</v>
      </c>
      <c r="L282" t="s">
        <v>72</v>
      </c>
      <c r="M282" t="s">
        <v>73</v>
      </c>
      <c r="N282" t="s">
        <v>74</v>
      </c>
      <c r="O282">
        <v>9</v>
      </c>
      <c r="P282" t="s">
        <v>9</v>
      </c>
      <c r="Q282">
        <v>1.9</v>
      </c>
    </row>
    <row r="283" spans="1:17">
      <c r="A283">
        <v>48</v>
      </c>
      <c r="B283" t="s">
        <v>33</v>
      </c>
      <c r="C283">
        <v>0.46</v>
      </c>
      <c r="D283">
        <v>0.375</v>
      </c>
      <c r="E283">
        <v>0.12</v>
      </c>
      <c r="F283">
        <v>0.46050000000000002</v>
      </c>
      <c r="G283">
        <v>0.17749999999999999</v>
      </c>
      <c r="H283">
        <v>0.11</v>
      </c>
      <c r="I283">
        <v>0.15</v>
      </c>
      <c r="J283">
        <v>7</v>
      </c>
      <c r="K283">
        <v>2</v>
      </c>
      <c r="L283" t="s">
        <v>49</v>
      </c>
      <c r="M283" t="s">
        <v>50</v>
      </c>
      <c r="N283" t="s">
        <v>51</v>
      </c>
      <c r="O283">
        <v>4</v>
      </c>
      <c r="P283" t="s">
        <v>8</v>
      </c>
      <c r="Q283">
        <v>6.1</v>
      </c>
    </row>
    <row r="284" spans="1:17">
      <c r="A284">
        <v>4156</v>
      </c>
      <c r="B284" t="s">
        <v>33</v>
      </c>
      <c r="C284">
        <v>0.44</v>
      </c>
      <c r="D284">
        <v>0.35</v>
      </c>
      <c r="E284">
        <v>0.11</v>
      </c>
      <c r="F284">
        <v>0.3805</v>
      </c>
      <c r="G284">
        <v>0.1575</v>
      </c>
      <c r="H284">
        <v>8.9499999999999996E-2</v>
      </c>
      <c r="I284">
        <v>0.115</v>
      </c>
      <c r="J284">
        <v>6</v>
      </c>
      <c r="K284">
        <v>9</v>
      </c>
      <c r="L284" t="s">
        <v>34</v>
      </c>
      <c r="M284" t="s">
        <v>35</v>
      </c>
      <c r="N284" t="s">
        <v>36</v>
      </c>
      <c r="O284">
        <v>2</v>
      </c>
      <c r="P284" t="s">
        <v>5</v>
      </c>
      <c r="Q284">
        <v>18</v>
      </c>
    </row>
    <row r="285" spans="1:17">
      <c r="A285">
        <v>2548</v>
      </c>
      <c r="B285" t="s">
        <v>33</v>
      </c>
      <c r="C285">
        <v>0.23</v>
      </c>
      <c r="D285">
        <v>0.18</v>
      </c>
      <c r="E285">
        <v>0.05</v>
      </c>
      <c r="F285">
        <v>6.4000000000000001E-2</v>
      </c>
      <c r="G285">
        <v>2.1499999999999998E-2</v>
      </c>
      <c r="H285">
        <v>1.35E-2</v>
      </c>
      <c r="I285">
        <v>0.02</v>
      </c>
      <c r="J285">
        <v>5</v>
      </c>
      <c r="K285">
        <v>7</v>
      </c>
      <c r="L285" t="s">
        <v>62</v>
      </c>
      <c r="M285" t="s">
        <v>63</v>
      </c>
      <c r="N285" t="s">
        <v>64</v>
      </c>
      <c r="O285">
        <v>6</v>
      </c>
      <c r="P285" t="s">
        <v>7</v>
      </c>
      <c r="Q285">
        <v>14.1</v>
      </c>
    </row>
    <row r="286" spans="1:17">
      <c r="A286">
        <v>834</v>
      </c>
      <c r="B286" t="s">
        <v>33</v>
      </c>
      <c r="C286">
        <v>0.44500000000000001</v>
      </c>
      <c r="D286">
        <v>0.33500000000000002</v>
      </c>
      <c r="E286">
        <v>0.1</v>
      </c>
      <c r="F286">
        <v>0.48949999999999999</v>
      </c>
      <c r="G286">
        <v>0.27450000000000002</v>
      </c>
      <c r="H286">
        <v>8.5999999999999993E-2</v>
      </c>
      <c r="I286">
        <v>0.1105</v>
      </c>
      <c r="J286">
        <v>7</v>
      </c>
      <c r="K286">
        <v>6</v>
      </c>
      <c r="L286" t="s">
        <v>46</v>
      </c>
      <c r="M286" t="s">
        <v>47</v>
      </c>
      <c r="N286" t="s">
        <v>48</v>
      </c>
      <c r="O286">
        <v>1</v>
      </c>
      <c r="P286" t="s">
        <v>4</v>
      </c>
      <c r="Q286">
        <v>22.1</v>
      </c>
    </row>
    <row r="287" spans="1:17">
      <c r="A287">
        <v>896</v>
      </c>
      <c r="B287" t="s">
        <v>33</v>
      </c>
      <c r="C287">
        <v>0.255</v>
      </c>
      <c r="D287">
        <v>0.19</v>
      </c>
      <c r="E287">
        <v>0.05</v>
      </c>
      <c r="F287">
        <v>8.3000000000000004E-2</v>
      </c>
      <c r="G287">
        <v>2.9499999999999998E-2</v>
      </c>
      <c r="H287">
        <v>2.1499999999999998E-2</v>
      </c>
      <c r="I287">
        <v>2.7E-2</v>
      </c>
      <c r="J287">
        <v>6</v>
      </c>
      <c r="K287">
        <v>15</v>
      </c>
      <c r="L287" t="s">
        <v>60</v>
      </c>
      <c r="M287" t="s">
        <v>61</v>
      </c>
      <c r="N287" t="s">
        <v>45</v>
      </c>
      <c r="O287">
        <v>4</v>
      </c>
      <c r="P287" t="s">
        <v>8</v>
      </c>
      <c r="Q287">
        <v>6.1</v>
      </c>
    </row>
    <row r="288" spans="1:17">
      <c r="A288">
        <v>4110</v>
      </c>
      <c r="B288" t="s">
        <v>33</v>
      </c>
      <c r="C288">
        <v>0.48</v>
      </c>
      <c r="D288">
        <v>0.36499999999999999</v>
      </c>
      <c r="E288">
        <v>0.13</v>
      </c>
      <c r="F288">
        <v>0.53049999999999997</v>
      </c>
      <c r="G288">
        <v>0.24049999999999999</v>
      </c>
      <c r="H288">
        <v>0.127</v>
      </c>
      <c r="I288">
        <v>0.13900000000000001</v>
      </c>
      <c r="J288">
        <v>8</v>
      </c>
      <c r="K288">
        <v>2</v>
      </c>
      <c r="L288" t="s">
        <v>49</v>
      </c>
      <c r="M288" t="s">
        <v>50</v>
      </c>
      <c r="N288" t="s">
        <v>51</v>
      </c>
      <c r="O288">
        <v>4</v>
      </c>
      <c r="P288" t="s">
        <v>8</v>
      </c>
      <c r="Q288">
        <v>6.1</v>
      </c>
    </row>
    <row r="289" spans="1:17">
      <c r="A289">
        <v>147</v>
      </c>
      <c r="B289" t="s">
        <v>17</v>
      </c>
      <c r="C289">
        <v>0.46</v>
      </c>
      <c r="D289">
        <v>0.35</v>
      </c>
      <c r="E289">
        <v>0.12</v>
      </c>
      <c r="F289">
        <v>0.51500000000000001</v>
      </c>
      <c r="G289">
        <v>0.224</v>
      </c>
      <c r="H289">
        <v>0.108</v>
      </c>
      <c r="I289">
        <v>0.1565</v>
      </c>
      <c r="J289">
        <v>10</v>
      </c>
      <c r="K289">
        <v>1</v>
      </c>
      <c r="L289" t="s">
        <v>70</v>
      </c>
      <c r="M289" t="s">
        <v>71</v>
      </c>
      <c r="N289" t="s">
        <v>45</v>
      </c>
      <c r="O289">
        <v>6</v>
      </c>
      <c r="P289" t="s">
        <v>7</v>
      </c>
      <c r="Q289">
        <v>14.1</v>
      </c>
    </row>
    <row r="290" spans="1:17">
      <c r="A290">
        <v>2023</v>
      </c>
      <c r="B290" t="s">
        <v>75</v>
      </c>
      <c r="C290">
        <v>0.53</v>
      </c>
      <c r="D290">
        <v>0.43</v>
      </c>
      <c r="E290">
        <v>0.15</v>
      </c>
      <c r="F290">
        <v>0.74099999999999999</v>
      </c>
      <c r="G290">
        <v>0.32500000000000001</v>
      </c>
      <c r="H290">
        <v>0.1855</v>
      </c>
      <c r="I290">
        <v>0.19600000000000001</v>
      </c>
      <c r="J290">
        <v>9</v>
      </c>
      <c r="K290">
        <v>4</v>
      </c>
      <c r="L290" t="s">
        <v>40</v>
      </c>
      <c r="M290" t="s">
        <v>41</v>
      </c>
      <c r="N290" t="s">
        <v>42</v>
      </c>
      <c r="O290">
        <v>3</v>
      </c>
      <c r="P290" t="s">
        <v>10</v>
      </c>
      <c r="Q290">
        <v>3.6</v>
      </c>
    </row>
    <row r="291" spans="1:17">
      <c r="A291">
        <v>2873</v>
      </c>
      <c r="B291" t="s">
        <v>75</v>
      </c>
      <c r="C291">
        <v>0.4</v>
      </c>
      <c r="D291">
        <v>0.315</v>
      </c>
      <c r="E291">
        <v>0.09</v>
      </c>
      <c r="F291">
        <v>0.32450000000000001</v>
      </c>
      <c r="G291">
        <v>0.151</v>
      </c>
      <c r="H291">
        <v>7.2999999999999995E-2</v>
      </c>
      <c r="I291">
        <v>8.7999999999999995E-2</v>
      </c>
      <c r="J291">
        <v>8</v>
      </c>
      <c r="K291">
        <v>3</v>
      </c>
      <c r="L291" t="s">
        <v>52</v>
      </c>
      <c r="M291" t="s">
        <v>53</v>
      </c>
      <c r="N291" t="s">
        <v>54</v>
      </c>
      <c r="O291">
        <v>5</v>
      </c>
      <c r="P291" t="s">
        <v>12</v>
      </c>
      <c r="Q291">
        <v>12.8</v>
      </c>
    </row>
    <row r="292" spans="1:17">
      <c r="A292">
        <v>3819</v>
      </c>
      <c r="B292" t="s">
        <v>75</v>
      </c>
      <c r="C292">
        <v>0.56499999999999995</v>
      </c>
      <c r="D292">
        <v>0.44500000000000001</v>
      </c>
      <c r="E292">
        <v>0.14000000000000001</v>
      </c>
      <c r="F292">
        <v>0.83599999999999997</v>
      </c>
      <c r="G292">
        <v>0.40600000000000003</v>
      </c>
      <c r="H292">
        <v>0.1605</v>
      </c>
      <c r="I292">
        <v>0.22450000000000001</v>
      </c>
      <c r="J292">
        <v>9</v>
      </c>
      <c r="K292">
        <v>12</v>
      </c>
      <c r="L292" t="s">
        <v>58</v>
      </c>
      <c r="M292" t="s">
        <v>59</v>
      </c>
      <c r="N292" t="s">
        <v>45</v>
      </c>
      <c r="O292">
        <v>4</v>
      </c>
      <c r="P292" t="s">
        <v>8</v>
      </c>
      <c r="Q292">
        <v>6.1</v>
      </c>
    </row>
    <row r="293" spans="1:17">
      <c r="A293">
        <v>152</v>
      </c>
      <c r="B293" t="s">
        <v>75</v>
      </c>
      <c r="C293">
        <v>0.60499999999999998</v>
      </c>
      <c r="D293">
        <v>0.5</v>
      </c>
      <c r="E293">
        <v>0.185</v>
      </c>
      <c r="F293">
        <v>1.1185</v>
      </c>
      <c r="G293">
        <v>0.46899999999999997</v>
      </c>
      <c r="H293">
        <v>0.25850000000000001</v>
      </c>
      <c r="I293">
        <v>0.33500000000000002</v>
      </c>
      <c r="J293">
        <v>9</v>
      </c>
      <c r="K293">
        <v>12</v>
      </c>
      <c r="L293" t="s">
        <v>58</v>
      </c>
      <c r="M293" t="s">
        <v>59</v>
      </c>
      <c r="N293" t="s">
        <v>45</v>
      </c>
      <c r="O293">
        <v>1</v>
      </c>
      <c r="P293" t="s">
        <v>4</v>
      </c>
      <c r="Q293">
        <v>22.1</v>
      </c>
    </row>
    <row r="294" spans="1:17">
      <c r="A294">
        <v>1537</v>
      </c>
      <c r="B294" t="s">
        <v>75</v>
      </c>
      <c r="C294">
        <v>0.33500000000000002</v>
      </c>
      <c r="D294">
        <v>0.255</v>
      </c>
      <c r="E294">
        <v>0.08</v>
      </c>
      <c r="F294">
        <v>0.16800000000000001</v>
      </c>
      <c r="G294">
        <v>7.9000000000000001E-2</v>
      </c>
      <c r="H294">
        <v>3.5499999999999997E-2</v>
      </c>
      <c r="I294">
        <v>0.05</v>
      </c>
      <c r="J294">
        <v>5</v>
      </c>
      <c r="K294">
        <v>14</v>
      </c>
      <c r="L294" t="s">
        <v>72</v>
      </c>
      <c r="M294" t="s">
        <v>73</v>
      </c>
      <c r="N294" t="s">
        <v>74</v>
      </c>
      <c r="O294">
        <v>1</v>
      </c>
      <c r="P294" t="s">
        <v>4</v>
      </c>
      <c r="Q294">
        <v>22.1</v>
      </c>
    </row>
    <row r="295" spans="1:17">
      <c r="A295">
        <v>4031</v>
      </c>
      <c r="B295" t="s">
        <v>75</v>
      </c>
      <c r="C295">
        <v>0.435</v>
      </c>
      <c r="D295">
        <v>0.32500000000000001</v>
      </c>
      <c r="E295">
        <v>0.1</v>
      </c>
      <c r="F295">
        <v>0.36599999999999999</v>
      </c>
      <c r="G295">
        <v>0.17399999999999999</v>
      </c>
      <c r="H295">
        <v>7.2499999999999995E-2</v>
      </c>
      <c r="I295">
        <v>0.109</v>
      </c>
      <c r="J295">
        <v>7</v>
      </c>
      <c r="K295">
        <v>12</v>
      </c>
      <c r="L295" t="s">
        <v>58</v>
      </c>
      <c r="M295" t="s">
        <v>59</v>
      </c>
      <c r="N295" t="s">
        <v>45</v>
      </c>
      <c r="O295">
        <v>1</v>
      </c>
      <c r="P295" t="s">
        <v>4</v>
      </c>
      <c r="Q295">
        <v>22.1</v>
      </c>
    </row>
    <row r="296" spans="1:17">
      <c r="A296">
        <v>4115</v>
      </c>
      <c r="B296" t="s">
        <v>75</v>
      </c>
      <c r="C296">
        <v>0.56999999999999995</v>
      </c>
      <c r="D296">
        <v>0.45</v>
      </c>
      <c r="E296">
        <v>0.15</v>
      </c>
      <c r="F296">
        <v>0.96450000000000002</v>
      </c>
      <c r="G296">
        <v>0.53100000000000003</v>
      </c>
      <c r="H296">
        <v>0.189</v>
      </c>
      <c r="I296">
        <v>0.20899999999999999</v>
      </c>
      <c r="J296">
        <v>9</v>
      </c>
      <c r="K296">
        <v>5</v>
      </c>
      <c r="L296" t="s">
        <v>67</v>
      </c>
      <c r="M296" t="s">
        <v>68</v>
      </c>
      <c r="N296" t="s">
        <v>69</v>
      </c>
      <c r="O296">
        <v>8</v>
      </c>
      <c r="P296" t="s">
        <v>13</v>
      </c>
      <c r="Q296">
        <v>12.3</v>
      </c>
    </row>
    <row r="297" spans="1:17">
      <c r="A297">
        <v>3222</v>
      </c>
      <c r="B297" t="s">
        <v>75</v>
      </c>
      <c r="C297">
        <v>0.38500000000000001</v>
      </c>
      <c r="D297">
        <v>0.30499999999999999</v>
      </c>
      <c r="E297">
        <v>0.09</v>
      </c>
      <c r="F297">
        <v>0.27750000000000002</v>
      </c>
      <c r="G297">
        <v>0.109</v>
      </c>
      <c r="H297">
        <v>5.1499999999999997E-2</v>
      </c>
      <c r="I297">
        <v>0.1</v>
      </c>
      <c r="J297">
        <v>9</v>
      </c>
      <c r="K297">
        <v>5</v>
      </c>
      <c r="L297" t="s">
        <v>67</v>
      </c>
      <c r="M297" t="s">
        <v>68</v>
      </c>
      <c r="N297" t="s">
        <v>69</v>
      </c>
      <c r="O297">
        <v>7</v>
      </c>
      <c r="P297" t="s">
        <v>6</v>
      </c>
      <c r="Q297">
        <v>2.5</v>
      </c>
    </row>
    <row r="298" spans="1:17">
      <c r="A298">
        <v>1281</v>
      </c>
      <c r="B298" t="s">
        <v>75</v>
      </c>
      <c r="C298">
        <v>0.495</v>
      </c>
      <c r="D298">
        <v>0.39500000000000002</v>
      </c>
      <c r="E298">
        <v>0.12</v>
      </c>
      <c r="F298">
        <v>0.55300000000000005</v>
      </c>
      <c r="G298">
        <v>0.224</v>
      </c>
      <c r="H298">
        <v>0.13750000000000001</v>
      </c>
      <c r="I298">
        <v>0.16700000000000001</v>
      </c>
      <c r="J298">
        <v>8</v>
      </c>
      <c r="K298">
        <v>15</v>
      </c>
      <c r="L298" t="s">
        <v>60</v>
      </c>
      <c r="M298" t="s">
        <v>61</v>
      </c>
      <c r="N298" t="s">
        <v>45</v>
      </c>
      <c r="O298">
        <v>6</v>
      </c>
      <c r="P298" t="s">
        <v>7</v>
      </c>
      <c r="Q298">
        <v>14.1</v>
      </c>
    </row>
    <row r="299" spans="1:17">
      <c r="A299">
        <v>1617</v>
      </c>
      <c r="B299" t="s">
        <v>75</v>
      </c>
      <c r="C299">
        <v>0.55500000000000005</v>
      </c>
      <c r="D299">
        <v>0.39500000000000002</v>
      </c>
      <c r="E299">
        <v>0.13</v>
      </c>
      <c r="F299">
        <v>0.5585</v>
      </c>
      <c r="G299">
        <v>0.222</v>
      </c>
      <c r="H299">
        <v>0.1245</v>
      </c>
      <c r="I299">
        <v>0.17</v>
      </c>
      <c r="J299">
        <v>9</v>
      </c>
      <c r="K299">
        <v>10</v>
      </c>
      <c r="L299" t="s">
        <v>37</v>
      </c>
      <c r="M299" t="s">
        <v>38</v>
      </c>
      <c r="N299" t="s">
        <v>39</v>
      </c>
      <c r="O299">
        <v>9</v>
      </c>
      <c r="P299" t="s">
        <v>9</v>
      </c>
      <c r="Q299">
        <v>1.9</v>
      </c>
    </row>
    <row r="300" spans="1:17">
      <c r="A300">
        <v>3654</v>
      </c>
      <c r="B300" t="s">
        <v>75</v>
      </c>
      <c r="C300">
        <v>0.53</v>
      </c>
      <c r="D300">
        <v>0.42499999999999999</v>
      </c>
      <c r="E300">
        <v>0.13</v>
      </c>
      <c r="F300">
        <v>0.78100000000000003</v>
      </c>
      <c r="G300">
        <v>0.39050000000000001</v>
      </c>
      <c r="H300">
        <v>0.20050000000000001</v>
      </c>
      <c r="I300">
        <v>0.215</v>
      </c>
      <c r="J300">
        <v>9</v>
      </c>
      <c r="K300">
        <v>3</v>
      </c>
      <c r="L300" t="s">
        <v>52</v>
      </c>
      <c r="M300" t="s">
        <v>53</v>
      </c>
      <c r="N300" t="s">
        <v>54</v>
      </c>
      <c r="O300">
        <v>2</v>
      </c>
      <c r="P300" t="s">
        <v>5</v>
      </c>
      <c r="Q300">
        <v>18</v>
      </c>
    </row>
    <row r="301" spans="1:17">
      <c r="A301">
        <v>2024</v>
      </c>
      <c r="B301" t="s">
        <v>75</v>
      </c>
      <c r="C301">
        <v>0.53</v>
      </c>
      <c r="D301">
        <v>0.40500000000000003</v>
      </c>
      <c r="E301">
        <v>0.13</v>
      </c>
      <c r="F301">
        <v>0.63549999999999995</v>
      </c>
      <c r="G301">
        <v>0.26350000000000001</v>
      </c>
      <c r="H301">
        <v>0.1565</v>
      </c>
      <c r="I301">
        <v>0.185</v>
      </c>
      <c r="J301">
        <v>9</v>
      </c>
      <c r="K301">
        <v>14</v>
      </c>
      <c r="L301" t="s">
        <v>72</v>
      </c>
      <c r="M301" t="s">
        <v>73</v>
      </c>
      <c r="N301" t="s">
        <v>74</v>
      </c>
      <c r="O301">
        <v>2</v>
      </c>
      <c r="P301" t="s">
        <v>5</v>
      </c>
      <c r="Q301">
        <v>18</v>
      </c>
    </row>
    <row r="302" spans="1:17">
      <c r="A302">
        <v>3099</v>
      </c>
      <c r="B302" t="s">
        <v>75</v>
      </c>
      <c r="C302">
        <v>0.55000000000000004</v>
      </c>
      <c r="D302">
        <v>0.43</v>
      </c>
      <c r="E302">
        <v>0.15</v>
      </c>
      <c r="F302">
        <v>0.65500000000000003</v>
      </c>
      <c r="G302">
        <v>0.26350000000000001</v>
      </c>
      <c r="H302">
        <v>0.122</v>
      </c>
      <c r="I302">
        <v>0.221</v>
      </c>
      <c r="J302">
        <v>8</v>
      </c>
      <c r="K302">
        <v>14</v>
      </c>
      <c r="L302" t="s">
        <v>72</v>
      </c>
      <c r="M302" t="s">
        <v>73</v>
      </c>
      <c r="N302" t="s">
        <v>74</v>
      </c>
      <c r="O302">
        <v>4</v>
      </c>
      <c r="P302" t="s">
        <v>8</v>
      </c>
      <c r="Q302">
        <v>6.1</v>
      </c>
    </row>
    <row r="303" spans="1:17">
      <c r="A303">
        <v>2490</v>
      </c>
      <c r="B303" t="s">
        <v>75</v>
      </c>
      <c r="C303">
        <v>0.49</v>
      </c>
      <c r="D303">
        <v>0.39</v>
      </c>
      <c r="E303">
        <v>0.13500000000000001</v>
      </c>
      <c r="F303">
        <v>0.59199999999999997</v>
      </c>
      <c r="G303">
        <v>0.24199999999999999</v>
      </c>
      <c r="H303">
        <v>9.6000000000000002E-2</v>
      </c>
      <c r="I303">
        <v>0.1835</v>
      </c>
      <c r="J303">
        <v>15</v>
      </c>
      <c r="K303">
        <v>2</v>
      </c>
      <c r="L303" t="s">
        <v>49</v>
      </c>
      <c r="M303" t="s">
        <v>50</v>
      </c>
      <c r="N303" t="s">
        <v>51</v>
      </c>
      <c r="O303">
        <v>1</v>
      </c>
      <c r="P303" t="s">
        <v>4</v>
      </c>
      <c r="Q303">
        <v>22.1</v>
      </c>
    </row>
    <row r="304" spans="1:17">
      <c r="A304">
        <v>2549</v>
      </c>
      <c r="B304" t="s">
        <v>75</v>
      </c>
      <c r="C304">
        <v>0.27500000000000002</v>
      </c>
      <c r="D304">
        <v>0.19500000000000001</v>
      </c>
      <c r="E304">
        <v>7.0000000000000007E-2</v>
      </c>
      <c r="F304">
        <v>8.7499999999999994E-2</v>
      </c>
      <c r="G304">
        <v>3.4500000000000003E-2</v>
      </c>
      <c r="H304">
        <v>2.1999999999999999E-2</v>
      </c>
      <c r="I304">
        <v>2.5499999999999998E-2</v>
      </c>
      <c r="J304">
        <v>4</v>
      </c>
      <c r="K304">
        <v>6</v>
      </c>
      <c r="L304" t="s">
        <v>46</v>
      </c>
      <c r="M304" t="s">
        <v>47</v>
      </c>
      <c r="N304" t="s">
        <v>48</v>
      </c>
      <c r="O304">
        <v>5</v>
      </c>
      <c r="P304" t="s">
        <v>12</v>
      </c>
      <c r="Q304">
        <v>12.8</v>
      </c>
    </row>
    <row r="305" spans="1:17">
      <c r="A305">
        <v>753</v>
      </c>
      <c r="B305" t="s">
        <v>75</v>
      </c>
      <c r="C305">
        <v>0.60499999999999998</v>
      </c>
      <c r="D305">
        <v>0.46</v>
      </c>
      <c r="E305">
        <v>0.17</v>
      </c>
      <c r="F305">
        <v>1.1220000000000001</v>
      </c>
      <c r="G305">
        <v>0.34699999999999998</v>
      </c>
      <c r="H305">
        <v>0.30449999999999999</v>
      </c>
      <c r="I305">
        <v>0.315</v>
      </c>
      <c r="J305">
        <v>13</v>
      </c>
      <c r="K305">
        <v>15</v>
      </c>
      <c r="L305" t="s">
        <v>60</v>
      </c>
      <c r="M305" t="s">
        <v>61</v>
      </c>
      <c r="N305" t="s">
        <v>45</v>
      </c>
      <c r="O305">
        <v>4</v>
      </c>
      <c r="P305" t="s">
        <v>8</v>
      </c>
      <c r="Q305">
        <v>6.1</v>
      </c>
    </row>
    <row r="306" spans="1:17">
      <c r="A306">
        <v>1550</v>
      </c>
      <c r="B306" t="s">
        <v>75</v>
      </c>
      <c r="C306">
        <v>0.38500000000000001</v>
      </c>
      <c r="D306">
        <v>0.28000000000000003</v>
      </c>
      <c r="E306">
        <v>9.5000000000000001E-2</v>
      </c>
      <c r="F306">
        <v>0.25700000000000001</v>
      </c>
      <c r="G306">
        <v>0.11899999999999999</v>
      </c>
      <c r="H306">
        <v>5.8999999999999997E-2</v>
      </c>
      <c r="I306">
        <v>7.0000000000000007E-2</v>
      </c>
      <c r="J306">
        <v>7</v>
      </c>
      <c r="K306">
        <v>4</v>
      </c>
      <c r="L306" t="s">
        <v>40</v>
      </c>
      <c r="M306" t="s">
        <v>41</v>
      </c>
      <c r="N306" t="s">
        <v>42</v>
      </c>
      <c r="O306">
        <v>10</v>
      </c>
      <c r="P306" t="s">
        <v>11</v>
      </c>
      <c r="Q306">
        <v>24.1</v>
      </c>
    </row>
    <row r="307" spans="1:17">
      <c r="A307">
        <v>4153</v>
      </c>
      <c r="B307" t="s">
        <v>75</v>
      </c>
      <c r="C307">
        <v>0.37</v>
      </c>
      <c r="D307">
        <v>0.28000000000000003</v>
      </c>
      <c r="E307">
        <v>0.09</v>
      </c>
      <c r="F307">
        <v>0.218</v>
      </c>
      <c r="G307">
        <v>9.9500000000000005E-2</v>
      </c>
      <c r="H307">
        <v>5.45E-2</v>
      </c>
      <c r="I307">
        <v>6.1499999999999999E-2</v>
      </c>
      <c r="J307">
        <v>7</v>
      </c>
      <c r="K307">
        <v>8</v>
      </c>
      <c r="L307" t="s">
        <v>55</v>
      </c>
      <c r="M307" t="s">
        <v>56</v>
      </c>
      <c r="N307" t="s">
        <v>57</v>
      </c>
      <c r="O307">
        <v>8</v>
      </c>
      <c r="P307" t="s">
        <v>13</v>
      </c>
      <c r="Q307">
        <v>12.3</v>
      </c>
    </row>
    <row r="308" spans="1:17">
      <c r="A308">
        <v>1777</v>
      </c>
      <c r="B308" t="s">
        <v>75</v>
      </c>
      <c r="C308">
        <v>0.48499999999999999</v>
      </c>
      <c r="D308">
        <v>0.37</v>
      </c>
      <c r="E308">
        <v>0.155</v>
      </c>
      <c r="F308">
        <v>0.96799999999999997</v>
      </c>
      <c r="G308">
        <v>0.41899999999999998</v>
      </c>
      <c r="H308">
        <v>0.2455</v>
      </c>
      <c r="I308">
        <v>0.23649999999999999</v>
      </c>
      <c r="J308">
        <v>9</v>
      </c>
      <c r="K308">
        <v>2</v>
      </c>
      <c r="L308" t="s">
        <v>49</v>
      </c>
      <c r="M308" t="s">
        <v>50</v>
      </c>
      <c r="N308" t="s">
        <v>51</v>
      </c>
      <c r="O308">
        <v>6</v>
      </c>
      <c r="P308" t="s">
        <v>7</v>
      </c>
      <c r="Q308">
        <v>14.1</v>
      </c>
    </row>
    <row r="309" spans="1:17">
      <c r="A309">
        <v>2778</v>
      </c>
      <c r="B309" t="s">
        <v>75</v>
      </c>
      <c r="C309">
        <v>0.58499999999999996</v>
      </c>
      <c r="D309">
        <v>0.42</v>
      </c>
      <c r="E309">
        <v>0.14499999999999999</v>
      </c>
      <c r="F309">
        <v>0.67349999999999999</v>
      </c>
      <c r="G309">
        <v>0.28949999999999998</v>
      </c>
      <c r="H309">
        <v>0.13450000000000001</v>
      </c>
      <c r="I309">
        <v>0.22</v>
      </c>
      <c r="J309">
        <v>9</v>
      </c>
      <c r="K309">
        <v>15</v>
      </c>
      <c r="L309" t="s">
        <v>60</v>
      </c>
      <c r="M309" t="s">
        <v>61</v>
      </c>
      <c r="N309" t="s">
        <v>45</v>
      </c>
      <c r="O309">
        <v>5</v>
      </c>
      <c r="P309" t="s">
        <v>12</v>
      </c>
      <c r="Q309">
        <v>12.8</v>
      </c>
    </row>
    <row r="310" spans="1:17">
      <c r="A310">
        <v>976</v>
      </c>
      <c r="B310" t="s">
        <v>75</v>
      </c>
      <c r="C310">
        <v>0.53</v>
      </c>
      <c r="D310">
        <v>0.42499999999999999</v>
      </c>
      <c r="E310">
        <v>0.15</v>
      </c>
      <c r="F310">
        <v>0.84950000000000003</v>
      </c>
      <c r="G310">
        <v>0.32800000000000001</v>
      </c>
      <c r="H310">
        <v>0.23200000000000001</v>
      </c>
      <c r="I310">
        <v>0.20200000000000001</v>
      </c>
      <c r="J310">
        <v>8</v>
      </c>
      <c r="K310">
        <v>14</v>
      </c>
      <c r="L310" t="s">
        <v>72</v>
      </c>
      <c r="M310" t="s">
        <v>73</v>
      </c>
      <c r="N310" t="s">
        <v>74</v>
      </c>
      <c r="O310">
        <v>9</v>
      </c>
      <c r="P310" t="s">
        <v>9</v>
      </c>
      <c r="Q310">
        <v>1.9</v>
      </c>
    </row>
    <row r="311" spans="1:17">
      <c r="A311">
        <v>638</v>
      </c>
      <c r="B311" t="s">
        <v>75</v>
      </c>
      <c r="C311">
        <v>0.35499999999999998</v>
      </c>
      <c r="D311">
        <v>0.26</v>
      </c>
      <c r="E311">
        <v>8.5000000000000006E-2</v>
      </c>
      <c r="F311">
        <v>0.1905</v>
      </c>
      <c r="G311">
        <v>8.1000000000000003E-2</v>
      </c>
      <c r="H311">
        <v>4.8500000000000001E-2</v>
      </c>
      <c r="I311">
        <v>5.5E-2</v>
      </c>
      <c r="J311">
        <v>6</v>
      </c>
      <c r="K311">
        <v>4</v>
      </c>
      <c r="L311" t="s">
        <v>40</v>
      </c>
      <c r="M311" t="s">
        <v>41</v>
      </c>
      <c r="N311" t="s">
        <v>42</v>
      </c>
      <c r="O311">
        <v>6</v>
      </c>
      <c r="P311" t="s">
        <v>7</v>
      </c>
      <c r="Q311">
        <v>14.1</v>
      </c>
    </row>
    <row r="312" spans="1:17">
      <c r="A312">
        <v>3233</v>
      </c>
      <c r="B312" t="s">
        <v>75</v>
      </c>
      <c r="C312">
        <v>0.48499999999999999</v>
      </c>
      <c r="D312">
        <v>0.41</v>
      </c>
      <c r="E312">
        <v>0.15</v>
      </c>
      <c r="F312">
        <v>0.69599999999999995</v>
      </c>
      <c r="G312">
        <v>0.24049999999999999</v>
      </c>
      <c r="H312">
        <v>0.16250000000000001</v>
      </c>
      <c r="I312">
        <v>0.26500000000000001</v>
      </c>
      <c r="J312">
        <v>13</v>
      </c>
      <c r="K312">
        <v>10</v>
      </c>
      <c r="L312" t="s">
        <v>37</v>
      </c>
      <c r="M312" t="s">
        <v>38</v>
      </c>
      <c r="N312" t="s">
        <v>39</v>
      </c>
      <c r="O312">
        <v>10</v>
      </c>
      <c r="P312" t="s">
        <v>11</v>
      </c>
      <c r="Q312">
        <v>24.1</v>
      </c>
    </row>
    <row r="313" spans="1:17">
      <c r="A313">
        <v>3635</v>
      </c>
      <c r="B313" t="s">
        <v>75</v>
      </c>
      <c r="C313">
        <v>0.36</v>
      </c>
      <c r="D313">
        <v>0.26500000000000001</v>
      </c>
      <c r="E313">
        <v>8.5000000000000006E-2</v>
      </c>
      <c r="F313">
        <v>0.1895</v>
      </c>
      <c r="G313">
        <v>7.2499999999999995E-2</v>
      </c>
      <c r="H313">
        <v>5.1499999999999997E-2</v>
      </c>
      <c r="I313">
        <v>5.5E-2</v>
      </c>
      <c r="J313">
        <v>6</v>
      </c>
      <c r="K313">
        <v>14</v>
      </c>
      <c r="L313" t="s">
        <v>72</v>
      </c>
      <c r="M313" t="s">
        <v>73</v>
      </c>
      <c r="N313" t="s">
        <v>74</v>
      </c>
      <c r="O313">
        <v>3</v>
      </c>
      <c r="P313" t="s">
        <v>10</v>
      </c>
      <c r="Q313">
        <v>3.6</v>
      </c>
    </row>
    <row r="314" spans="1:17">
      <c r="A314">
        <v>2981</v>
      </c>
      <c r="B314" t="s">
        <v>75</v>
      </c>
      <c r="C314">
        <v>0.5</v>
      </c>
      <c r="D314">
        <v>0.37</v>
      </c>
      <c r="E314">
        <v>0.115</v>
      </c>
      <c r="F314">
        <v>0.57450000000000001</v>
      </c>
      <c r="G314">
        <v>0.30599999999999999</v>
      </c>
      <c r="H314">
        <v>0.112</v>
      </c>
      <c r="I314">
        <v>0.14099999999999999</v>
      </c>
      <c r="J314">
        <v>7</v>
      </c>
      <c r="K314">
        <v>3</v>
      </c>
      <c r="L314" t="s">
        <v>52</v>
      </c>
      <c r="M314" t="s">
        <v>53</v>
      </c>
      <c r="N314" t="s">
        <v>54</v>
      </c>
      <c r="O314">
        <v>9</v>
      </c>
      <c r="P314" t="s">
        <v>9</v>
      </c>
      <c r="Q314">
        <v>1.9</v>
      </c>
    </row>
    <row r="315" spans="1:17">
      <c r="A315">
        <v>1358</v>
      </c>
      <c r="B315" t="s">
        <v>75</v>
      </c>
      <c r="C315">
        <v>0.6</v>
      </c>
      <c r="D315">
        <v>0.46</v>
      </c>
      <c r="E315">
        <v>0.155</v>
      </c>
      <c r="F315">
        <v>0.95950000000000002</v>
      </c>
      <c r="G315">
        <v>0.44550000000000001</v>
      </c>
      <c r="H315">
        <v>0.189</v>
      </c>
      <c r="I315">
        <v>0.29499999999999998</v>
      </c>
      <c r="J315">
        <v>11</v>
      </c>
      <c r="K315">
        <v>6</v>
      </c>
      <c r="L315" t="s">
        <v>46</v>
      </c>
      <c r="M315" t="s">
        <v>47</v>
      </c>
      <c r="N315" t="s">
        <v>48</v>
      </c>
      <c r="O315">
        <v>2</v>
      </c>
      <c r="P315" t="s">
        <v>5</v>
      </c>
      <c r="Q315">
        <v>18</v>
      </c>
    </row>
    <row r="316" spans="1:17">
      <c r="A316">
        <v>574</v>
      </c>
      <c r="B316" t="s">
        <v>75</v>
      </c>
      <c r="C316">
        <v>0.56999999999999995</v>
      </c>
      <c r="D316">
        <v>0.44</v>
      </c>
      <c r="E316">
        <v>0.14000000000000001</v>
      </c>
      <c r="F316">
        <v>0.95350000000000001</v>
      </c>
      <c r="G316">
        <v>0.3785</v>
      </c>
      <c r="H316">
        <v>0.20100000000000001</v>
      </c>
      <c r="I316">
        <v>0.30499999999999999</v>
      </c>
      <c r="J316">
        <v>17</v>
      </c>
      <c r="K316">
        <v>5</v>
      </c>
      <c r="L316" t="s">
        <v>67</v>
      </c>
      <c r="M316" t="s">
        <v>68</v>
      </c>
      <c r="N316" t="s">
        <v>69</v>
      </c>
      <c r="O316">
        <v>6</v>
      </c>
      <c r="P316" t="s">
        <v>7</v>
      </c>
      <c r="Q316">
        <v>14.1</v>
      </c>
    </row>
    <row r="317" spans="1:17">
      <c r="A317">
        <v>3911</v>
      </c>
      <c r="B317" t="s">
        <v>75</v>
      </c>
      <c r="C317">
        <v>0.45500000000000002</v>
      </c>
      <c r="D317">
        <v>0.35499999999999998</v>
      </c>
      <c r="E317">
        <v>0.13500000000000001</v>
      </c>
      <c r="F317">
        <v>0.47449999999999998</v>
      </c>
      <c r="G317">
        <v>0.1865</v>
      </c>
      <c r="H317">
        <v>9.35E-2</v>
      </c>
      <c r="I317">
        <v>0.16800000000000001</v>
      </c>
      <c r="J317">
        <v>13</v>
      </c>
      <c r="K317">
        <v>13</v>
      </c>
      <c r="L317" t="s">
        <v>43</v>
      </c>
      <c r="M317" t="s">
        <v>44</v>
      </c>
      <c r="N317" t="s">
        <v>45</v>
      </c>
      <c r="O317">
        <v>5</v>
      </c>
      <c r="P317" t="s">
        <v>12</v>
      </c>
      <c r="Q317">
        <v>12.8</v>
      </c>
    </row>
    <row r="318" spans="1:17">
      <c r="A318">
        <v>2177</v>
      </c>
      <c r="B318" t="s">
        <v>75</v>
      </c>
      <c r="C318">
        <v>0.56999999999999995</v>
      </c>
      <c r="D318">
        <v>0.45</v>
      </c>
      <c r="E318">
        <v>0.17</v>
      </c>
      <c r="F318">
        <v>1.0980000000000001</v>
      </c>
      <c r="G318">
        <v>0.41399999999999998</v>
      </c>
      <c r="H318">
        <v>0.187</v>
      </c>
      <c r="I318">
        <v>0.40500000000000003</v>
      </c>
      <c r="J318">
        <v>20</v>
      </c>
      <c r="K318">
        <v>6</v>
      </c>
      <c r="L318" t="s">
        <v>46</v>
      </c>
      <c r="M318" t="s">
        <v>47</v>
      </c>
      <c r="N318" t="s">
        <v>48</v>
      </c>
      <c r="O318">
        <v>9</v>
      </c>
      <c r="P318" t="s">
        <v>9</v>
      </c>
      <c r="Q318">
        <v>1.9</v>
      </c>
    </row>
    <row r="319" spans="1:17">
      <c r="A319">
        <v>240</v>
      </c>
      <c r="B319" t="s">
        <v>75</v>
      </c>
      <c r="C319">
        <v>0.16</v>
      </c>
      <c r="D319">
        <v>0.12</v>
      </c>
      <c r="E319">
        <v>3.5000000000000003E-2</v>
      </c>
      <c r="F319">
        <v>2.1000000000000001E-2</v>
      </c>
      <c r="G319">
        <v>7.4999999999999997E-3</v>
      </c>
      <c r="H319">
        <v>4.4999999999999997E-3</v>
      </c>
      <c r="I319">
        <v>5.0000000000000001E-3</v>
      </c>
      <c r="J319">
        <v>5</v>
      </c>
      <c r="K319">
        <v>8</v>
      </c>
      <c r="L319" t="s">
        <v>55</v>
      </c>
      <c r="M319" t="s">
        <v>56</v>
      </c>
      <c r="N319" t="s">
        <v>57</v>
      </c>
      <c r="O319">
        <v>7</v>
      </c>
      <c r="P319" t="s">
        <v>6</v>
      </c>
      <c r="Q319">
        <v>2.5</v>
      </c>
    </row>
    <row r="320" spans="1:17">
      <c r="A320">
        <v>2419</v>
      </c>
      <c r="B320" t="s">
        <v>75</v>
      </c>
      <c r="C320">
        <v>0.46500000000000002</v>
      </c>
      <c r="D320">
        <v>0.35</v>
      </c>
      <c r="E320">
        <v>0.13</v>
      </c>
      <c r="F320">
        <v>0.49399999999999999</v>
      </c>
      <c r="G320">
        <v>0.19450000000000001</v>
      </c>
      <c r="H320">
        <v>0.10299999999999999</v>
      </c>
      <c r="I320">
        <v>0.155</v>
      </c>
      <c r="J320">
        <v>18</v>
      </c>
      <c r="K320">
        <v>7</v>
      </c>
      <c r="L320" t="s">
        <v>62</v>
      </c>
      <c r="M320" t="s">
        <v>63</v>
      </c>
      <c r="N320" t="s">
        <v>64</v>
      </c>
      <c r="O320">
        <v>3</v>
      </c>
      <c r="P320" t="s">
        <v>10</v>
      </c>
      <c r="Q320">
        <v>3.6</v>
      </c>
    </row>
    <row r="321" spans="1:17">
      <c r="A321">
        <v>1615</v>
      </c>
      <c r="B321" t="s">
        <v>75</v>
      </c>
      <c r="C321">
        <v>0.55000000000000004</v>
      </c>
      <c r="D321">
        <v>0.41499999999999998</v>
      </c>
      <c r="E321">
        <v>0.14499999999999999</v>
      </c>
      <c r="F321">
        <v>0.78149999999999997</v>
      </c>
      <c r="G321">
        <v>0.373</v>
      </c>
      <c r="H321">
        <v>0.16</v>
      </c>
      <c r="I321">
        <v>0.2215</v>
      </c>
      <c r="J321">
        <v>8</v>
      </c>
      <c r="K321">
        <v>4</v>
      </c>
      <c r="L321" t="s">
        <v>40</v>
      </c>
      <c r="M321" t="s">
        <v>41</v>
      </c>
      <c r="N321" t="s">
        <v>42</v>
      </c>
      <c r="O321">
        <v>2</v>
      </c>
      <c r="P321" t="s">
        <v>5</v>
      </c>
      <c r="Q321">
        <v>18</v>
      </c>
    </row>
    <row r="322" spans="1:17">
      <c r="A322">
        <v>2502</v>
      </c>
      <c r="B322" t="s">
        <v>75</v>
      </c>
      <c r="C322">
        <v>0.33</v>
      </c>
      <c r="D322">
        <v>0.26</v>
      </c>
      <c r="E322">
        <v>0.08</v>
      </c>
      <c r="F322">
        <v>0.2</v>
      </c>
      <c r="G322">
        <v>6.25E-2</v>
      </c>
      <c r="H322">
        <v>0.05</v>
      </c>
      <c r="I322">
        <v>7.0000000000000007E-2</v>
      </c>
      <c r="J322">
        <v>9</v>
      </c>
      <c r="K322">
        <v>9</v>
      </c>
      <c r="L322" t="s">
        <v>34</v>
      </c>
      <c r="M322" t="s">
        <v>35</v>
      </c>
      <c r="N322" t="s">
        <v>36</v>
      </c>
      <c r="O322">
        <v>2</v>
      </c>
      <c r="P322" t="s">
        <v>5</v>
      </c>
      <c r="Q322">
        <v>18</v>
      </c>
    </row>
    <row r="323" spans="1:17">
      <c r="A323">
        <v>3530</v>
      </c>
      <c r="B323" t="s">
        <v>75</v>
      </c>
      <c r="C323">
        <v>0.36</v>
      </c>
      <c r="D323">
        <v>0.26500000000000001</v>
      </c>
      <c r="E323">
        <v>7.4999999999999997E-2</v>
      </c>
      <c r="F323">
        <v>0.17849999999999999</v>
      </c>
      <c r="G323">
        <v>7.85E-2</v>
      </c>
      <c r="H323">
        <v>3.5000000000000003E-2</v>
      </c>
      <c r="I323">
        <v>5.3999999999999999E-2</v>
      </c>
      <c r="J323">
        <v>6</v>
      </c>
      <c r="K323">
        <v>11</v>
      </c>
      <c r="L323" t="s">
        <v>65</v>
      </c>
      <c r="M323" t="s">
        <v>66</v>
      </c>
      <c r="N323" t="s">
        <v>45</v>
      </c>
      <c r="O323">
        <v>1</v>
      </c>
      <c r="P323" t="s">
        <v>4</v>
      </c>
      <c r="Q323">
        <v>22.1</v>
      </c>
    </row>
    <row r="324" spans="1:17">
      <c r="A324">
        <v>394</v>
      </c>
      <c r="B324" t="s">
        <v>75</v>
      </c>
      <c r="C324">
        <v>0.36499999999999999</v>
      </c>
      <c r="D324">
        <v>0.29499999999999998</v>
      </c>
      <c r="E324">
        <v>9.5000000000000001E-2</v>
      </c>
      <c r="F324">
        <v>0.25</v>
      </c>
      <c r="G324">
        <v>0.1075</v>
      </c>
      <c r="H324">
        <v>5.45E-2</v>
      </c>
      <c r="I324">
        <v>0.08</v>
      </c>
      <c r="J324">
        <v>9</v>
      </c>
      <c r="K324">
        <v>2</v>
      </c>
      <c r="L324" t="s">
        <v>49</v>
      </c>
      <c r="M324" t="s">
        <v>50</v>
      </c>
      <c r="N324" t="s">
        <v>51</v>
      </c>
      <c r="O324">
        <v>8</v>
      </c>
      <c r="P324" t="s">
        <v>13</v>
      </c>
      <c r="Q324">
        <v>12.3</v>
      </c>
    </row>
    <row r="325" spans="1:17">
      <c r="A325">
        <v>2986</v>
      </c>
      <c r="B325" t="s">
        <v>75</v>
      </c>
      <c r="C325">
        <v>0.53500000000000003</v>
      </c>
      <c r="D325">
        <v>0.4</v>
      </c>
      <c r="E325">
        <v>0.13500000000000001</v>
      </c>
      <c r="F325">
        <v>0.77500000000000002</v>
      </c>
      <c r="G325">
        <v>0.36799999999999999</v>
      </c>
      <c r="H325">
        <v>0.20799999999999999</v>
      </c>
      <c r="I325">
        <v>0.20549999999999999</v>
      </c>
      <c r="J325">
        <v>8</v>
      </c>
      <c r="K325">
        <v>12</v>
      </c>
      <c r="L325" t="s">
        <v>58</v>
      </c>
      <c r="M325" t="s">
        <v>59</v>
      </c>
      <c r="N325" t="s">
        <v>45</v>
      </c>
      <c r="O325">
        <v>6</v>
      </c>
      <c r="P325" t="s">
        <v>7</v>
      </c>
      <c r="Q325">
        <v>14.1</v>
      </c>
    </row>
    <row r="326" spans="1:17">
      <c r="A326">
        <v>1655</v>
      </c>
      <c r="B326" t="s">
        <v>75</v>
      </c>
      <c r="C326">
        <v>0.59499999999999997</v>
      </c>
      <c r="D326">
        <v>0.46</v>
      </c>
      <c r="E326">
        <v>0.15</v>
      </c>
      <c r="F326">
        <v>0.83350000000000002</v>
      </c>
      <c r="G326">
        <v>0.377</v>
      </c>
      <c r="H326">
        <v>0.1925</v>
      </c>
      <c r="I326">
        <v>0.23499999999999999</v>
      </c>
      <c r="J326">
        <v>8</v>
      </c>
      <c r="K326">
        <v>2</v>
      </c>
      <c r="L326" t="s">
        <v>49</v>
      </c>
      <c r="M326" t="s">
        <v>50</v>
      </c>
      <c r="N326" t="s">
        <v>51</v>
      </c>
      <c r="O326">
        <v>6</v>
      </c>
      <c r="P326" t="s">
        <v>7</v>
      </c>
      <c r="Q326">
        <v>14.1</v>
      </c>
    </row>
    <row r="327" spans="1:17">
      <c r="A327">
        <v>193</v>
      </c>
      <c r="B327" t="s">
        <v>75</v>
      </c>
      <c r="C327">
        <v>0.57999999999999996</v>
      </c>
      <c r="D327">
        <v>0.45</v>
      </c>
      <c r="E327">
        <v>0.15</v>
      </c>
      <c r="F327">
        <v>0.92700000000000005</v>
      </c>
      <c r="G327">
        <v>0.27600000000000002</v>
      </c>
      <c r="H327">
        <v>0.18149999999999999</v>
      </c>
      <c r="I327">
        <v>0.36</v>
      </c>
      <c r="J327">
        <v>14</v>
      </c>
      <c r="K327">
        <v>8</v>
      </c>
      <c r="L327" t="s">
        <v>55</v>
      </c>
      <c r="M327" t="s">
        <v>56</v>
      </c>
      <c r="N327" t="s">
        <v>57</v>
      </c>
      <c r="O327">
        <v>5</v>
      </c>
      <c r="P327" t="s">
        <v>12</v>
      </c>
      <c r="Q327">
        <v>12.8</v>
      </c>
    </row>
    <row r="328" spans="1:17">
      <c r="A328">
        <v>2430</v>
      </c>
      <c r="B328" t="s">
        <v>75</v>
      </c>
      <c r="C328">
        <v>0.34</v>
      </c>
      <c r="D328">
        <v>0.255</v>
      </c>
      <c r="E328">
        <v>9.5000000000000001E-2</v>
      </c>
      <c r="F328">
        <v>0.21299999999999999</v>
      </c>
      <c r="G328">
        <v>8.1000000000000003E-2</v>
      </c>
      <c r="H328">
        <v>3.4000000000000002E-2</v>
      </c>
      <c r="I328">
        <v>7.0000000000000007E-2</v>
      </c>
      <c r="J328">
        <v>9</v>
      </c>
      <c r="K328">
        <v>7</v>
      </c>
      <c r="L328" t="s">
        <v>62</v>
      </c>
      <c r="M328" t="s">
        <v>63</v>
      </c>
      <c r="N328" t="s">
        <v>64</v>
      </c>
      <c r="O328">
        <v>7</v>
      </c>
      <c r="P328" t="s">
        <v>6</v>
      </c>
      <c r="Q328">
        <v>2.5</v>
      </c>
    </row>
    <row r="329" spans="1:17">
      <c r="A329">
        <v>7</v>
      </c>
      <c r="B329" t="s">
        <v>75</v>
      </c>
      <c r="C329">
        <v>0.53</v>
      </c>
      <c r="D329">
        <v>0.41499999999999998</v>
      </c>
      <c r="E329">
        <v>0.15</v>
      </c>
      <c r="F329">
        <v>0.77749999999999997</v>
      </c>
      <c r="G329">
        <v>0.23699999999999999</v>
      </c>
      <c r="H329">
        <v>0.14149999999999999</v>
      </c>
      <c r="I329">
        <v>0.33</v>
      </c>
      <c r="J329">
        <v>20</v>
      </c>
      <c r="K329">
        <v>10</v>
      </c>
      <c r="L329" t="s">
        <v>37</v>
      </c>
      <c r="M329" t="s">
        <v>38</v>
      </c>
      <c r="N329" t="s">
        <v>39</v>
      </c>
      <c r="O329">
        <v>2</v>
      </c>
      <c r="P329" t="s">
        <v>5</v>
      </c>
      <c r="Q329">
        <v>18</v>
      </c>
    </row>
    <row r="330" spans="1:17">
      <c r="A330">
        <v>1357</v>
      </c>
      <c r="B330" t="s">
        <v>75</v>
      </c>
      <c r="C330">
        <v>0.6</v>
      </c>
      <c r="D330">
        <v>0.45500000000000002</v>
      </c>
      <c r="E330">
        <v>0.14499999999999999</v>
      </c>
      <c r="F330">
        <v>0.88949999999999996</v>
      </c>
      <c r="G330">
        <v>0.41899999999999998</v>
      </c>
      <c r="H330">
        <v>0.17150000000000001</v>
      </c>
      <c r="I330">
        <v>0.26900000000000002</v>
      </c>
      <c r="J330">
        <v>10</v>
      </c>
      <c r="K330">
        <v>5</v>
      </c>
      <c r="L330" t="s">
        <v>67</v>
      </c>
      <c r="M330" t="s">
        <v>68</v>
      </c>
      <c r="N330" t="s">
        <v>69</v>
      </c>
      <c r="O330">
        <v>1</v>
      </c>
      <c r="P330" t="s">
        <v>4</v>
      </c>
      <c r="Q330">
        <v>22.1</v>
      </c>
    </row>
    <row r="331" spans="1:17">
      <c r="A331">
        <v>2322</v>
      </c>
      <c r="B331" t="s">
        <v>75</v>
      </c>
      <c r="C331">
        <v>0.49</v>
      </c>
      <c r="D331">
        <v>0.39500000000000002</v>
      </c>
      <c r="E331">
        <v>0.13500000000000001</v>
      </c>
      <c r="F331">
        <v>0.55449999999999999</v>
      </c>
      <c r="G331">
        <v>0.21299999999999999</v>
      </c>
      <c r="H331">
        <v>9.2499999999999999E-2</v>
      </c>
      <c r="I331">
        <v>0.215</v>
      </c>
      <c r="J331">
        <v>14</v>
      </c>
      <c r="K331">
        <v>7</v>
      </c>
      <c r="L331" t="s">
        <v>62</v>
      </c>
      <c r="M331" t="s">
        <v>63</v>
      </c>
      <c r="N331" t="s">
        <v>64</v>
      </c>
      <c r="O331">
        <v>3</v>
      </c>
      <c r="P331" t="s">
        <v>10</v>
      </c>
      <c r="Q331">
        <v>3.6</v>
      </c>
    </row>
    <row r="332" spans="1:17">
      <c r="A332">
        <v>3834</v>
      </c>
      <c r="B332" t="s">
        <v>75</v>
      </c>
      <c r="C332">
        <v>0.53500000000000003</v>
      </c>
      <c r="D332">
        <v>0.41</v>
      </c>
      <c r="E332">
        <v>0.15</v>
      </c>
      <c r="F332">
        <v>0.8105</v>
      </c>
      <c r="G332">
        <v>0.34499999999999997</v>
      </c>
      <c r="H332">
        <v>0.187</v>
      </c>
      <c r="I332">
        <v>0.24</v>
      </c>
      <c r="J332">
        <v>11</v>
      </c>
      <c r="K332">
        <v>2</v>
      </c>
      <c r="L332" t="s">
        <v>49</v>
      </c>
      <c r="M332" t="s">
        <v>50</v>
      </c>
      <c r="N332" t="s">
        <v>51</v>
      </c>
      <c r="O332">
        <v>5</v>
      </c>
      <c r="P332" t="s">
        <v>12</v>
      </c>
      <c r="Q332">
        <v>12.8</v>
      </c>
    </row>
    <row r="333" spans="1:17">
      <c r="A333">
        <v>1273</v>
      </c>
      <c r="B333" t="s">
        <v>75</v>
      </c>
      <c r="C333">
        <v>0.47499999999999998</v>
      </c>
      <c r="D333">
        <v>0.35499999999999998</v>
      </c>
      <c r="E333">
        <v>0.1</v>
      </c>
      <c r="F333">
        <v>0.50349999999999995</v>
      </c>
      <c r="G333">
        <v>0.2535</v>
      </c>
      <c r="H333">
        <v>9.0999999999999998E-2</v>
      </c>
      <c r="I333">
        <v>0.14000000000000001</v>
      </c>
      <c r="J333">
        <v>8</v>
      </c>
      <c r="K333">
        <v>3</v>
      </c>
      <c r="L333" t="s">
        <v>52</v>
      </c>
      <c r="M333" t="s">
        <v>53</v>
      </c>
      <c r="N333" t="s">
        <v>54</v>
      </c>
      <c r="O333">
        <v>3</v>
      </c>
      <c r="P333" t="s">
        <v>10</v>
      </c>
      <c r="Q333">
        <v>3.6</v>
      </c>
    </row>
    <row r="334" spans="1:17">
      <c r="A334">
        <v>1496</v>
      </c>
      <c r="B334" t="s">
        <v>75</v>
      </c>
      <c r="C334">
        <v>0.62</v>
      </c>
      <c r="D334">
        <v>0.435</v>
      </c>
      <c r="E334">
        <v>0.155</v>
      </c>
      <c r="F334">
        <v>1.012</v>
      </c>
      <c r="G334">
        <v>0.47699999999999998</v>
      </c>
      <c r="H334">
        <v>0.23599999999999999</v>
      </c>
      <c r="I334">
        <v>0.27500000000000002</v>
      </c>
      <c r="J334">
        <v>8</v>
      </c>
      <c r="K334">
        <v>8</v>
      </c>
      <c r="L334" t="s">
        <v>55</v>
      </c>
      <c r="M334" t="s">
        <v>56</v>
      </c>
      <c r="N334" t="s">
        <v>57</v>
      </c>
      <c r="O334">
        <v>8</v>
      </c>
      <c r="P334" t="s">
        <v>13</v>
      </c>
      <c r="Q334">
        <v>12.3</v>
      </c>
    </row>
    <row r="335" spans="1:17">
      <c r="A335">
        <v>2238</v>
      </c>
      <c r="B335" t="s">
        <v>75</v>
      </c>
      <c r="C335">
        <v>0.58499999999999996</v>
      </c>
      <c r="D335">
        <v>0.46500000000000002</v>
      </c>
      <c r="E335">
        <v>0.19</v>
      </c>
      <c r="F335">
        <v>1.171</v>
      </c>
      <c r="G335">
        <v>0.39050000000000001</v>
      </c>
      <c r="H335">
        <v>0.23549999999999999</v>
      </c>
      <c r="I335">
        <v>0.4</v>
      </c>
      <c r="J335">
        <v>17</v>
      </c>
      <c r="K335">
        <v>15</v>
      </c>
      <c r="L335" t="s">
        <v>60</v>
      </c>
      <c r="M335" t="s">
        <v>61</v>
      </c>
      <c r="N335" t="s">
        <v>45</v>
      </c>
      <c r="O335">
        <v>2</v>
      </c>
      <c r="P335" t="s">
        <v>5</v>
      </c>
      <c r="Q335">
        <v>18</v>
      </c>
    </row>
    <row r="336" spans="1:17">
      <c r="A336">
        <v>4114</v>
      </c>
      <c r="B336" t="s">
        <v>75</v>
      </c>
      <c r="C336">
        <v>0.56000000000000005</v>
      </c>
      <c r="D336">
        <v>0.42</v>
      </c>
      <c r="E336">
        <v>0.14000000000000001</v>
      </c>
      <c r="F336">
        <v>0.83699999999999997</v>
      </c>
      <c r="G336">
        <v>0.41399999999999998</v>
      </c>
      <c r="H336">
        <v>0.214</v>
      </c>
      <c r="I336">
        <v>0.2</v>
      </c>
      <c r="J336">
        <v>8</v>
      </c>
      <c r="K336">
        <v>14</v>
      </c>
      <c r="L336" t="s">
        <v>72</v>
      </c>
      <c r="M336" t="s">
        <v>73</v>
      </c>
      <c r="N336" t="s">
        <v>74</v>
      </c>
      <c r="O336">
        <v>5</v>
      </c>
      <c r="P336" t="s">
        <v>12</v>
      </c>
      <c r="Q336">
        <v>12.8</v>
      </c>
    </row>
    <row r="337" spans="1:17">
      <c r="A337">
        <v>3169</v>
      </c>
      <c r="B337" t="s">
        <v>75</v>
      </c>
      <c r="C337">
        <v>0.60499999999999998</v>
      </c>
      <c r="D337">
        <v>0.47</v>
      </c>
      <c r="E337">
        <v>0.115</v>
      </c>
      <c r="F337">
        <v>1.1140000000000001</v>
      </c>
      <c r="G337">
        <v>0.39250000000000002</v>
      </c>
      <c r="H337">
        <v>0.29099999999999998</v>
      </c>
      <c r="I337">
        <v>0.31</v>
      </c>
      <c r="J337">
        <v>15</v>
      </c>
      <c r="K337">
        <v>13</v>
      </c>
      <c r="L337" t="s">
        <v>43</v>
      </c>
      <c r="M337" t="s">
        <v>44</v>
      </c>
      <c r="N337" t="s">
        <v>45</v>
      </c>
      <c r="O337">
        <v>10</v>
      </c>
      <c r="P337" t="s">
        <v>11</v>
      </c>
      <c r="Q337">
        <v>24.1</v>
      </c>
    </row>
    <row r="338" spans="1:17">
      <c r="A338">
        <v>1336</v>
      </c>
      <c r="B338" t="s">
        <v>75</v>
      </c>
      <c r="C338">
        <v>0.57499999999999996</v>
      </c>
      <c r="D338">
        <v>0.48</v>
      </c>
      <c r="E338">
        <v>0.16500000000000001</v>
      </c>
      <c r="F338">
        <v>1.0780000000000001</v>
      </c>
      <c r="G338">
        <v>0.51100000000000001</v>
      </c>
      <c r="H338">
        <v>0.20949999999999999</v>
      </c>
      <c r="I338">
        <v>0.30599999999999999</v>
      </c>
      <c r="J338">
        <v>9</v>
      </c>
      <c r="K338">
        <v>7</v>
      </c>
      <c r="L338" t="s">
        <v>62</v>
      </c>
      <c r="M338" t="s">
        <v>63</v>
      </c>
      <c r="N338" t="s">
        <v>64</v>
      </c>
      <c r="O338">
        <v>3</v>
      </c>
      <c r="P338" t="s">
        <v>10</v>
      </c>
      <c r="Q338">
        <v>3.6</v>
      </c>
    </row>
    <row r="339" spans="1:17">
      <c r="A339">
        <v>3258</v>
      </c>
      <c r="B339" t="s">
        <v>75</v>
      </c>
      <c r="C339">
        <v>0.505</v>
      </c>
      <c r="D339">
        <v>0.38500000000000001</v>
      </c>
      <c r="E339">
        <v>0.11</v>
      </c>
      <c r="F339">
        <v>0.65500000000000003</v>
      </c>
      <c r="G339">
        <v>0.31850000000000001</v>
      </c>
      <c r="H339">
        <v>0.15</v>
      </c>
      <c r="I339">
        <v>0.185</v>
      </c>
      <c r="J339">
        <v>9</v>
      </c>
      <c r="K339">
        <v>4</v>
      </c>
      <c r="L339" t="s">
        <v>40</v>
      </c>
      <c r="M339" t="s">
        <v>41</v>
      </c>
      <c r="N339" t="s">
        <v>42</v>
      </c>
      <c r="O339">
        <v>8</v>
      </c>
      <c r="P339" t="s">
        <v>13</v>
      </c>
      <c r="Q339">
        <v>12.3</v>
      </c>
    </row>
    <row r="340" spans="1:17">
      <c r="A340">
        <v>3452</v>
      </c>
      <c r="B340" t="s">
        <v>75</v>
      </c>
      <c r="C340">
        <v>0.55000000000000004</v>
      </c>
      <c r="D340">
        <v>0.44</v>
      </c>
      <c r="E340">
        <v>0.155</v>
      </c>
      <c r="F340">
        <v>0.91549999999999998</v>
      </c>
      <c r="G340">
        <v>0.36449999999999999</v>
      </c>
      <c r="H340">
        <v>0.19500000000000001</v>
      </c>
      <c r="I340">
        <v>0.25</v>
      </c>
      <c r="J340">
        <v>8</v>
      </c>
      <c r="K340">
        <v>5</v>
      </c>
      <c r="L340" t="s">
        <v>67</v>
      </c>
      <c r="M340" t="s">
        <v>68</v>
      </c>
      <c r="N340" t="s">
        <v>69</v>
      </c>
      <c r="O340">
        <v>5</v>
      </c>
      <c r="P340" t="s">
        <v>12</v>
      </c>
      <c r="Q340">
        <v>12.8</v>
      </c>
    </row>
    <row r="341" spans="1:17">
      <c r="A341">
        <v>993</v>
      </c>
      <c r="B341" t="s">
        <v>75</v>
      </c>
      <c r="C341">
        <v>0.57999999999999996</v>
      </c>
      <c r="D341">
        <v>0.46</v>
      </c>
      <c r="E341">
        <v>0.18</v>
      </c>
      <c r="F341">
        <v>1.0515000000000001</v>
      </c>
      <c r="G341">
        <v>0.40949999999999998</v>
      </c>
      <c r="H341">
        <v>0.25950000000000001</v>
      </c>
      <c r="I341">
        <v>0.27600000000000002</v>
      </c>
      <c r="J341">
        <v>8</v>
      </c>
      <c r="K341">
        <v>6</v>
      </c>
      <c r="L341" t="s">
        <v>46</v>
      </c>
      <c r="M341" t="s">
        <v>47</v>
      </c>
      <c r="N341" t="s">
        <v>48</v>
      </c>
      <c r="O341">
        <v>2</v>
      </c>
      <c r="P341" t="s">
        <v>5</v>
      </c>
      <c r="Q341">
        <v>18</v>
      </c>
    </row>
    <row r="342" spans="1:17">
      <c r="A342">
        <v>3537</v>
      </c>
      <c r="B342" t="s">
        <v>75</v>
      </c>
      <c r="C342">
        <v>0.42499999999999999</v>
      </c>
      <c r="D342">
        <v>0.32500000000000001</v>
      </c>
      <c r="E342">
        <v>0.11</v>
      </c>
      <c r="F342">
        <v>0.40500000000000003</v>
      </c>
      <c r="G342">
        <v>0.16950000000000001</v>
      </c>
      <c r="H342">
        <v>9.1999999999999998E-2</v>
      </c>
      <c r="I342">
        <v>0.1065</v>
      </c>
      <c r="J342">
        <v>8</v>
      </c>
      <c r="K342">
        <v>7</v>
      </c>
      <c r="L342" t="s">
        <v>62</v>
      </c>
      <c r="M342" t="s">
        <v>63</v>
      </c>
      <c r="N342" t="s">
        <v>64</v>
      </c>
      <c r="O342">
        <v>3</v>
      </c>
      <c r="P342" t="s">
        <v>10</v>
      </c>
      <c r="Q342">
        <v>3.6</v>
      </c>
    </row>
    <row r="343" spans="1:17">
      <c r="A343">
        <v>4074</v>
      </c>
      <c r="B343" t="s">
        <v>75</v>
      </c>
      <c r="C343">
        <v>0.51500000000000001</v>
      </c>
      <c r="D343">
        <v>0.39500000000000002</v>
      </c>
      <c r="E343">
        <v>0.125</v>
      </c>
      <c r="F343">
        <v>0.58050000000000002</v>
      </c>
      <c r="G343">
        <v>0.23649999999999999</v>
      </c>
      <c r="H343">
        <v>0.1075</v>
      </c>
      <c r="I343">
        <v>0.19</v>
      </c>
      <c r="J343">
        <v>9</v>
      </c>
      <c r="K343">
        <v>11</v>
      </c>
      <c r="L343" t="s">
        <v>65</v>
      </c>
      <c r="M343" t="s">
        <v>66</v>
      </c>
      <c r="N343" t="s">
        <v>45</v>
      </c>
      <c r="O343">
        <v>1</v>
      </c>
      <c r="P343" t="s">
        <v>4</v>
      </c>
      <c r="Q343">
        <v>22.1</v>
      </c>
    </row>
    <row r="344" spans="1:17">
      <c r="A344">
        <v>2168</v>
      </c>
      <c r="B344" t="s">
        <v>75</v>
      </c>
      <c r="C344">
        <v>0.37</v>
      </c>
      <c r="D344">
        <v>0.27500000000000002</v>
      </c>
      <c r="E344">
        <v>8.5000000000000006E-2</v>
      </c>
      <c r="F344">
        <v>0.24049999999999999</v>
      </c>
      <c r="G344">
        <v>0.104</v>
      </c>
      <c r="H344">
        <v>5.3499999999999999E-2</v>
      </c>
      <c r="I344">
        <v>7.0000000000000007E-2</v>
      </c>
      <c r="J344">
        <v>5</v>
      </c>
      <c r="K344">
        <v>2</v>
      </c>
      <c r="L344" t="s">
        <v>49</v>
      </c>
      <c r="M344" t="s">
        <v>50</v>
      </c>
      <c r="N344" t="s">
        <v>51</v>
      </c>
      <c r="O344">
        <v>5</v>
      </c>
      <c r="P344" t="s">
        <v>12</v>
      </c>
      <c r="Q344">
        <v>12.8</v>
      </c>
    </row>
    <row r="345" spans="1:17">
      <c r="A345">
        <v>627</v>
      </c>
      <c r="B345" t="s">
        <v>75</v>
      </c>
      <c r="C345">
        <v>0.42499999999999999</v>
      </c>
      <c r="D345">
        <v>0.33500000000000002</v>
      </c>
      <c r="E345">
        <v>9.5000000000000001E-2</v>
      </c>
      <c r="F345">
        <v>0.32200000000000001</v>
      </c>
      <c r="G345">
        <v>0.1205</v>
      </c>
      <c r="H345">
        <v>6.0999999999999999E-2</v>
      </c>
      <c r="I345">
        <v>0.125</v>
      </c>
      <c r="J345">
        <v>10</v>
      </c>
      <c r="K345">
        <v>8</v>
      </c>
      <c r="L345" t="s">
        <v>55</v>
      </c>
      <c r="M345" t="s">
        <v>56</v>
      </c>
      <c r="N345" t="s">
        <v>57</v>
      </c>
      <c r="O345">
        <v>6</v>
      </c>
      <c r="P345" t="s">
        <v>7</v>
      </c>
      <c r="Q345">
        <v>14.1</v>
      </c>
    </row>
    <row r="346" spans="1:17">
      <c r="A346">
        <v>1494</v>
      </c>
      <c r="B346" t="s">
        <v>75</v>
      </c>
      <c r="C346">
        <v>0.61499999999999999</v>
      </c>
      <c r="D346">
        <v>0.47499999999999998</v>
      </c>
      <c r="E346">
        <v>0.13</v>
      </c>
      <c r="F346">
        <v>0.84250000000000003</v>
      </c>
      <c r="G346">
        <v>0.35299999999999998</v>
      </c>
      <c r="H346">
        <v>0.1915</v>
      </c>
      <c r="I346">
        <v>0.251</v>
      </c>
      <c r="J346">
        <v>8</v>
      </c>
      <c r="K346">
        <v>3</v>
      </c>
      <c r="L346" t="s">
        <v>52</v>
      </c>
      <c r="M346" t="s">
        <v>53</v>
      </c>
      <c r="N346" t="s">
        <v>54</v>
      </c>
      <c r="O346">
        <v>1</v>
      </c>
      <c r="P346" t="s">
        <v>4</v>
      </c>
      <c r="Q346">
        <v>22.1</v>
      </c>
    </row>
    <row r="347" spans="1:17">
      <c r="A347">
        <v>1375</v>
      </c>
      <c r="B347" t="s">
        <v>75</v>
      </c>
      <c r="C347">
        <v>0.61499999999999999</v>
      </c>
      <c r="D347">
        <v>0.48</v>
      </c>
      <c r="E347">
        <v>0.17499999999999999</v>
      </c>
      <c r="F347">
        <v>1.1180000000000001</v>
      </c>
      <c r="G347">
        <v>0.44600000000000001</v>
      </c>
      <c r="H347">
        <v>0.31950000000000001</v>
      </c>
      <c r="I347">
        <v>0.3</v>
      </c>
      <c r="J347">
        <v>9</v>
      </c>
      <c r="K347">
        <v>5</v>
      </c>
      <c r="L347" t="s">
        <v>67</v>
      </c>
      <c r="M347" t="s">
        <v>68</v>
      </c>
      <c r="N347" t="s">
        <v>69</v>
      </c>
      <c r="O347">
        <v>6</v>
      </c>
      <c r="P347" t="s">
        <v>7</v>
      </c>
      <c r="Q347">
        <v>14.1</v>
      </c>
    </row>
    <row r="348" spans="1:17">
      <c r="A348">
        <v>3846</v>
      </c>
      <c r="B348" t="s">
        <v>75</v>
      </c>
      <c r="C348">
        <v>0.45500000000000002</v>
      </c>
      <c r="D348">
        <v>0.35</v>
      </c>
      <c r="E348">
        <v>0.105</v>
      </c>
      <c r="F348">
        <v>0.41599999999999998</v>
      </c>
      <c r="G348">
        <v>0.16250000000000001</v>
      </c>
      <c r="H348">
        <v>9.7000000000000003E-2</v>
      </c>
      <c r="I348">
        <v>0.14499999999999999</v>
      </c>
      <c r="J348">
        <v>11</v>
      </c>
      <c r="K348">
        <v>13</v>
      </c>
      <c r="L348" t="s">
        <v>43</v>
      </c>
      <c r="M348" t="s">
        <v>44</v>
      </c>
      <c r="N348" t="s">
        <v>45</v>
      </c>
      <c r="O348">
        <v>6</v>
      </c>
      <c r="P348" t="s">
        <v>7</v>
      </c>
      <c r="Q348">
        <v>14.1</v>
      </c>
    </row>
    <row r="349" spans="1:17">
      <c r="A349">
        <v>3256</v>
      </c>
      <c r="B349" t="s">
        <v>75</v>
      </c>
      <c r="C349">
        <v>0.3</v>
      </c>
      <c r="D349">
        <v>0.23</v>
      </c>
      <c r="E349">
        <v>7.4999999999999997E-2</v>
      </c>
      <c r="F349">
        <v>0.15</v>
      </c>
      <c r="G349">
        <v>6.0499999999999998E-2</v>
      </c>
      <c r="H349">
        <v>4.2000000000000003E-2</v>
      </c>
      <c r="I349">
        <v>4.4999999999999998E-2</v>
      </c>
      <c r="J349">
        <v>5</v>
      </c>
      <c r="K349">
        <v>15</v>
      </c>
      <c r="L349" t="s">
        <v>60</v>
      </c>
      <c r="M349" t="s">
        <v>61</v>
      </c>
      <c r="N349" t="s">
        <v>45</v>
      </c>
      <c r="O349">
        <v>7</v>
      </c>
      <c r="P349" t="s">
        <v>6</v>
      </c>
      <c r="Q349">
        <v>2.5</v>
      </c>
    </row>
    <row r="350" spans="1:17">
      <c r="A350">
        <v>653</v>
      </c>
      <c r="B350" t="s">
        <v>75</v>
      </c>
      <c r="C350">
        <v>0.47</v>
      </c>
      <c r="D350">
        <v>0.35</v>
      </c>
      <c r="E350">
        <v>0.13</v>
      </c>
      <c r="F350">
        <v>0.46600000000000003</v>
      </c>
      <c r="G350">
        <v>0.1845</v>
      </c>
      <c r="H350">
        <v>9.9000000000000005E-2</v>
      </c>
      <c r="I350">
        <v>0.14499999999999999</v>
      </c>
      <c r="J350">
        <v>11</v>
      </c>
      <c r="K350">
        <v>5</v>
      </c>
      <c r="L350" t="s">
        <v>67</v>
      </c>
      <c r="M350" t="s">
        <v>68</v>
      </c>
      <c r="N350" t="s">
        <v>69</v>
      </c>
      <c r="O350">
        <v>4</v>
      </c>
      <c r="P350" t="s">
        <v>8</v>
      </c>
      <c r="Q350">
        <v>6.1</v>
      </c>
    </row>
    <row r="351" spans="1:17">
      <c r="A351">
        <v>1340</v>
      </c>
      <c r="B351" t="s">
        <v>75</v>
      </c>
      <c r="C351">
        <v>0.57999999999999996</v>
      </c>
      <c r="D351">
        <v>0.44500000000000001</v>
      </c>
      <c r="E351">
        <v>0.15</v>
      </c>
      <c r="F351">
        <v>0.85799999999999998</v>
      </c>
      <c r="G351">
        <v>0.4</v>
      </c>
      <c r="H351">
        <v>0.156</v>
      </c>
      <c r="I351">
        <v>0.253</v>
      </c>
      <c r="J351">
        <v>8</v>
      </c>
      <c r="K351">
        <v>13</v>
      </c>
      <c r="L351" t="s">
        <v>43</v>
      </c>
      <c r="M351" t="s">
        <v>44</v>
      </c>
      <c r="N351" t="s">
        <v>45</v>
      </c>
      <c r="O351">
        <v>7</v>
      </c>
      <c r="P351" t="s">
        <v>6</v>
      </c>
      <c r="Q351">
        <v>2.5</v>
      </c>
    </row>
    <row r="352" spans="1:17">
      <c r="A352">
        <v>462</v>
      </c>
      <c r="B352" t="s">
        <v>75</v>
      </c>
      <c r="C352">
        <v>0.58499999999999996</v>
      </c>
      <c r="D352">
        <v>0.46500000000000002</v>
      </c>
      <c r="E352">
        <v>0.17</v>
      </c>
      <c r="F352">
        <v>0.99150000000000005</v>
      </c>
      <c r="G352">
        <v>0.38650000000000001</v>
      </c>
      <c r="H352">
        <v>0.224</v>
      </c>
      <c r="I352">
        <v>0.26500000000000001</v>
      </c>
      <c r="J352">
        <v>12</v>
      </c>
      <c r="K352">
        <v>9</v>
      </c>
      <c r="L352" t="s">
        <v>34</v>
      </c>
      <c r="M352" t="s">
        <v>35</v>
      </c>
      <c r="N352" t="s">
        <v>36</v>
      </c>
      <c r="O352">
        <v>10</v>
      </c>
      <c r="P352" t="s">
        <v>11</v>
      </c>
      <c r="Q352">
        <v>24.1</v>
      </c>
    </row>
    <row r="353" spans="1:17">
      <c r="A353">
        <v>1554</v>
      </c>
      <c r="B353" t="s">
        <v>75</v>
      </c>
      <c r="C353">
        <v>0.39</v>
      </c>
      <c r="D353">
        <v>0.28999999999999998</v>
      </c>
      <c r="E353">
        <v>0.1</v>
      </c>
      <c r="F353">
        <v>0.2225</v>
      </c>
      <c r="G353">
        <v>9.5000000000000001E-2</v>
      </c>
      <c r="H353">
        <v>4.65E-2</v>
      </c>
      <c r="I353">
        <v>7.2999999999999995E-2</v>
      </c>
      <c r="J353">
        <v>7</v>
      </c>
      <c r="K353">
        <v>8</v>
      </c>
      <c r="L353" t="s">
        <v>55</v>
      </c>
      <c r="M353" t="s">
        <v>56</v>
      </c>
      <c r="N353" t="s">
        <v>57</v>
      </c>
      <c r="O353">
        <v>7</v>
      </c>
      <c r="P353" t="s">
        <v>6</v>
      </c>
      <c r="Q353">
        <v>2.5</v>
      </c>
    </row>
    <row r="354" spans="1:17">
      <c r="A354">
        <v>2050</v>
      </c>
      <c r="B354" t="s">
        <v>75</v>
      </c>
      <c r="C354">
        <v>0.44500000000000001</v>
      </c>
      <c r="D354">
        <v>0.32</v>
      </c>
      <c r="E354">
        <v>0.12</v>
      </c>
      <c r="F354">
        <v>0.378</v>
      </c>
      <c r="G354">
        <v>0.152</v>
      </c>
      <c r="H354">
        <v>8.2500000000000004E-2</v>
      </c>
      <c r="I354">
        <v>0.12</v>
      </c>
      <c r="J354">
        <v>8</v>
      </c>
      <c r="K354">
        <v>8</v>
      </c>
      <c r="L354" t="s">
        <v>55</v>
      </c>
      <c r="M354" t="s">
        <v>56</v>
      </c>
      <c r="N354" t="s">
        <v>57</v>
      </c>
      <c r="O354">
        <v>5</v>
      </c>
      <c r="P354" t="s">
        <v>12</v>
      </c>
      <c r="Q354">
        <v>12.8</v>
      </c>
    </row>
    <row r="355" spans="1:17">
      <c r="A355">
        <v>2772</v>
      </c>
      <c r="B355" t="s">
        <v>75</v>
      </c>
      <c r="C355">
        <v>0.57499999999999996</v>
      </c>
      <c r="D355">
        <v>0.435</v>
      </c>
      <c r="E355">
        <v>0.155</v>
      </c>
      <c r="F355">
        <v>0.89749999999999996</v>
      </c>
      <c r="G355">
        <v>0.41149999999999998</v>
      </c>
      <c r="H355">
        <v>0.23250000000000001</v>
      </c>
      <c r="I355">
        <v>0.23</v>
      </c>
      <c r="J355">
        <v>9</v>
      </c>
      <c r="K355">
        <v>2</v>
      </c>
      <c r="L355" t="s">
        <v>49</v>
      </c>
      <c r="M355" t="s">
        <v>50</v>
      </c>
      <c r="N355" t="s">
        <v>51</v>
      </c>
      <c r="O355">
        <v>2</v>
      </c>
      <c r="P355" t="s">
        <v>5</v>
      </c>
      <c r="Q355">
        <v>18</v>
      </c>
    </row>
    <row r="356" spans="1:17">
      <c r="A356">
        <v>2829</v>
      </c>
      <c r="B356" t="s">
        <v>75</v>
      </c>
      <c r="C356">
        <v>0.52</v>
      </c>
      <c r="D356">
        <v>0.4</v>
      </c>
      <c r="E356">
        <v>0.105</v>
      </c>
      <c r="F356">
        <v>0.872</v>
      </c>
      <c r="G356">
        <v>0.45150000000000001</v>
      </c>
      <c r="H356">
        <v>0.1615</v>
      </c>
      <c r="I356">
        <v>0.19850000000000001</v>
      </c>
      <c r="J356">
        <v>9</v>
      </c>
      <c r="K356">
        <v>6</v>
      </c>
      <c r="L356" t="s">
        <v>46</v>
      </c>
      <c r="M356" t="s">
        <v>47</v>
      </c>
      <c r="N356" t="s">
        <v>48</v>
      </c>
      <c r="O356">
        <v>10</v>
      </c>
      <c r="P356" t="s">
        <v>11</v>
      </c>
      <c r="Q356">
        <v>24.1</v>
      </c>
    </row>
    <row r="357" spans="1:17">
      <c r="A357">
        <v>603</v>
      </c>
      <c r="B357" t="s">
        <v>75</v>
      </c>
      <c r="C357">
        <v>0.39</v>
      </c>
      <c r="D357">
        <v>0.3</v>
      </c>
      <c r="E357">
        <v>0.1</v>
      </c>
      <c r="F357">
        <v>0.26500000000000001</v>
      </c>
      <c r="G357">
        <v>0.1075</v>
      </c>
      <c r="H357">
        <v>0.06</v>
      </c>
      <c r="I357">
        <v>8.6499999999999994E-2</v>
      </c>
      <c r="J357">
        <v>13</v>
      </c>
      <c r="K357">
        <v>3</v>
      </c>
      <c r="L357" t="s">
        <v>52</v>
      </c>
      <c r="M357" t="s">
        <v>53</v>
      </c>
      <c r="N357" t="s">
        <v>54</v>
      </c>
      <c r="O357">
        <v>5</v>
      </c>
      <c r="P357" t="s">
        <v>12</v>
      </c>
      <c r="Q357">
        <v>12.8</v>
      </c>
    </row>
    <row r="358" spans="1:17">
      <c r="A358">
        <v>3493</v>
      </c>
      <c r="B358" t="s">
        <v>75</v>
      </c>
      <c r="C358">
        <v>0.55500000000000005</v>
      </c>
      <c r="D358">
        <v>0.44</v>
      </c>
      <c r="E358">
        <v>0.14499999999999999</v>
      </c>
      <c r="F358">
        <v>0.85</v>
      </c>
      <c r="G358">
        <v>0.41649999999999998</v>
      </c>
      <c r="H358">
        <v>0.16850000000000001</v>
      </c>
      <c r="I358">
        <v>0.23</v>
      </c>
      <c r="J358">
        <v>8</v>
      </c>
      <c r="K358">
        <v>4</v>
      </c>
      <c r="L358" t="s">
        <v>40</v>
      </c>
      <c r="M358" t="s">
        <v>41</v>
      </c>
      <c r="N358" t="s">
        <v>42</v>
      </c>
      <c r="O358">
        <v>9</v>
      </c>
      <c r="P358" t="s">
        <v>9</v>
      </c>
      <c r="Q358">
        <v>1.9</v>
      </c>
    </row>
    <row r="359" spans="1:17">
      <c r="A359">
        <v>2357</v>
      </c>
      <c r="B359" t="s">
        <v>75</v>
      </c>
      <c r="C359">
        <v>0.57499999999999996</v>
      </c>
      <c r="D359">
        <v>0.47</v>
      </c>
      <c r="E359">
        <v>0.15</v>
      </c>
      <c r="F359">
        <v>1.1415</v>
      </c>
      <c r="G359">
        <v>0.45150000000000001</v>
      </c>
      <c r="H359">
        <v>0.20399999999999999</v>
      </c>
      <c r="I359">
        <v>0.4</v>
      </c>
      <c r="J359">
        <v>13</v>
      </c>
      <c r="K359">
        <v>1</v>
      </c>
      <c r="L359" t="s">
        <v>70</v>
      </c>
      <c r="M359" t="s">
        <v>71</v>
      </c>
      <c r="N359" t="s">
        <v>45</v>
      </c>
      <c r="O359">
        <v>8</v>
      </c>
      <c r="P359" t="s">
        <v>13</v>
      </c>
      <c r="Q359">
        <v>12.3</v>
      </c>
    </row>
    <row r="360" spans="1:17">
      <c r="A360">
        <v>1220</v>
      </c>
      <c r="B360" t="s">
        <v>75</v>
      </c>
      <c r="C360">
        <v>0.32500000000000001</v>
      </c>
      <c r="D360">
        <v>0.22500000000000001</v>
      </c>
      <c r="E360">
        <v>7.4999999999999997E-2</v>
      </c>
      <c r="F360">
        <v>0.13900000000000001</v>
      </c>
      <c r="G360">
        <v>5.6500000000000002E-2</v>
      </c>
      <c r="H360">
        <v>3.2000000000000001E-2</v>
      </c>
      <c r="I360">
        <v>0.09</v>
      </c>
      <c r="J360">
        <v>6</v>
      </c>
      <c r="K360">
        <v>15</v>
      </c>
      <c r="L360" t="s">
        <v>60</v>
      </c>
      <c r="M360" t="s">
        <v>61</v>
      </c>
      <c r="N360" t="s">
        <v>45</v>
      </c>
      <c r="O360">
        <v>10</v>
      </c>
      <c r="P360" t="s">
        <v>11</v>
      </c>
      <c r="Q360">
        <v>24.1</v>
      </c>
    </row>
    <row r="361" spans="1:17">
      <c r="A361">
        <v>936</v>
      </c>
      <c r="B361" t="s">
        <v>75</v>
      </c>
      <c r="C361">
        <v>0.45</v>
      </c>
      <c r="D361">
        <v>0.34499999999999997</v>
      </c>
      <c r="E361">
        <v>0.11</v>
      </c>
      <c r="F361">
        <v>0.47</v>
      </c>
      <c r="G361">
        <v>0.23549999999999999</v>
      </c>
      <c r="H361">
        <v>8.5500000000000007E-2</v>
      </c>
      <c r="I361">
        <v>0.1135</v>
      </c>
      <c r="J361">
        <v>7</v>
      </c>
      <c r="K361">
        <v>5</v>
      </c>
      <c r="L361" t="s">
        <v>67</v>
      </c>
      <c r="M361" t="s">
        <v>68</v>
      </c>
      <c r="N361" t="s">
        <v>69</v>
      </c>
      <c r="O361">
        <v>2</v>
      </c>
      <c r="P361" t="s">
        <v>5</v>
      </c>
      <c r="Q361">
        <v>18</v>
      </c>
    </row>
    <row r="362" spans="1:17">
      <c r="A362">
        <v>937</v>
      </c>
      <c r="B362" t="s">
        <v>75</v>
      </c>
      <c r="C362">
        <v>0.45</v>
      </c>
      <c r="D362">
        <v>0.33500000000000002</v>
      </c>
      <c r="E362">
        <v>0.105</v>
      </c>
      <c r="F362">
        <v>0.44700000000000001</v>
      </c>
      <c r="G362">
        <v>0.23350000000000001</v>
      </c>
      <c r="H362">
        <v>0.153</v>
      </c>
      <c r="I362">
        <v>0.11899999999999999</v>
      </c>
      <c r="J362">
        <v>7</v>
      </c>
      <c r="K362">
        <v>6</v>
      </c>
      <c r="L362" t="s">
        <v>46</v>
      </c>
      <c r="M362" t="s">
        <v>47</v>
      </c>
      <c r="N362" t="s">
        <v>48</v>
      </c>
      <c r="O362">
        <v>2</v>
      </c>
      <c r="P362" t="s">
        <v>5</v>
      </c>
      <c r="Q362">
        <v>18</v>
      </c>
    </row>
    <row r="363" spans="1:17">
      <c r="A363">
        <v>1102</v>
      </c>
      <c r="B363" t="s">
        <v>75</v>
      </c>
      <c r="C363">
        <v>0.5</v>
      </c>
      <c r="D363">
        <v>0.38</v>
      </c>
      <c r="E363">
        <v>0.125</v>
      </c>
      <c r="F363">
        <v>0.51900000000000002</v>
      </c>
      <c r="G363">
        <v>0.2485</v>
      </c>
      <c r="H363">
        <v>0.1135</v>
      </c>
      <c r="I363">
        <v>0.13400000000000001</v>
      </c>
      <c r="J363">
        <v>8</v>
      </c>
      <c r="K363">
        <v>9</v>
      </c>
      <c r="L363" t="s">
        <v>34</v>
      </c>
      <c r="M363" t="s">
        <v>35</v>
      </c>
      <c r="N363" t="s">
        <v>36</v>
      </c>
      <c r="O363">
        <v>10</v>
      </c>
      <c r="P363" t="s">
        <v>11</v>
      </c>
      <c r="Q363">
        <v>24.1</v>
      </c>
    </row>
    <row r="364" spans="1:17">
      <c r="A364">
        <v>2922</v>
      </c>
      <c r="B364" t="s">
        <v>75</v>
      </c>
      <c r="C364">
        <v>0.6</v>
      </c>
      <c r="D364">
        <v>0.45</v>
      </c>
      <c r="E364">
        <v>0.15</v>
      </c>
      <c r="F364">
        <v>0.96250000000000002</v>
      </c>
      <c r="G364">
        <v>0.4375</v>
      </c>
      <c r="H364">
        <v>0.2225</v>
      </c>
      <c r="I364">
        <v>0.27750000000000002</v>
      </c>
      <c r="J364">
        <v>9</v>
      </c>
      <c r="K364">
        <v>7</v>
      </c>
      <c r="L364" t="s">
        <v>62</v>
      </c>
      <c r="M364" t="s">
        <v>63</v>
      </c>
      <c r="N364" t="s">
        <v>64</v>
      </c>
      <c r="O364">
        <v>4</v>
      </c>
      <c r="P364" t="s">
        <v>8</v>
      </c>
      <c r="Q364">
        <v>6.1</v>
      </c>
    </row>
    <row r="365" spans="1:17">
      <c r="A365">
        <v>1605</v>
      </c>
      <c r="B365" t="s">
        <v>75</v>
      </c>
      <c r="C365">
        <v>0.54</v>
      </c>
      <c r="D365">
        <v>0.45500000000000002</v>
      </c>
      <c r="E365">
        <v>0.14000000000000001</v>
      </c>
      <c r="F365">
        <v>0.97199999999999998</v>
      </c>
      <c r="G365">
        <v>0.41899999999999998</v>
      </c>
      <c r="H365">
        <v>0.255</v>
      </c>
      <c r="I365">
        <v>0.26900000000000002</v>
      </c>
      <c r="J365">
        <v>10</v>
      </c>
      <c r="K365">
        <v>4</v>
      </c>
      <c r="L365" t="s">
        <v>40</v>
      </c>
      <c r="M365" t="s">
        <v>41</v>
      </c>
      <c r="N365" t="s">
        <v>42</v>
      </c>
      <c r="O365">
        <v>10</v>
      </c>
      <c r="P365" t="s">
        <v>11</v>
      </c>
      <c r="Q365">
        <v>24.1</v>
      </c>
    </row>
    <row r="366" spans="1:17">
      <c r="A366">
        <v>1119</v>
      </c>
      <c r="B366" t="s">
        <v>75</v>
      </c>
      <c r="C366">
        <v>0.53500000000000003</v>
      </c>
      <c r="D366">
        <v>0.39</v>
      </c>
      <c r="E366">
        <v>0.125</v>
      </c>
      <c r="F366">
        <v>0.59899999999999998</v>
      </c>
      <c r="G366">
        <v>0.25950000000000001</v>
      </c>
      <c r="H366">
        <v>0.14899999999999999</v>
      </c>
      <c r="I366">
        <v>0.16900000000000001</v>
      </c>
      <c r="J366">
        <v>9</v>
      </c>
      <c r="K366">
        <v>2</v>
      </c>
      <c r="L366" t="s">
        <v>49</v>
      </c>
      <c r="M366" t="s">
        <v>50</v>
      </c>
      <c r="N366" t="s">
        <v>51</v>
      </c>
      <c r="O366">
        <v>8</v>
      </c>
      <c r="P366" t="s">
        <v>13</v>
      </c>
      <c r="Q366">
        <v>12.3</v>
      </c>
    </row>
    <row r="367" spans="1:17">
      <c r="A367">
        <v>1662</v>
      </c>
      <c r="B367" t="s">
        <v>75</v>
      </c>
      <c r="C367">
        <v>0.6</v>
      </c>
      <c r="D367">
        <v>0.47</v>
      </c>
      <c r="E367">
        <v>0.16</v>
      </c>
      <c r="F367">
        <v>1.194</v>
      </c>
      <c r="G367">
        <v>0.5625</v>
      </c>
      <c r="H367">
        <v>0.30449999999999999</v>
      </c>
      <c r="I367">
        <v>0.26350000000000001</v>
      </c>
      <c r="J367">
        <v>10</v>
      </c>
      <c r="K367">
        <v>11</v>
      </c>
      <c r="L367" t="s">
        <v>65</v>
      </c>
      <c r="M367" t="s">
        <v>66</v>
      </c>
      <c r="N367" t="s">
        <v>45</v>
      </c>
      <c r="O367">
        <v>6</v>
      </c>
      <c r="P367" t="s">
        <v>7</v>
      </c>
      <c r="Q367">
        <v>14.1</v>
      </c>
    </row>
    <row r="368" spans="1:17">
      <c r="A368">
        <v>3016</v>
      </c>
      <c r="B368" t="s">
        <v>75</v>
      </c>
      <c r="C368">
        <v>0.42</v>
      </c>
      <c r="D368">
        <v>0.32</v>
      </c>
      <c r="E368">
        <v>0.11</v>
      </c>
      <c r="F368">
        <v>0.309</v>
      </c>
      <c r="G368">
        <v>0.115</v>
      </c>
      <c r="H368">
        <v>6.4500000000000002E-2</v>
      </c>
      <c r="I368">
        <v>9.4500000000000001E-2</v>
      </c>
      <c r="J368">
        <v>6</v>
      </c>
      <c r="K368">
        <v>3</v>
      </c>
      <c r="L368" t="s">
        <v>52</v>
      </c>
      <c r="M368" t="s">
        <v>53</v>
      </c>
      <c r="N368" t="s">
        <v>54</v>
      </c>
      <c r="O368">
        <v>10</v>
      </c>
      <c r="P368" t="s">
        <v>11</v>
      </c>
      <c r="Q368">
        <v>24.1</v>
      </c>
    </row>
    <row r="369" spans="1:17">
      <c r="A369">
        <v>515</v>
      </c>
      <c r="B369" t="s">
        <v>75</v>
      </c>
      <c r="C369">
        <v>0.27500000000000002</v>
      </c>
      <c r="D369">
        <v>0.19500000000000001</v>
      </c>
      <c r="E369">
        <v>7.0000000000000007E-2</v>
      </c>
      <c r="F369">
        <v>0.08</v>
      </c>
      <c r="G369">
        <v>3.1E-2</v>
      </c>
      <c r="H369">
        <v>2.1499999999999998E-2</v>
      </c>
      <c r="I369">
        <v>2.5000000000000001E-2</v>
      </c>
      <c r="J369">
        <v>5</v>
      </c>
      <c r="K369">
        <v>12</v>
      </c>
      <c r="L369" t="s">
        <v>58</v>
      </c>
      <c r="M369" t="s">
        <v>59</v>
      </c>
      <c r="N369" t="s">
        <v>45</v>
      </c>
      <c r="O369">
        <v>2</v>
      </c>
      <c r="P369" t="s">
        <v>5</v>
      </c>
      <c r="Q369">
        <v>18</v>
      </c>
    </row>
    <row r="370" spans="1:17">
      <c r="A370">
        <v>405</v>
      </c>
      <c r="B370" t="s">
        <v>75</v>
      </c>
      <c r="C370">
        <v>0.44</v>
      </c>
      <c r="D370">
        <v>0.34499999999999997</v>
      </c>
      <c r="E370">
        <v>0.12</v>
      </c>
      <c r="F370">
        <v>0.36499999999999999</v>
      </c>
      <c r="G370">
        <v>0.16550000000000001</v>
      </c>
      <c r="H370">
        <v>8.3000000000000004E-2</v>
      </c>
      <c r="I370">
        <v>0.11</v>
      </c>
      <c r="J370">
        <v>7</v>
      </c>
      <c r="K370">
        <v>4</v>
      </c>
      <c r="L370" t="s">
        <v>40</v>
      </c>
      <c r="M370" t="s">
        <v>41</v>
      </c>
      <c r="N370" t="s">
        <v>42</v>
      </c>
      <c r="O370">
        <v>8</v>
      </c>
      <c r="P370" t="s">
        <v>13</v>
      </c>
      <c r="Q370">
        <v>12.3</v>
      </c>
    </row>
    <row r="371" spans="1:17">
      <c r="A371">
        <v>606</v>
      </c>
      <c r="B371" t="s">
        <v>75</v>
      </c>
      <c r="C371">
        <v>0.42499999999999999</v>
      </c>
      <c r="D371">
        <v>0.34499999999999997</v>
      </c>
      <c r="E371">
        <v>0.125</v>
      </c>
      <c r="F371">
        <v>0.42499999999999999</v>
      </c>
      <c r="G371">
        <v>0.16</v>
      </c>
      <c r="H371">
        <v>7.9500000000000001E-2</v>
      </c>
      <c r="I371">
        <v>0.154</v>
      </c>
      <c r="J371">
        <v>13</v>
      </c>
      <c r="K371">
        <v>5</v>
      </c>
      <c r="L371" t="s">
        <v>67</v>
      </c>
      <c r="M371" t="s">
        <v>68</v>
      </c>
      <c r="N371" t="s">
        <v>69</v>
      </c>
      <c r="O371">
        <v>10</v>
      </c>
      <c r="P371" t="s">
        <v>11</v>
      </c>
      <c r="Q371">
        <v>24.1</v>
      </c>
    </row>
    <row r="372" spans="1:17">
      <c r="A372">
        <v>3639</v>
      </c>
      <c r="B372" t="s">
        <v>75</v>
      </c>
      <c r="C372">
        <v>0.44</v>
      </c>
      <c r="D372">
        <v>0.34</v>
      </c>
      <c r="E372">
        <v>0.105</v>
      </c>
      <c r="F372">
        <v>0.34399999999999997</v>
      </c>
      <c r="G372">
        <v>0.123</v>
      </c>
      <c r="H372">
        <v>8.1000000000000003E-2</v>
      </c>
      <c r="I372">
        <v>0.125</v>
      </c>
      <c r="J372">
        <v>8</v>
      </c>
      <c r="K372">
        <v>11</v>
      </c>
      <c r="L372" t="s">
        <v>65</v>
      </c>
      <c r="M372" t="s">
        <v>66</v>
      </c>
      <c r="N372" t="s">
        <v>45</v>
      </c>
      <c r="O372">
        <v>1</v>
      </c>
      <c r="P372" t="s">
        <v>4</v>
      </c>
      <c r="Q372">
        <v>22.1</v>
      </c>
    </row>
    <row r="373" spans="1:17">
      <c r="A373">
        <v>50</v>
      </c>
      <c r="B373" t="s">
        <v>75</v>
      </c>
      <c r="C373">
        <v>0.52500000000000002</v>
      </c>
      <c r="D373">
        <v>0.42499999999999999</v>
      </c>
      <c r="E373">
        <v>0.16</v>
      </c>
      <c r="F373">
        <v>0.83550000000000002</v>
      </c>
      <c r="G373">
        <v>0.35449999999999998</v>
      </c>
      <c r="H373">
        <v>0.2135</v>
      </c>
      <c r="I373">
        <v>0.245</v>
      </c>
      <c r="J373">
        <v>9</v>
      </c>
      <c r="K373">
        <v>4</v>
      </c>
      <c r="L373" t="s">
        <v>40</v>
      </c>
      <c r="M373" t="s">
        <v>41</v>
      </c>
      <c r="N373" t="s">
        <v>42</v>
      </c>
      <c r="O373">
        <v>10</v>
      </c>
      <c r="P373" t="s">
        <v>11</v>
      </c>
      <c r="Q373">
        <v>24.1</v>
      </c>
    </row>
    <row r="374" spans="1:17">
      <c r="A374">
        <v>3761</v>
      </c>
      <c r="B374" t="s">
        <v>75</v>
      </c>
      <c r="C374">
        <v>0.53</v>
      </c>
      <c r="D374">
        <v>0.42499999999999999</v>
      </c>
      <c r="E374">
        <v>0.13</v>
      </c>
      <c r="F374">
        <v>0.70199999999999996</v>
      </c>
      <c r="G374">
        <v>0.29749999999999999</v>
      </c>
      <c r="H374">
        <v>0.13950000000000001</v>
      </c>
      <c r="I374">
        <v>0.22</v>
      </c>
      <c r="J374">
        <v>9</v>
      </c>
      <c r="K374">
        <v>2</v>
      </c>
      <c r="L374" t="s">
        <v>49</v>
      </c>
      <c r="M374" t="s">
        <v>50</v>
      </c>
      <c r="N374" t="s">
        <v>51</v>
      </c>
      <c r="O374">
        <v>10</v>
      </c>
      <c r="P374" t="s">
        <v>11</v>
      </c>
      <c r="Q374">
        <v>24.1</v>
      </c>
    </row>
    <row r="375" spans="1:17">
      <c r="A375">
        <v>460</v>
      </c>
      <c r="B375" t="s">
        <v>75</v>
      </c>
      <c r="C375">
        <v>0.52500000000000002</v>
      </c>
      <c r="D375">
        <v>0.41</v>
      </c>
      <c r="E375">
        <v>0.13500000000000001</v>
      </c>
      <c r="F375">
        <v>0.70850000000000002</v>
      </c>
      <c r="G375">
        <v>0.29299999999999998</v>
      </c>
      <c r="H375">
        <v>0.1525</v>
      </c>
      <c r="I375">
        <v>0.23499999999999999</v>
      </c>
      <c r="J375">
        <v>11</v>
      </c>
      <c r="K375">
        <v>1</v>
      </c>
      <c r="L375" t="s">
        <v>70</v>
      </c>
      <c r="M375" t="s">
        <v>71</v>
      </c>
      <c r="N375" t="s">
        <v>45</v>
      </c>
      <c r="O375">
        <v>4</v>
      </c>
      <c r="P375" t="s">
        <v>8</v>
      </c>
      <c r="Q375">
        <v>6.1</v>
      </c>
    </row>
    <row r="376" spans="1:17">
      <c r="A376">
        <v>3577</v>
      </c>
      <c r="B376" t="s">
        <v>75</v>
      </c>
      <c r="C376">
        <v>0.6</v>
      </c>
      <c r="D376">
        <v>0.47499999999999998</v>
      </c>
      <c r="E376">
        <v>0.155</v>
      </c>
      <c r="F376">
        <v>1.0589999999999999</v>
      </c>
      <c r="G376">
        <v>0.441</v>
      </c>
      <c r="H376">
        <v>0.19</v>
      </c>
      <c r="I376">
        <v>0.39</v>
      </c>
      <c r="J376">
        <v>11</v>
      </c>
      <c r="K376">
        <v>11</v>
      </c>
      <c r="L376" t="s">
        <v>65</v>
      </c>
      <c r="M376" t="s">
        <v>66</v>
      </c>
      <c r="N376" t="s">
        <v>45</v>
      </c>
      <c r="O376">
        <v>1</v>
      </c>
      <c r="P376" t="s">
        <v>4</v>
      </c>
      <c r="Q376">
        <v>22.1</v>
      </c>
    </row>
    <row r="377" spans="1:17">
      <c r="A377">
        <v>1107</v>
      </c>
      <c r="B377" t="s">
        <v>75</v>
      </c>
      <c r="C377">
        <v>0.51</v>
      </c>
      <c r="D377">
        <v>0.4</v>
      </c>
      <c r="E377">
        <v>0.125</v>
      </c>
      <c r="F377">
        <v>0.5575</v>
      </c>
      <c r="G377">
        <v>0.26150000000000001</v>
      </c>
      <c r="H377">
        <v>0.1195</v>
      </c>
      <c r="I377">
        <v>0.1525</v>
      </c>
      <c r="J377">
        <v>9</v>
      </c>
      <c r="K377">
        <v>2</v>
      </c>
      <c r="L377" t="s">
        <v>49</v>
      </c>
      <c r="M377" t="s">
        <v>50</v>
      </c>
      <c r="N377" t="s">
        <v>51</v>
      </c>
      <c r="O377">
        <v>1</v>
      </c>
      <c r="P377" t="s">
        <v>4</v>
      </c>
      <c r="Q377">
        <v>22.1</v>
      </c>
    </row>
    <row r="378" spans="1:17">
      <c r="A378">
        <v>809</v>
      </c>
      <c r="B378" t="s">
        <v>75</v>
      </c>
      <c r="C378">
        <v>0.44</v>
      </c>
      <c r="D378">
        <v>0.34</v>
      </c>
      <c r="E378">
        <v>0.13</v>
      </c>
      <c r="F378">
        <v>0.41949999999999998</v>
      </c>
      <c r="G378">
        <v>0.153</v>
      </c>
      <c r="H378">
        <v>0.11550000000000001</v>
      </c>
      <c r="I378">
        <v>0.13</v>
      </c>
      <c r="J378">
        <v>10</v>
      </c>
      <c r="K378">
        <v>9</v>
      </c>
      <c r="L378" t="s">
        <v>34</v>
      </c>
      <c r="M378" t="s">
        <v>35</v>
      </c>
      <c r="N378" t="s">
        <v>36</v>
      </c>
      <c r="O378">
        <v>1</v>
      </c>
      <c r="P378" t="s">
        <v>4</v>
      </c>
      <c r="Q378">
        <v>22.1</v>
      </c>
    </row>
    <row r="379" spans="1:17">
      <c r="A379">
        <v>2547</v>
      </c>
      <c r="B379" t="s">
        <v>75</v>
      </c>
      <c r="C379">
        <v>0.22500000000000001</v>
      </c>
      <c r="D379">
        <v>0.17</v>
      </c>
      <c r="E379">
        <v>7.0000000000000007E-2</v>
      </c>
      <c r="F379">
        <v>5.6500000000000002E-2</v>
      </c>
      <c r="G379">
        <v>2.4E-2</v>
      </c>
      <c r="H379">
        <v>1.2999999999999999E-2</v>
      </c>
      <c r="I379">
        <v>1.6E-2</v>
      </c>
      <c r="J379">
        <v>4</v>
      </c>
      <c r="K379">
        <v>7</v>
      </c>
      <c r="L379" t="s">
        <v>62</v>
      </c>
      <c r="M379" t="s">
        <v>63</v>
      </c>
      <c r="N379" t="s">
        <v>64</v>
      </c>
      <c r="O379">
        <v>2</v>
      </c>
      <c r="P379" t="s">
        <v>5</v>
      </c>
      <c r="Q379">
        <v>18</v>
      </c>
    </row>
    <row r="380" spans="1:17">
      <c r="A380">
        <v>3417</v>
      </c>
      <c r="B380" t="s">
        <v>75</v>
      </c>
      <c r="C380">
        <v>0.56000000000000005</v>
      </c>
      <c r="D380">
        <v>0.45</v>
      </c>
      <c r="E380">
        <v>0.14000000000000001</v>
      </c>
      <c r="F380">
        <v>0.9</v>
      </c>
      <c r="G380">
        <v>0.47199999999999998</v>
      </c>
      <c r="H380">
        <v>0.182</v>
      </c>
      <c r="I380">
        <v>0.218</v>
      </c>
      <c r="J380">
        <v>7</v>
      </c>
      <c r="K380">
        <v>5</v>
      </c>
      <c r="L380" t="s">
        <v>67</v>
      </c>
      <c r="M380" t="s">
        <v>68</v>
      </c>
      <c r="N380" t="s">
        <v>69</v>
      </c>
      <c r="O380">
        <v>4</v>
      </c>
      <c r="P380" t="s">
        <v>8</v>
      </c>
      <c r="Q380">
        <v>6.1</v>
      </c>
    </row>
    <row r="381" spans="1:17">
      <c r="A381">
        <v>4068</v>
      </c>
      <c r="B381" t="s">
        <v>75</v>
      </c>
      <c r="C381">
        <v>0.4</v>
      </c>
      <c r="D381">
        <v>0.3</v>
      </c>
      <c r="E381">
        <v>0.115</v>
      </c>
      <c r="F381">
        <v>0.318</v>
      </c>
      <c r="G381">
        <v>0.13350000000000001</v>
      </c>
      <c r="H381">
        <v>7.2499999999999995E-2</v>
      </c>
      <c r="I381">
        <v>9.35E-2</v>
      </c>
      <c r="J381">
        <v>6</v>
      </c>
      <c r="K381">
        <v>8</v>
      </c>
      <c r="L381" t="s">
        <v>55</v>
      </c>
      <c r="M381" t="s">
        <v>56</v>
      </c>
      <c r="N381" t="s">
        <v>57</v>
      </c>
      <c r="O381">
        <v>2</v>
      </c>
      <c r="P381" t="s">
        <v>5</v>
      </c>
      <c r="Q381">
        <v>18</v>
      </c>
    </row>
    <row r="382" spans="1:17">
      <c r="A382">
        <v>3318</v>
      </c>
      <c r="B382" t="s">
        <v>75</v>
      </c>
      <c r="C382">
        <v>0.26500000000000001</v>
      </c>
      <c r="D382">
        <v>0.2</v>
      </c>
      <c r="E382">
        <v>6.5000000000000002E-2</v>
      </c>
      <c r="F382">
        <v>8.4000000000000005E-2</v>
      </c>
      <c r="G382">
        <v>3.4000000000000002E-2</v>
      </c>
      <c r="H382">
        <v>1.0500000000000001E-2</v>
      </c>
      <c r="I382">
        <v>0.03</v>
      </c>
      <c r="J382">
        <v>7</v>
      </c>
      <c r="K382">
        <v>14</v>
      </c>
      <c r="L382" t="s">
        <v>72</v>
      </c>
      <c r="M382" t="s">
        <v>73</v>
      </c>
      <c r="N382" t="s">
        <v>74</v>
      </c>
      <c r="O382">
        <v>9</v>
      </c>
      <c r="P382" t="s">
        <v>9</v>
      </c>
      <c r="Q382">
        <v>1.9</v>
      </c>
    </row>
    <row r="383" spans="1:17">
      <c r="A383">
        <v>1057</v>
      </c>
      <c r="B383" t="s">
        <v>75</v>
      </c>
      <c r="C383">
        <v>0.2</v>
      </c>
      <c r="D383">
        <v>0.155</v>
      </c>
      <c r="E383">
        <v>0.04</v>
      </c>
      <c r="F383">
        <v>4.3499999999999997E-2</v>
      </c>
      <c r="G383">
        <v>1.55E-2</v>
      </c>
      <c r="H383">
        <v>8.9999999999999993E-3</v>
      </c>
      <c r="I383">
        <v>7.0000000000000001E-3</v>
      </c>
      <c r="J383">
        <v>4</v>
      </c>
      <c r="K383">
        <v>7</v>
      </c>
      <c r="L383" t="s">
        <v>62</v>
      </c>
      <c r="M383" t="s">
        <v>63</v>
      </c>
      <c r="N383" t="s">
        <v>64</v>
      </c>
      <c r="O383">
        <v>2</v>
      </c>
      <c r="P383" t="s">
        <v>5</v>
      </c>
      <c r="Q383">
        <v>18</v>
      </c>
    </row>
    <row r="384" spans="1:17">
      <c r="A384">
        <v>2919</v>
      </c>
      <c r="B384" t="s">
        <v>75</v>
      </c>
      <c r="C384">
        <v>0.6</v>
      </c>
      <c r="D384">
        <v>0.44500000000000001</v>
      </c>
      <c r="E384">
        <v>0.13500000000000001</v>
      </c>
      <c r="F384">
        <v>0.92049999999999998</v>
      </c>
      <c r="G384">
        <v>0.44500000000000001</v>
      </c>
      <c r="H384">
        <v>0.20349999999999999</v>
      </c>
      <c r="I384">
        <v>0.253</v>
      </c>
      <c r="J384">
        <v>9</v>
      </c>
      <c r="K384">
        <v>6</v>
      </c>
      <c r="L384" t="s">
        <v>46</v>
      </c>
      <c r="M384" t="s">
        <v>47</v>
      </c>
      <c r="N384" t="s">
        <v>48</v>
      </c>
      <c r="O384">
        <v>6</v>
      </c>
      <c r="P384" t="s">
        <v>7</v>
      </c>
      <c r="Q384">
        <v>14.1</v>
      </c>
    </row>
    <row r="385" spans="1:17">
      <c r="A385">
        <v>1533</v>
      </c>
      <c r="B385" t="s">
        <v>75</v>
      </c>
      <c r="C385">
        <v>0.28499999999999998</v>
      </c>
      <c r="D385">
        <v>0.21</v>
      </c>
      <c r="E385">
        <v>5.5E-2</v>
      </c>
      <c r="F385">
        <v>0.10100000000000001</v>
      </c>
      <c r="G385">
        <v>4.1500000000000002E-2</v>
      </c>
      <c r="H385">
        <v>1.7000000000000001E-2</v>
      </c>
      <c r="I385">
        <v>3.3500000000000002E-2</v>
      </c>
      <c r="J385">
        <v>5</v>
      </c>
      <c r="K385">
        <v>2</v>
      </c>
      <c r="L385" t="s">
        <v>49</v>
      </c>
      <c r="M385" t="s">
        <v>50</v>
      </c>
      <c r="N385" t="s">
        <v>51</v>
      </c>
      <c r="O385">
        <v>3</v>
      </c>
      <c r="P385" t="s">
        <v>10</v>
      </c>
      <c r="Q385">
        <v>3.6</v>
      </c>
    </row>
    <row r="386" spans="1:17">
      <c r="A386">
        <v>740</v>
      </c>
      <c r="B386" t="s">
        <v>75</v>
      </c>
      <c r="C386">
        <v>0.44500000000000001</v>
      </c>
      <c r="D386">
        <v>0.34499999999999997</v>
      </c>
      <c r="E386">
        <v>0.09</v>
      </c>
      <c r="F386">
        <v>0.3795</v>
      </c>
      <c r="G386">
        <v>0.14299999999999999</v>
      </c>
      <c r="H386">
        <v>7.3999999999999996E-2</v>
      </c>
      <c r="I386">
        <v>0.125</v>
      </c>
      <c r="J386">
        <v>10</v>
      </c>
      <c r="K386">
        <v>13</v>
      </c>
      <c r="L386" t="s">
        <v>43</v>
      </c>
      <c r="M386" t="s">
        <v>44</v>
      </c>
      <c r="N386" t="s">
        <v>45</v>
      </c>
      <c r="O386">
        <v>1</v>
      </c>
      <c r="P386" t="s">
        <v>4</v>
      </c>
      <c r="Q386">
        <v>22.1</v>
      </c>
    </row>
    <row r="387" spans="1:17">
      <c r="A387">
        <v>940</v>
      </c>
      <c r="B387" t="s">
        <v>75</v>
      </c>
      <c r="C387">
        <v>0.46</v>
      </c>
      <c r="D387">
        <v>0.36</v>
      </c>
      <c r="E387">
        <v>0.1</v>
      </c>
      <c r="F387">
        <v>0.46350000000000002</v>
      </c>
      <c r="G387">
        <v>0.23250000000000001</v>
      </c>
      <c r="H387">
        <v>9.2999999999999999E-2</v>
      </c>
      <c r="I387">
        <v>0.115</v>
      </c>
      <c r="J387">
        <v>7</v>
      </c>
      <c r="K387">
        <v>13</v>
      </c>
      <c r="L387" t="s">
        <v>43</v>
      </c>
      <c r="M387" t="s">
        <v>44</v>
      </c>
      <c r="N387" t="s">
        <v>45</v>
      </c>
      <c r="O387">
        <v>10</v>
      </c>
      <c r="P387" t="s">
        <v>11</v>
      </c>
      <c r="Q387">
        <v>24.1</v>
      </c>
    </row>
    <row r="388" spans="1:17">
      <c r="A388">
        <v>2635</v>
      </c>
      <c r="B388" t="s">
        <v>75</v>
      </c>
      <c r="C388">
        <v>0.42499999999999999</v>
      </c>
      <c r="D388">
        <v>0.34</v>
      </c>
      <c r="E388">
        <v>0.1</v>
      </c>
      <c r="F388">
        <v>0.35149999999999998</v>
      </c>
      <c r="G388">
        <v>0.16250000000000001</v>
      </c>
      <c r="H388">
        <v>8.2000000000000003E-2</v>
      </c>
      <c r="I388">
        <v>9.4E-2</v>
      </c>
      <c r="J388">
        <v>7</v>
      </c>
      <c r="K388">
        <v>8</v>
      </c>
      <c r="L388" t="s">
        <v>55</v>
      </c>
      <c r="M388" t="s">
        <v>56</v>
      </c>
      <c r="N388" t="s">
        <v>57</v>
      </c>
      <c r="O388">
        <v>8</v>
      </c>
      <c r="P388" t="s">
        <v>13</v>
      </c>
      <c r="Q388">
        <v>12.3</v>
      </c>
    </row>
    <row r="389" spans="1:17">
      <c r="A389">
        <v>3562</v>
      </c>
      <c r="B389" t="s">
        <v>75</v>
      </c>
      <c r="C389">
        <v>0.56999999999999995</v>
      </c>
      <c r="D389">
        <v>0.42</v>
      </c>
      <c r="E389">
        <v>0.13</v>
      </c>
      <c r="F389">
        <v>0.77449999999999997</v>
      </c>
      <c r="G389">
        <v>0.35349999999999998</v>
      </c>
      <c r="H389">
        <v>0.15049999999999999</v>
      </c>
      <c r="I389">
        <v>0.23649999999999999</v>
      </c>
      <c r="J389">
        <v>9</v>
      </c>
      <c r="K389">
        <v>4</v>
      </c>
      <c r="L389" t="s">
        <v>40</v>
      </c>
      <c r="M389" t="s">
        <v>41</v>
      </c>
      <c r="N389" t="s">
        <v>42</v>
      </c>
      <c r="O389">
        <v>5</v>
      </c>
      <c r="P389" t="s">
        <v>12</v>
      </c>
      <c r="Q389">
        <v>12.8</v>
      </c>
    </row>
    <row r="390" spans="1:17">
      <c r="A390">
        <v>1156</v>
      </c>
      <c r="B390" t="s">
        <v>75</v>
      </c>
      <c r="C390">
        <v>0.6</v>
      </c>
      <c r="D390">
        <v>0.46500000000000002</v>
      </c>
      <c r="E390">
        <v>0.15</v>
      </c>
      <c r="F390">
        <v>1.1025</v>
      </c>
      <c r="G390">
        <v>0.54549999999999998</v>
      </c>
      <c r="H390">
        <v>0.26200000000000001</v>
      </c>
      <c r="I390">
        <v>0.25</v>
      </c>
      <c r="J390">
        <v>8</v>
      </c>
      <c r="K390">
        <v>5</v>
      </c>
      <c r="L390" t="s">
        <v>67</v>
      </c>
      <c r="M390" t="s">
        <v>68</v>
      </c>
      <c r="N390" t="s">
        <v>69</v>
      </c>
      <c r="O390">
        <v>10</v>
      </c>
      <c r="P390" t="s">
        <v>11</v>
      </c>
      <c r="Q390">
        <v>24.1</v>
      </c>
    </row>
    <row r="391" spans="1:17">
      <c r="A391">
        <v>2572</v>
      </c>
      <c r="B391" t="s">
        <v>75</v>
      </c>
      <c r="C391">
        <v>0.46500000000000002</v>
      </c>
      <c r="D391">
        <v>0.34</v>
      </c>
      <c r="E391">
        <v>0.105</v>
      </c>
      <c r="F391">
        <v>0.48599999999999999</v>
      </c>
      <c r="G391">
        <v>0.23100000000000001</v>
      </c>
      <c r="H391">
        <v>0.10349999999999999</v>
      </c>
      <c r="I391">
        <v>0.1225</v>
      </c>
      <c r="J391">
        <v>9</v>
      </c>
      <c r="K391">
        <v>2</v>
      </c>
      <c r="L391" t="s">
        <v>49</v>
      </c>
      <c r="M391" t="s">
        <v>50</v>
      </c>
      <c r="N391" t="s">
        <v>51</v>
      </c>
      <c r="O391">
        <v>2</v>
      </c>
      <c r="P391" t="s">
        <v>5</v>
      </c>
      <c r="Q391">
        <v>18</v>
      </c>
    </row>
    <row r="392" spans="1:17">
      <c r="A392">
        <v>3528</v>
      </c>
      <c r="B392" t="s">
        <v>75</v>
      </c>
      <c r="C392">
        <v>0.35</v>
      </c>
      <c r="D392">
        <v>0.26</v>
      </c>
      <c r="E392">
        <v>0.09</v>
      </c>
      <c r="F392">
        <v>0.17649999999999999</v>
      </c>
      <c r="G392">
        <v>7.1999999999999995E-2</v>
      </c>
      <c r="H392">
        <v>3.5499999999999997E-2</v>
      </c>
      <c r="I392">
        <v>5.7500000000000002E-2</v>
      </c>
      <c r="J392">
        <v>7</v>
      </c>
      <c r="K392">
        <v>10</v>
      </c>
      <c r="L392" t="s">
        <v>37</v>
      </c>
      <c r="M392" t="s">
        <v>38</v>
      </c>
      <c r="N392" t="s">
        <v>39</v>
      </c>
      <c r="O392">
        <v>5</v>
      </c>
      <c r="P392" t="s">
        <v>12</v>
      </c>
      <c r="Q392">
        <v>12.8</v>
      </c>
    </row>
    <row r="393" spans="1:17">
      <c r="A393">
        <v>3769</v>
      </c>
      <c r="B393" t="s">
        <v>75</v>
      </c>
      <c r="C393">
        <v>0.56000000000000005</v>
      </c>
      <c r="D393">
        <v>0.46500000000000002</v>
      </c>
      <c r="E393">
        <v>0.14499999999999999</v>
      </c>
      <c r="F393">
        <v>0.88749999999999996</v>
      </c>
      <c r="G393">
        <v>0.33450000000000002</v>
      </c>
      <c r="H393">
        <v>0.22</v>
      </c>
      <c r="I393">
        <v>0.26950000000000002</v>
      </c>
      <c r="J393">
        <v>9</v>
      </c>
      <c r="K393">
        <v>12</v>
      </c>
      <c r="L393" t="s">
        <v>58</v>
      </c>
      <c r="M393" t="s">
        <v>59</v>
      </c>
      <c r="N393" t="s">
        <v>45</v>
      </c>
      <c r="O393">
        <v>10</v>
      </c>
      <c r="P393" t="s">
        <v>11</v>
      </c>
      <c r="Q393">
        <v>24.1</v>
      </c>
    </row>
    <row r="394" spans="1:17">
      <c r="A394">
        <v>3443</v>
      </c>
      <c r="B394" t="s">
        <v>75</v>
      </c>
      <c r="C394">
        <v>0.48</v>
      </c>
      <c r="D394">
        <v>0.37</v>
      </c>
      <c r="E394">
        <v>0.13</v>
      </c>
      <c r="F394">
        <v>0.64300000000000002</v>
      </c>
      <c r="G394">
        <v>0.34899999999999998</v>
      </c>
      <c r="H394">
        <v>0.11550000000000001</v>
      </c>
      <c r="I394">
        <v>0.13500000000000001</v>
      </c>
      <c r="J394">
        <v>8</v>
      </c>
      <c r="K394">
        <v>12</v>
      </c>
      <c r="L394" t="s">
        <v>58</v>
      </c>
      <c r="M394" t="s">
        <v>59</v>
      </c>
      <c r="N394" t="s">
        <v>45</v>
      </c>
      <c r="O394">
        <v>10</v>
      </c>
      <c r="P394" t="s">
        <v>11</v>
      </c>
      <c r="Q394">
        <v>24.1</v>
      </c>
    </row>
    <row r="395" spans="1:17">
      <c r="A395">
        <v>2119</v>
      </c>
      <c r="B395" t="s">
        <v>75</v>
      </c>
      <c r="C395">
        <v>0.48</v>
      </c>
      <c r="D395">
        <v>0.38</v>
      </c>
      <c r="E395">
        <v>0.12</v>
      </c>
      <c r="F395">
        <v>0.60799999999999998</v>
      </c>
      <c r="G395">
        <v>0.27050000000000002</v>
      </c>
      <c r="H395">
        <v>0.14050000000000001</v>
      </c>
      <c r="I395">
        <v>0.185</v>
      </c>
      <c r="J395">
        <v>8</v>
      </c>
      <c r="K395">
        <v>14</v>
      </c>
      <c r="L395" t="s">
        <v>72</v>
      </c>
      <c r="M395" t="s">
        <v>73</v>
      </c>
      <c r="N395" t="s">
        <v>74</v>
      </c>
      <c r="O395">
        <v>8</v>
      </c>
      <c r="P395" t="s">
        <v>13</v>
      </c>
      <c r="Q395">
        <v>12.3</v>
      </c>
    </row>
    <row r="396" spans="1:17">
      <c r="A396">
        <v>1130</v>
      </c>
      <c r="B396" t="s">
        <v>75</v>
      </c>
      <c r="C396">
        <v>0.56000000000000005</v>
      </c>
      <c r="D396">
        <v>0.41499999999999998</v>
      </c>
      <c r="E396">
        <v>0.14499999999999999</v>
      </c>
      <c r="F396">
        <v>0.85199999999999998</v>
      </c>
      <c r="G396">
        <v>0.43</v>
      </c>
      <c r="H396">
        <v>0.1885</v>
      </c>
      <c r="I396">
        <v>0.20499999999999999</v>
      </c>
      <c r="J396">
        <v>8</v>
      </c>
      <c r="K396">
        <v>10</v>
      </c>
      <c r="L396" t="s">
        <v>37</v>
      </c>
      <c r="M396" t="s">
        <v>38</v>
      </c>
      <c r="N396" t="s">
        <v>39</v>
      </c>
      <c r="O396">
        <v>6</v>
      </c>
      <c r="P396" t="s">
        <v>7</v>
      </c>
      <c r="Q396">
        <v>14.1</v>
      </c>
    </row>
    <row r="397" spans="1:17">
      <c r="A397">
        <v>328</v>
      </c>
      <c r="B397" t="s">
        <v>75</v>
      </c>
      <c r="C397">
        <v>0.51</v>
      </c>
      <c r="D397">
        <v>0.4</v>
      </c>
      <c r="E397">
        <v>0.13</v>
      </c>
      <c r="F397">
        <v>0.64349999999999996</v>
      </c>
      <c r="G397">
        <v>0.27</v>
      </c>
      <c r="H397">
        <v>0.16650000000000001</v>
      </c>
      <c r="I397">
        <v>0.20499999999999999</v>
      </c>
      <c r="J397">
        <v>12</v>
      </c>
      <c r="K397">
        <v>7</v>
      </c>
      <c r="L397" t="s">
        <v>62</v>
      </c>
      <c r="M397" t="s">
        <v>63</v>
      </c>
      <c r="N397" t="s">
        <v>64</v>
      </c>
      <c r="O397">
        <v>2</v>
      </c>
      <c r="P397" t="s">
        <v>5</v>
      </c>
      <c r="Q397">
        <v>18</v>
      </c>
    </row>
    <row r="398" spans="1:17">
      <c r="A398">
        <v>1835</v>
      </c>
      <c r="B398" t="s">
        <v>75</v>
      </c>
      <c r="C398">
        <v>0.41</v>
      </c>
      <c r="D398">
        <v>0.315</v>
      </c>
      <c r="E398">
        <v>9.5000000000000001E-2</v>
      </c>
      <c r="F398">
        <v>0.28050000000000003</v>
      </c>
      <c r="G398">
        <v>0.114</v>
      </c>
      <c r="H398">
        <v>3.4500000000000003E-2</v>
      </c>
      <c r="I398">
        <v>0.11</v>
      </c>
      <c r="J398">
        <v>7</v>
      </c>
      <c r="K398">
        <v>1</v>
      </c>
      <c r="L398" t="s">
        <v>70</v>
      </c>
      <c r="M398" t="s">
        <v>71</v>
      </c>
      <c r="N398" t="s">
        <v>45</v>
      </c>
      <c r="O398">
        <v>4</v>
      </c>
      <c r="P398" t="s">
        <v>8</v>
      </c>
      <c r="Q398">
        <v>6.1</v>
      </c>
    </row>
    <row r="399" spans="1:17">
      <c r="A399">
        <v>3842</v>
      </c>
      <c r="B399" t="s">
        <v>75</v>
      </c>
      <c r="C399">
        <v>0.5</v>
      </c>
      <c r="D399">
        <v>0.42</v>
      </c>
      <c r="E399">
        <v>0.125</v>
      </c>
      <c r="F399">
        <v>0.62</v>
      </c>
      <c r="G399">
        <v>0.255</v>
      </c>
      <c r="H399">
        <v>0.15</v>
      </c>
      <c r="I399">
        <v>0.20499999999999999</v>
      </c>
      <c r="J399">
        <v>11</v>
      </c>
      <c r="K399">
        <v>11</v>
      </c>
      <c r="L399" t="s">
        <v>65</v>
      </c>
      <c r="M399" t="s">
        <v>66</v>
      </c>
      <c r="N399" t="s">
        <v>45</v>
      </c>
      <c r="O399">
        <v>3</v>
      </c>
      <c r="P399" t="s">
        <v>10</v>
      </c>
      <c r="Q399">
        <v>3.6</v>
      </c>
    </row>
    <row r="400" spans="1:17">
      <c r="A400">
        <v>3052</v>
      </c>
      <c r="B400" t="s">
        <v>75</v>
      </c>
      <c r="C400">
        <v>0.59499999999999997</v>
      </c>
      <c r="D400">
        <v>0.48</v>
      </c>
      <c r="E400">
        <v>0.14000000000000001</v>
      </c>
      <c r="F400">
        <v>0.91249999999999998</v>
      </c>
      <c r="G400">
        <v>0.40949999999999998</v>
      </c>
      <c r="H400">
        <v>0.1825</v>
      </c>
      <c r="I400">
        <v>0.28899999999999998</v>
      </c>
      <c r="J400">
        <v>9</v>
      </c>
      <c r="K400">
        <v>8</v>
      </c>
      <c r="L400" t="s">
        <v>55</v>
      </c>
      <c r="M400" t="s">
        <v>56</v>
      </c>
      <c r="N400" t="s">
        <v>57</v>
      </c>
      <c r="O400">
        <v>4</v>
      </c>
      <c r="P400" t="s">
        <v>8</v>
      </c>
      <c r="Q400">
        <v>6.1</v>
      </c>
    </row>
    <row r="401" spans="1:17">
      <c r="A401">
        <v>112</v>
      </c>
      <c r="B401" t="s">
        <v>75</v>
      </c>
      <c r="C401">
        <v>0.46500000000000002</v>
      </c>
      <c r="D401">
        <v>0.36</v>
      </c>
      <c r="E401">
        <v>0.105</v>
      </c>
      <c r="F401">
        <v>0.43099999999999999</v>
      </c>
      <c r="G401">
        <v>0.17199999999999999</v>
      </c>
      <c r="H401">
        <v>0.107</v>
      </c>
      <c r="I401">
        <v>0.17499999999999999</v>
      </c>
      <c r="J401">
        <v>9</v>
      </c>
      <c r="K401">
        <v>12</v>
      </c>
      <c r="L401" t="s">
        <v>58</v>
      </c>
      <c r="M401" t="s">
        <v>59</v>
      </c>
      <c r="N401" t="s">
        <v>45</v>
      </c>
      <c r="O401">
        <v>3</v>
      </c>
      <c r="P401" t="s">
        <v>10</v>
      </c>
      <c r="Q401">
        <v>3.6</v>
      </c>
    </row>
    <row r="402" spans="1:17">
      <c r="A402">
        <v>2250</v>
      </c>
      <c r="B402" t="s">
        <v>75</v>
      </c>
      <c r="C402">
        <v>0.58499999999999996</v>
      </c>
      <c r="D402">
        <v>0.45500000000000002</v>
      </c>
      <c r="E402">
        <v>0.16500000000000001</v>
      </c>
      <c r="F402">
        <v>0.998</v>
      </c>
      <c r="G402">
        <v>0.34499999999999997</v>
      </c>
      <c r="H402">
        <v>0.2495</v>
      </c>
      <c r="I402">
        <v>0.315</v>
      </c>
      <c r="J402">
        <v>12</v>
      </c>
      <c r="K402">
        <v>13</v>
      </c>
      <c r="L402" t="s">
        <v>43</v>
      </c>
      <c r="M402" t="s">
        <v>44</v>
      </c>
      <c r="N402" t="s">
        <v>45</v>
      </c>
      <c r="O402">
        <v>8</v>
      </c>
      <c r="P402" t="s">
        <v>13</v>
      </c>
      <c r="Q402">
        <v>12.3</v>
      </c>
    </row>
    <row r="403" spans="1:17">
      <c r="A403">
        <v>222</v>
      </c>
      <c r="B403" t="s">
        <v>75</v>
      </c>
      <c r="C403">
        <v>0.47</v>
      </c>
      <c r="D403">
        <v>0.35</v>
      </c>
      <c r="E403">
        <v>0.14499999999999999</v>
      </c>
      <c r="F403">
        <v>0.51749999999999996</v>
      </c>
      <c r="G403">
        <v>0.187</v>
      </c>
      <c r="H403">
        <v>0.1235</v>
      </c>
      <c r="I403">
        <v>0.18</v>
      </c>
      <c r="J403">
        <v>11</v>
      </c>
      <c r="K403">
        <v>15</v>
      </c>
      <c r="L403" t="s">
        <v>60</v>
      </c>
      <c r="M403" t="s">
        <v>61</v>
      </c>
      <c r="N403" t="s">
        <v>45</v>
      </c>
      <c r="O403">
        <v>5</v>
      </c>
      <c r="P403" t="s">
        <v>12</v>
      </c>
      <c r="Q403">
        <v>12.8</v>
      </c>
    </row>
    <row r="404" spans="1:17">
      <c r="A404">
        <v>2842</v>
      </c>
      <c r="B404" t="s">
        <v>75</v>
      </c>
      <c r="C404">
        <v>0.59499999999999997</v>
      </c>
      <c r="D404">
        <v>0.435</v>
      </c>
      <c r="E404">
        <v>0.16</v>
      </c>
      <c r="F404">
        <v>1.0569999999999999</v>
      </c>
      <c r="G404">
        <v>0.42549999999999999</v>
      </c>
      <c r="H404">
        <v>0.224</v>
      </c>
      <c r="I404">
        <v>0.31</v>
      </c>
      <c r="J404">
        <v>9</v>
      </c>
      <c r="K404">
        <v>2</v>
      </c>
      <c r="L404" t="s">
        <v>49</v>
      </c>
      <c r="M404" t="s">
        <v>50</v>
      </c>
      <c r="N404" t="s">
        <v>51</v>
      </c>
      <c r="O404">
        <v>1</v>
      </c>
      <c r="P404" t="s">
        <v>4</v>
      </c>
      <c r="Q404">
        <v>22.1</v>
      </c>
    </row>
    <row r="405" spans="1:17">
      <c r="A405">
        <v>2376</v>
      </c>
      <c r="B405" t="s">
        <v>75</v>
      </c>
      <c r="C405">
        <v>0.34</v>
      </c>
      <c r="D405">
        <v>0.27500000000000002</v>
      </c>
      <c r="E405">
        <v>0.09</v>
      </c>
      <c r="F405">
        <v>0.20649999999999999</v>
      </c>
      <c r="G405">
        <v>7.2499999999999995E-2</v>
      </c>
      <c r="H405">
        <v>4.2999999999999997E-2</v>
      </c>
      <c r="I405">
        <v>7.0000000000000007E-2</v>
      </c>
      <c r="J405">
        <v>10</v>
      </c>
      <c r="K405">
        <v>10</v>
      </c>
      <c r="L405" t="s">
        <v>37</v>
      </c>
      <c r="M405" t="s">
        <v>38</v>
      </c>
      <c r="N405" t="s">
        <v>39</v>
      </c>
      <c r="O405">
        <v>3</v>
      </c>
      <c r="P405" t="s">
        <v>10</v>
      </c>
      <c r="Q405">
        <v>3.6</v>
      </c>
    </row>
    <row r="406" spans="1:17">
      <c r="A406">
        <v>1575</v>
      </c>
      <c r="B406" t="s">
        <v>75</v>
      </c>
      <c r="C406">
        <v>0.48</v>
      </c>
      <c r="D406">
        <v>0.35499999999999998</v>
      </c>
      <c r="E406">
        <v>0.16</v>
      </c>
      <c r="F406">
        <v>0.46400000000000002</v>
      </c>
      <c r="G406">
        <v>0.221</v>
      </c>
      <c r="H406">
        <v>0.106</v>
      </c>
      <c r="I406">
        <v>0.23899999999999999</v>
      </c>
      <c r="J406">
        <v>8</v>
      </c>
      <c r="K406">
        <v>4</v>
      </c>
      <c r="L406" t="s">
        <v>40</v>
      </c>
      <c r="M406" t="s">
        <v>41</v>
      </c>
      <c r="N406" t="s">
        <v>42</v>
      </c>
      <c r="O406">
        <v>2</v>
      </c>
      <c r="P406" t="s">
        <v>5</v>
      </c>
      <c r="Q406">
        <v>18</v>
      </c>
    </row>
    <row r="407" spans="1:17">
      <c r="A407">
        <v>561</v>
      </c>
      <c r="B407" t="s">
        <v>75</v>
      </c>
      <c r="C407">
        <v>0.44</v>
      </c>
      <c r="D407">
        <v>0.34</v>
      </c>
      <c r="E407">
        <v>0.105</v>
      </c>
      <c r="F407">
        <v>0.36399999999999999</v>
      </c>
      <c r="G407">
        <v>0.14799999999999999</v>
      </c>
      <c r="H407">
        <v>8.0500000000000002E-2</v>
      </c>
      <c r="I407">
        <v>0.11749999999999999</v>
      </c>
      <c r="J407">
        <v>8</v>
      </c>
      <c r="K407">
        <v>14</v>
      </c>
      <c r="L407" t="s">
        <v>72</v>
      </c>
      <c r="M407" t="s">
        <v>73</v>
      </c>
      <c r="N407" t="s">
        <v>74</v>
      </c>
      <c r="O407">
        <v>7</v>
      </c>
      <c r="P407" t="s">
        <v>6</v>
      </c>
      <c r="Q407">
        <v>2.5</v>
      </c>
    </row>
    <row r="408" spans="1:17">
      <c r="A408">
        <v>2532</v>
      </c>
      <c r="B408" t="s">
        <v>75</v>
      </c>
      <c r="C408">
        <v>0.60499999999999998</v>
      </c>
      <c r="D408">
        <v>0.47499999999999998</v>
      </c>
      <c r="E408">
        <v>0.17499999999999999</v>
      </c>
      <c r="F408">
        <v>1.2010000000000001</v>
      </c>
      <c r="G408">
        <v>0.53949999999999998</v>
      </c>
      <c r="H408">
        <v>0.27500000000000002</v>
      </c>
      <c r="I408">
        <v>0.309</v>
      </c>
      <c r="J408">
        <v>10</v>
      </c>
      <c r="K408">
        <v>10</v>
      </c>
      <c r="L408" t="s">
        <v>37</v>
      </c>
      <c r="M408" t="s">
        <v>38</v>
      </c>
      <c r="N408" t="s">
        <v>39</v>
      </c>
      <c r="O408">
        <v>10</v>
      </c>
      <c r="P408" t="s">
        <v>11</v>
      </c>
      <c r="Q408">
        <v>24.1</v>
      </c>
    </row>
    <row r="409" spans="1:17">
      <c r="A409">
        <v>3573</v>
      </c>
      <c r="B409" t="s">
        <v>75</v>
      </c>
      <c r="C409">
        <v>0.58499999999999996</v>
      </c>
      <c r="D409">
        <v>0.46</v>
      </c>
      <c r="E409">
        <v>0.16500000000000001</v>
      </c>
      <c r="F409">
        <v>1.0580000000000001</v>
      </c>
      <c r="G409">
        <v>0.48599999999999999</v>
      </c>
      <c r="H409">
        <v>0.25</v>
      </c>
      <c r="I409">
        <v>0.29399999999999998</v>
      </c>
      <c r="J409">
        <v>9</v>
      </c>
      <c r="K409">
        <v>10</v>
      </c>
      <c r="L409" t="s">
        <v>37</v>
      </c>
      <c r="M409" t="s">
        <v>38</v>
      </c>
      <c r="N409" t="s">
        <v>39</v>
      </c>
      <c r="O409">
        <v>6</v>
      </c>
      <c r="P409" t="s">
        <v>7</v>
      </c>
      <c r="Q409">
        <v>14.1</v>
      </c>
    </row>
    <row r="410" spans="1:17">
      <c r="A410">
        <v>3357</v>
      </c>
      <c r="B410" t="s">
        <v>75</v>
      </c>
      <c r="C410">
        <v>0.39</v>
      </c>
      <c r="D410">
        <v>0.3</v>
      </c>
      <c r="E410">
        <v>0.1</v>
      </c>
      <c r="F410">
        <v>0.3085</v>
      </c>
      <c r="G410">
        <v>0.13850000000000001</v>
      </c>
      <c r="H410">
        <v>7.3499999999999996E-2</v>
      </c>
      <c r="I410">
        <v>8.5000000000000006E-2</v>
      </c>
      <c r="J410">
        <v>6</v>
      </c>
      <c r="K410">
        <v>1</v>
      </c>
      <c r="L410" t="s">
        <v>70</v>
      </c>
      <c r="M410" t="s">
        <v>71</v>
      </c>
      <c r="N410" t="s">
        <v>45</v>
      </c>
      <c r="O410">
        <v>3</v>
      </c>
      <c r="P410" t="s">
        <v>10</v>
      </c>
      <c r="Q410">
        <v>3.6</v>
      </c>
    </row>
    <row r="411" spans="1:17">
      <c r="A411">
        <v>3122</v>
      </c>
      <c r="B411" t="s">
        <v>75</v>
      </c>
      <c r="C411">
        <v>0.55000000000000004</v>
      </c>
      <c r="D411">
        <v>0.42499999999999999</v>
      </c>
      <c r="E411">
        <v>0.14000000000000001</v>
      </c>
      <c r="F411">
        <v>0.95199999999999996</v>
      </c>
      <c r="G411">
        <v>0.48949999999999999</v>
      </c>
      <c r="H411">
        <v>0.19450000000000001</v>
      </c>
      <c r="I411">
        <v>0.2185</v>
      </c>
      <c r="J411">
        <v>7</v>
      </c>
      <c r="K411">
        <v>11</v>
      </c>
      <c r="L411" t="s">
        <v>65</v>
      </c>
      <c r="M411" t="s">
        <v>66</v>
      </c>
      <c r="N411" t="s">
        <v>45</v>
      </c>
      <c r="O411">
        <v>5</v>
      </c>
      <c r="P411" t="s">
        <v>12</v>
      </c>
      <c r="Q411">
        <v>12.8</v>
      </c>
    </row>
    <row r="412" spans="1:17">
      <c r="A412">
        <v>2513</v>
      </c>
      <c r="B412" t="s">
        <v>75</v>
      </c>
      <c r="C412">
        <v>0.46500000000000002</v>
      </c>
      <c r="D412">
        <v>0.375</v>
      </c>
      <c r="E412">
        <v>0.11</v>
      </c>
      <c r="F412">
        <v>0.5</v>
      </c>
      <c r="G412">
        <v>0.21</v>
      </c>
      <c r="H412">
        <v>0.113</v>
      </c>
      <c r="I412">
        <v>0.15049999999999999</v>
      </c>
      <c r="J412">
        <v>8</v>
      </c>
      <c r="K412">
        <v>3</v>
      </c>
      <c r="L412" t="s">
        <v>52</v>
      </c>
      <c r="M412" t="s">
        <v>53</v>
      </c>
      <c r="N412" t="s">
        <v>54</v>
      </c>
      <c r="O412">
        <v>5</v>
      </c>
      <c r="P412" t="s">
        <v>12</v>
      </c>
      <c r="Q412">
        <v>12.8</v>
      </c>
    </row>
    <row r="413" spans="1:17">
      <c r="A413">
        <v>221</v>
      </c>
      <c r="B413" t="s">
        <v>75</v>
      </c>
      <c r="C413">
        <v>0.44500000000000001</v>
      </c>
      <c r="D413">
        <v>0.32500000000000001</v>
      </c>
      <c r="E413">
        <v>0.125</v>
      </c>
      <c r="F413">
        <v>0.45500000000000002</v>
      </c>
      <c r="G413">
        <v>0.17849999999999999</v>
      </c>
      <c r="H413">
        <v>0.1125</v>
      </c>
      <c r="I413">
        <v>0.14000000000000001</v>
      </c>
      <c r="J413">
        <v>9</v>
      </c>
      <c r="K413">
        <v>12</v>
      </c>
      <c r="L413" t="s">
        <v>58</v>
      </c>
      <c r="M413" t="s">
        <v>59</v>
      </c>
      <c r="N413" t="s">
        <v>45</v>
      </c>
      <c r="O413">
        <v>6</v>
      </c>
      <c r="P413" t="s">
        <v>7</v>
      </c>
      <c r="Q413">
        <v>14.1</v>
      </c>
    </row>
    <row r="414" spans="1:17">
      <c r="A414">
        <v>219</v>
      </c>
      <c r="B414" t="s">
        <v>75</v>
      </c>
      <c r="C414">
        <v>0.47</v>
      </c>
      <c r="D414">
        <v>0.36</v>
      </c>
      <c r="E414">
        <v>0.13500000000000001</v>
      </c>
      <c r="F414">
        <v>0.501</v>
      </c>
      <c r="G414">
        <v>0.16650000000000001</v>
      </c>
      <c r="H414">
        <v>0.115</v>
      </c>
      <c r="I414">
        <v>0.16500000000000001</v>
      </c>
      <c r="J414">
        <v>10</v>
      </c>
      <c r="K414">
        <v>2</v>
      </c>
      <c r="L414" t="s">
        <v>49</v>
      </c>
      <c r="M414" t="s">
        <v>50</v>
      </c>
      <c r="N414" t="s">
        <v>51</v>
      </c>
      <c r="O414">
        <v>4</v>
      </c>
      <c r="P414" t="s">
        <v>8</v>
      </c>
      <c r="Q414">
        <v>6.1</v>
      </c>
    </row>
    <row r="415" spans="1:17">
      <c r="A415">
        <v>2483</v>
      </c>
      <c r="B415" t="s">
        <v>75</v>
      </c>
      <c r="C415">
        <v>0.52</v>
      </c>
      <c r="D415">
        <v>0.4</v>
      </c>
      <c r="E415">
        <v>0.16500000000000001</v>
      </c>
      <c r="F415">
        <v>0.85650000000000004</v>
      </c>
      <c r="G415">
        <v>0.27450000000000002</v>
      </c>
      <c r="H415">
        <v>0.20100000000000001</v>
      </c>
      <c r="I415">
        <v>0.21</v>
      </c>
      <c r="J415">
        <v>12</v>
      </c>
      <c r="K415">
        <v>13</v>
      </c>
      <c r="L415" t="s">
        <v>43</v>
      </c>
      <c r="M415" t="s">
        <v>44</v>
      </c>
      <c r="N415" t="s">
        <v>45</v>
      </c>
      <c r="O415">
        <v>5</v>
      </c>
      <c r="P415" t="s">
        <v>12</v>
      </c>
      <c r="Q415">
        <v>12.8</v>
      </c>
    </row>
    <row r="416" spans="1:17">
      <c r="A416">
        <v>1950</v>
      </c>
      <c r="B416" t="s">
        <v>75</v>
      </c>
      <c r="C416">
        <v>0.64</v>
      </c>
      <c r="D416">
        <v>0.53</v>
      </c>
      <c r="E416">
        <v>0.16500000000000001</v>
      </c>
      <c r="F416">
        <v>1.1895</v>
      </c>
      <c r="G416">
        <v>0.47649999999999998</v>
      </c>
      <c r="H416">
        <v>0.3</v>
      </c>
      <c r="I416">
        <v>0.35</v>
      </c>
      <c r="J416">
        <v>11</v>
      </c>
      <c r="K416">
        <v>11</v>
      </c>
      <c r="L416" t="s">
        <v>65</v>
      </c>
      <c r="M416" t="s">
        <v>66</v>
      </c>
      <c r="N416" t="s">
        <v>45</v>
      </c>
      <c r="O416">
        <v>1</v>
      </c>
      <c r="P416" t="s">
        <v>4</v>
      </c>
      <c r="Q416">
        <v>22.1</v>
      </c>
    </row>
    <row r="417" spans="1:17">
      <c r="A417">
        <v>2734</v>
      </c>
      <c r="B417" t="s">
        <v>75</v>
      </c>
      <c r="C417">
        <v>0.41499999999999998</v>
      </c>
      <c r="D417">
        <v>0.33500000000000002</v>
      </c>
      <c r="E417">
        <v>0.1</v>
      </c>
      <c r="F417">
        <v>0.35799999999999998</v>
      </c>
      <c r="G417">
        <v>0.16900000000000001</v>
      </c>
      <c r="H417">
        <v>6.7000000000000004E-2</v>
      </c>
      <c r="I417">
        <v>0.105</v>
      </c>
      <c r="J417">
        <v>7</v>
      </c>
      <c r="K417">
        <v>11</v>
      </c>
      <c r="L417" t="s">
        <v>65</v>
      </c>
      <c r="M417" t="s">
        <v>66</v>
      </c>
      <c r="N417" t="s">
        <v>45</v>
      </c>
      <c r="O417">
        <v>6</v>
      </c>
      <c r="P417" t="s">
        <v>7</v>
      </c>
      <c r="Q417">
        <v>14.1</v>
      </c>
    </row>
    <row r="418" spans="1:17">
      <c r="A418">
        <v>3477</v>
      </c>
      <c r="B418" t="s">
        <v>75</v>
      </c>
      <c r="C418">
        <v>0.4</v>
      </c>
      <c r="D418">
        <v>0.28999999999999998</v>
      </c>
      <c r="E418">
        <v>0.1</v>
      </c>
      <c r="F418">
        <v>0.25800000000000001</v>
      </c>
      <c r="G418">
        <v>0.104</v>
      </c>
      <c r="H418">
        <v>5.8999999999999997E-2</v>
      </c>
      <c r="I418">
        <v>8.1500000000000003E-2</v>
      </c>
      <c r="J418">
        <v>7</v>
      </c>
      <c r="K418">
        <v>7</v>
      </c>
      <c r="L418" t="s">
        <v>62</v>
      </c>
      <c r="M418" t="s">
        <v>63</v>
      </c>
      <c r="N418" t="s">
        <v>64</v>
      </c>
      <c r="O418">
        <v>4</v>
      </c>
      <c r="P418" t="s">
        <v>8</v>
      </c>
      <c r="Q418">
        <v>6.1</v>
      </c>
    </row>
    <row r="419" spans="1:17">
      <c r="A419">
        <v>4010</v>
      </c>
      <c r="B419" t="s">
        <v>75</v>
      </c>
      <c r="C419">
        <v>0.61</v>
      </c>
      <c r="D419">
        <v>0.49</v>
      </c>
      <c r="E419">
        <v>0.16</v>
      </c>
      <c r="F419">
        <v>1.1459999999999999</v>
      </c>
      <c r="G419">
        <v>0.59699999999999998</v>
      </c>
      <c r="H419">
        <v>0.246</v>
      </c>
      <c r="I419">
        <v>0.26500000000000001</v>
      </c>
      <c r="J419">
        <v>8</v>
      </c>
      <c r="K419">
        <v>11</v>
      </c>
      <c r="L419" t="s">
        <v>65</v>
      </c>
      <c r="M419" t="s">
        <v>66</v>
      </c>
      <c r="N419" t="s">
        <v>45</v>
      </c>
      <c r="O419">
        <v>6</v>
      </c>
      <c r="P419" t="s">
        <v>7</v>
      </c>
      <c r="Q419">
        <v>14.1</v>
      </c>
    </row>
    <row r="420" spans="1:17">
      <c r="A420">
        <v>2884</v>
      </c>
      <c r="B420" t="s">
        <v>75</v>
      </c>
      <c r="C420">
        <v>0.5</v>
      </c>
      <c r="D420">
        <v>0.37</v>
      </c>
      <c r="E420">
        <v>0.12</v>
      </c>
      <c r="F420">
        <v>0.54449999999999998</v>
      </c>
      <c r="G420">
        <v>0.249</v>
      </c>
      <c r="H420">
        <v>0.1065</v>
      </c>
      <c r="I420">
        <v>0.152</v>
      </c>
      <c r="J420">
        <v>8</v>
      </c>
      <c r="K420">
        <v>3</v>
      </c>
      <c r="L420" t="s">
        <v>52</v>
      </c>
      <c r="M420" t="s">
        <v>53</v>
      </c>
      <c r="N420" t="s">
        <v>54</v>
      </c>
      <c r="O420">
        <v>1</v>
      </c>
      <c r="P420" t="s">
        <v>4</v>
      </c>
      <c r="Q420">
        <v>22.1</v>
      </c>
    </row>
    <row r="421" spans="1:17">
      <c r="A421">
        <v>3481</v>
      </c>
      <c r="B421" t="s">
        <v>75</v>
      </c>
      <c r="C421">
        <v>0.45</v>
      </c>
      <c r="D421">
        <v>0.34</v>
      </c>
      <c r="E421">
        <v>0.105</v>
      </c>
      <c r="F421">
        <v>0.4385</v>
      </c>
      <c r="G421">
        <v>0.21</v>
      </c>
      <c r="H421">
        <v>9.2499999999999999E-2</v>
      </c>
      <c r="I421">
        <v>0.12</v>
      </c>
      <c r="J421">
        <v>8</v>
      </c>
      <c r="K421">
        <v>15</v>
      </c>
      <c r="L421" t="s">
        <v>60</v>
      </c>
      <c r="M421" t="s">
        <v>61</v>
      </c>
      <c r="N421" t="s">
        <v>45</v>
      </c>
      <c r="O421">
        <v>7</v>
      </c>
      <c r="P421" t="s">
        <v>6</v>
      </c>
      <c r="Q421">
        <v>2.5</v>
      </c>
    </row>
    <row r="422" spans="1:17">
      <c r="A422">
        <v>3717</v>
      </c>
      <c r="B422" t="s">
        <v>75</v>
      </c>
      <c r="C422">
        <v>0.23499999999999999</v>
      </c>
      <c r="D422">
        <v>0.13</v>
      </c>
      <c r="E422">
        <v>7.4999999999999997E-2</v>
      </c>
      <c r="F422">
        <v>0.1585</v>
      </c>
      <c r="G422">
        <v>6.8500000000000005E-2</v>
      </c>
      <c r="H422">
        <v>3.6999999999999998E-2</v>
      </c>
      <c r="I422">
        <v>4.65E-2</v>
      </c>
      <c r="J422">
        <v>5</v>
      </c>
      <c r="K422">
        <v>10</v>
      </c>
      <c r="L422" t="s">
        <v>37</v>
      </c>
      <c r="M422" t="s">
        <v>38</v>
      </c>
      <c r="N422" t="s">
        <v>39</v>
      </c>
      <c r="O422">
        <v>5</v>
      </c>
      <c r="P422" t="s">
        <v>12</v>
      </c>
      <c r="Q422">
        <v>12.8</v>
      </c>
    </row>
    <row r="423" spans="1:17">
      <c r="A423">
        <v>2296</v>
      </c>
      <c r="B423" t="s">
        <v>75</v>
      </c>
      <c r="C423">
        <v>0.52</v>
      </c>
      <c r="D423">
        <v>0.41499999999999998</v>
      </c>
      <c r="E423">
        <v>0.14499999999999999</v>
      </c>
      <c r="F423">
        <v>0.80449999999999999</v>
      </c>
      <c r="G423">
        <v>0.33250000000000002</v>
      </c>
      <c r="H423">
        <v>0.17249999999999999</v>
      </c>
      <c r="I423">
        <v>0.28499999999999998</v>
      </c>
      <c r="J423">
        <v>10</v>
      </c>
      <c r="K423">
        <v>12</v>
      </c>
      <c r="L423" t="s">
        <v>58</v>
      </c>
      <c r="M423" t="s">
        <v>59</v>
      </c>
      <c r="N423" t="s">
        <v>45</v>
      </c>
      <c r="O423">
        <v>1</v>
      </c>
      <c r="P423" t="s">
        <v>4</v>
      </c>
      <c r="Q423">
        <v>22.1</v>
      </c>
    </row>
    <row r="424" spans="1:17">
      <c r="A424">
        <v>1940</v>
      </c>
      <c r="B424" t="s">
        <v>75</v>
      </c>
      <c r="C424">
        <v>0.625</v>
      </c>
      <c r="D424">
        <v>0.44500000000000001</v>
      </c>
      <c r="E424">
        <v>0.16</v>
      </c>
      <c r="F424">
        <v>1.0900000000000001</v>
      </c>
      <c r="G424">
        <v>0.46</v>
      </c>
      <c r="H424">
        <v>0.29649999999999999</v>
      </c>
      <c r="I424">
        <v>0.30399999999999999</v>
      </c>
      <c r="J424">
        <v>11</v>
      </c>
      <c r="K424">
        <v>9</v>
      </c>
      <c r="L424" t="s">
        <v>34</v>
      </c>
      <c r="M424" t="s">
        <v>35</v>
      </c>
      <c r="N424" t="s">
        <v>36</v>
      </c>
      <c r="O424">
        <v>4</v>
      </c>
      <c r="P424" t="s">
        <v>8</v>
      </c>
      <c r="Q424">
        <v>6.1</v>
      </c>
    </row>
    <row r="425" spans="1:17">
      <c r="A425">
        <v>1170</v>
      </c>
      <c r="B425" t="s">
        <v>75</v>
      </c>
      <c r="C425">
        <v>0.62</v>
      </c>
      <c r="D425">
        <v>0.48</v>
      </c>
      <c r="E425">
        <v>0.16</v>
      </c>
      <c r="F425">
        <v>1.1125</v>
      </c>
      <c r="G425">
        <v>0.5635</v>
      </c>
      <c r="H425">
        <v>0.2445</v>
      </c>
      <c r="I425">
        <v>0.28100000000000003</v>
      </c>
      <c r="J425">
        <v>8</v>
      </c>
      <c r="K425">
        <v>3</v>
      </c>
      <c r="L425" t="s">
        <v>52</v>
      </c>
      <c r="M425" t="s">
        <v>53</v>
      </c>
      <c r="N425" t="s">
        <v>54</v>
      </c>
      <c r="O425">
        <v>9</v>
      </c>
      <c r="P425" t="s">
        <v>9</v>
      </c>
      <c r="Q425">
        <v>1.9</v>
      </c>
    </row>
    <row r="426" spans="1:17">
      <c r="A426">
        <v>2289</v>
      </c>
      <c r="B426" t="s">
        <v>75</v>
      </c>
      <c r="C426">
        <v>0.33</v>
      </c>
      <c r="D426">
        <v>0.26500000000000001</v>
      </c>
      <c r="E426">
        <v>0.09</v>
      </c>
      <c r="F426">
        <v>0.18</v>
      </c>
      <c r="G426">
        <v>6.8000000000000005E-2</v>
      </c>
      <c r="H426">
        <v>3.5999999999999997E-2</v>
      </c>
      <c r="I426">
        <v>0.06</v>
      </c>
      <c r="J426">
        <v>6</v>
      </c>
      <c r="K426">
        <v>10</v>
      </c>
      <c r="L426" t="s">
        <v>37</v>
      </c>
      <c r="M426" t="s">
        <v>38</v>
      </c>
      <c r="N426" t="s">
        <v>39</v>
      </c>
      <c r="O426">
        <v>9</v>
      </c>
      <c r="P426" t="s">
        <v>9</v>
      </c>
      <c r="Q426">
        <v>1.9</v>
      </c>
    </row>
    <row r="427" spans="1:17">
      <c r="A427">
        <v>3268</v>
      </c>
      <c r="B427" t="s">
        <v>75</v>
      </c>
      <c r="C427">
        <v>0.4</v>
      </c>
      <c r="D427">
        <v>0.33500000000000002</v>
      </c>
      <c r="E427">
        <v>0.115</v>
      </c>
      <c r="F427">
        <v>0.4335</v>
      </c>
      <c r="G427">
        <v>0.21049999999999999</v>
      </c>
      <c r="H427">
        <v>0.1205</v>
      </c>
      <c r="I427">
        <v>0.12</v>
      </c>
      <c r="J427">
        <v>10</v>
      </c>
      <c r="K427">
        <v>4</v>
      </c>
      <c r="L427" t="s">
        <v>40</v>
      </c>
      <c r="M427" t="s">
        <v>41</v>
      </c>
      <c r="N427" t="s">
        <v>42</v>
      </c>
      <c r="O427">
        <v>4</v>
      </c>
      <c r="P427" t="s">
        <v>8</v>
      </c>
      <c r="Q427">
        <v>6.1</v>
      </c>
    </row>
    <row r="428" spans="1:17">
      <c r="A428">
        <v>1354</v>
      </c>
      <c r="B428" t="s">
        <v>75</v>
      </c>
      <c r="C428">
        <v>0.6</v>
      </c>
      <c r="D428">
        <v>0.48</v>
      </c>
      <c r="E428">
        <v>0.155</v>
      </c>
      <c r="F428">
        <v>1.014</v>
      </c>
      <c r="G428">
        <v>0.45100000000000001</v>
      </c>
      <c r="H428">
        <v>0.1885</v>
      </c>
      <c r="I428">
        <v>0.32500000000000001</v>
      </c>
      <c r="J428">
        <v>11</v>
      </c>
      <c r="K428">
        <v>15</v>
      </c>
      <c r="L428" t="s">
        <v>60</v>
      </c>
      <c r="M428" t="s">
        <v>61</v>
      </c>
      <c r="N428" t="s">
        <v>45</v>
      </c>
      <c r="O428">
        <v>7</v>
      </c>
      <c r="P428" t="s">
        <v>6</v>
      </c>
      <c r="Q428">
        <v>2.5</v>
      </c>
    </row>
    <row r="429" spans="1:17">
      <c r="A429">
        <v>1546</v>
      </c>
      <c r="B429" t="s">
        <v>75</v>
      </c>
      <c r="C429">
        <v>0.375</v>
      </c>
      <c r="D429">
        <v>0.28000000000000003</v>
      </c>
      <c r="E429">
        <v>0.08</v>
      </c>
      <c r="F429">
        <v>0.2165</v>
      </c>
      <c r="G429">
        <v>9.35E-2</v>
      </c>
      <c r="H429">
        <v>9.2499999999999999E-2</v>
      </c>
      <c r="I429">
        <v>7.0000000000000007E-2</v>
      </c>
      <c r="J429">
        <v>7</v>
      </c>
      <c r="K429">
        <v>7</v>
      </c>
      <c r="L429" t="s">
        <v>62</v>
      </c>
      <c r="M429" t="s">
        <v>63</v>
      </c>
      <c r="N429" t="s">
        <v>64</v>
      </c>
      <c r="O429">
        <v>10</v>
      </c>
      <c r="P429" t="s">
        <v>11</v>
      </c>
      <c r="Q429">
        <v>24.1</v>
      </c>
    </row>
    <row r="430" spans="1:17">
      <c r="A430">
        <v>3837</v>
      </c>
      <c r="B430" t="s">
        <v>75</v>
      </c>
      <c r="C430">
        <v>0.41</v>
      </c>
      <c r="D430">
        <v>0.32500000000000001</v>
      </c>
      <c r="E430">
        <v>0.1</v>
      </c>
      <c r="F430">
        <v>0.35549999999999998</v>
      </c>
      <c r="G430">
        <v>0.14599999999999999</v>
      </c>
      <c r="H430">
        <v>7.1999999999999995E-2</v>
      </c>
      <c r="I430">
        <v>0.105</v>
      </c>
      <c r="J430">
        <v>9</v>
      </c>
      <c r="K430">
        <v>15</v>
      </c>
      <c r="L430" t="s">
        <v>60</v>
      </c>
      <c r="M430" t="s">
        <v>61</v>
      </c>
      <c r="N430" t="s">
        <v>45</v>
      </c>
      <c r="O430">
        <v>8</v>
      </c>
      <c r="P430" t="s">
        <v>13</v>
      </c>
      <c r="Q430">
        <v>12.3</v>
      </c>
    </row>
    <row r="431" spans="1:17">
      <c r="A431">
        <v>2436</v>
      </c>
      <c r="B431" t="s">
        <v>75</v>
      </c>
      <c r="C431">
        <v>0.46500000000000002</v>
      </c>
      <c r="D431">
        <v>0.38</v>
      </c>
      <c r="E431">
        <v>0.13500000000000001</v>
      </c>
      <c r="F431">
        <v>0.57899999999999996</v>
      </c>
      <c r="G431">
        <v>0.20799999999999999</v>
      </c>
      <c r="H431">
        <v>0.1095</v>
      </c>
      <c r="I431">
        <v>0.22</v>
      </c>
      <c r="J431">
        <v>14</v>
      </c>
      <c r="K431">
        <v>1</v>
      </c>
      <c r="L431" t="s">
        <v>70</v>
      </c>
      <c r="M431" t="s">
        <v>71</v>
      </c>
      <c r="N431" t="s">
        <v>45</v>
      </c>
      <c r="O431">
        <v>7</v>
      </c>
      <c r="P431" t="s">
        <v>6</v>
      </c>
      <c r="Q431">
        <v>2.5</v>
      </c>
    </row>
    <row r="432" spans="1:17">
      <c r="A432">
        <v>1843</v>
      </c>
      <c r="B432" t="s">
        <v>75</v>
      </c>
      <c r="C432">
        <v>0.435</v>
      </c>
      <c r="D432">
        <v>0.33</v>
      </c>
      <c r="E432">
        <v>0.11</v>
      </c>
      <c r="F432">
        <v>0.38</v>
      </c>
      <c r="G432">
        <v>0.1515</v>
      </c>
      <c r="H432">
        <v>9.4500000000000001E-2</v>
      </c>
      <c r="I432">
        <v>0.11</v>
      </c>
      <c r="J432">
        <v>7</v>
      </c>
      <c r="K432">
        <v>12</v>
      </c>
      <c r="L432" t="s">
        <v>58</v>
      </c>
      <c r="M432" t="s">
        <v>59</v>
      </c>
      <c r="N432" t="s">
        <v>45</v>
      </c>
      <c r="O432">
        <v>7</v>
      </c>
      <c r="P432" t="s">
        <v>6</v>
      </c>
      <c r="Q432">
        <v>2.5</v>
      </c>
    </row>
    <row r="433" spans="1:17">
      <c r="A433">
        <v>2006</v>
      </c>
      <c r="B433" t="s">
        <v>75</v>
      </c>
      <c r="C433">
        <v>0.39500000000000002</v>
      </c>
      <c r="D433">
        <v>0.28999999999999998</v>
      </c>
      <c r="E433">
        <v>9.5000000000000001E-2</v>
      </c>
      <c r="F433">
        <v>0.3</v>
      </c>
      <c r="G433">
        <v>0.158</v>
      </c>
      <c r="H433">
        <v>6.8000000000000005E-2</v>
      </c>
      <c r="I433">
        <v>7.8E-2</v>
      </c>
      <c r="J433">
        <v>7</v>
      </c>
      <c r="K433">
        <v>10</v>
      </c>
      <c r="L433" t="s">
        <v>37</v>
      </c>
      <c r="M433" t="s">
        <v>38</v>
      </c>
      <c r="N433" t="s">
        <v>39</v>
      </c>
      <c r="O433">
        <v>3</v>
      </c>
      <c r="P433" t="s">
        <v>10</v>
      </c>
      <c r="Q433">
        <v>3.6</v>
      </c>
    </row>
    <row r="434" spans="1:17">
      <c r="A434">
        <v>742</v>
      </c>
      <c r="B434" t="s">
        <v>75</v>
      </c>
      <c r="C434">
        <v>0.36</v>
      </c>
      <c r="D434">
        <v>0.26500000000000001</v>
      </c>
      <c r="E434">
        <v>0.09</v>
      </c>
      <c r="F434">
        <v>0.20649999999999999</v>
      </c>
      <c r="G434">
        <v>7.8E-2</v>
      </c>
      <c r="H434">
        <v>5.7000000000000002E-2</v>
      </c>
      <c r="I434">
        <v>0.06</v>
      </c>
      <c r="J434">
        <v>8</v>
      </c>
      <c r="K434">
        <v>7</v>
      </c>
      <c r="L434" t="s">
        <v>62</v>
      </c>
      <c r="M434" t="s">
        <v>63</v>
      </c>
      <c r="N434" t="s">
        <v>64</v>
      </c>
      <c r="O434">
        <v>5</v>
      </c>
      <c r="P434" t="s">
        <v>12</v>
      </c>
      <c r="Q434">
        <v>12.8</v>
      </c>
    </row>
    <row r="435" spans="1:17">
      <c r="A435">
        <v>2193</v>
      </c>
      <c r="B435" t="s">
        <v>75</v>
      </c>
      <c r="C435">
        <v>0.57499999999999996</v>
      </c>
      <c r="D435">
        <v>0.48499999999999999</v>
      </c>
      <c r="E435">
        <v>0.16500000000000001</v>
      </c>
      <c r="F435">
        <v>1.0405</v>
      </c>
      <c r="G435">
        <v>0.41899999999999998</v>
      </c>
      <c r="H435">
        <v>0.26400000000000001</v>
      </c>
      <c r="I435">
        <v>0.3</v>
      </c>
      <c r="J435">
        <v>14</v>
      </c>
      <c r="K435">
        <v>4</v>
      </c>
      <c r="L435" t="s">
        <v>40</v>
      </c>
      <c r="M435" t="s">
        <v>41</v>
      </c>
      <c r="N435" t="s">
        <v>42</v>
      </c>
      <c r="O435">
        <v>1</v>
      </c>
      <c r="P435" t="s">
        <v>4</v>
      </c>
      <c r="Q435">
        <v>22.1</v>
      </c>
    </row>
    <row r="436" spans="1:17">
      <c r="A436">
        <v>1989</v>
      </c>
      <c r="B436" t="s">
        <v>75</v>
      </c>
      <c r="C436">
        <v>0.21</v>
      </c>
      <c r="D436">
        <v>0.15</v>
      </c>
      <c r="E436">
        <v>5.5E-2</v>
      </c>
      <c r="F436">
        <v>4.65E-2</v>
      </c>
      <c r="G436">
        <v>1.7000000000000001E-2</v>
      </c>
      <c r="H436">
        <v>1.2E-2</v>
      </c>
      <c r="I436">
        <v>1.4999999999999999E-2</v>
      </c>
      <c r="J436">
        <v>5</v>
      </c>
      <c r="K436">
        <v>13</v>
      </c>
      <c r="L436" t="s">
        <v>43</v>
      </c>
      <c r="M436" t="s">
        <v>44</v>
      </c>
      <c r="N436" t="s">
        <v>45</v>
      </c>
      <c r="O436">
        <v>8</v>
      </c>
      <c r="P436" t="s">
        <v>13</v>
      </c>
      <c r="Q436">
        <v>12.3</v>
      </c>
    </row>
    <row r="437" spans="1:17">
      <c r="A437">
        <v>2900</v>
      </c>
      <c r="B437" t="s">
        <v>75</v>
      </c>
      <c r="C437">
        <v>0.55000000000000004</v>
      </c>
      <c r="D437">
        <v>0.42499999999999999</v>
      </c>
      <c r="E437">
        <v>0.13</v>
      </c>
      <c r="F437">
        <v>0.66400000000000003</v>
      </c>
      <c r="G437">
        <v>0.26950000000000002</v>
      </c>
      <c r="H437">
        <v>0.16300000000000001</v>
      </c>
      <c r="I437">
        <v>0.21</v>
      </c>
      <c r="J437">
        <v>8</v>
      </c>
      <c r="K437">
        <v>14</v>
      </c>
      <c r="L437" t="s">
        <v>72</v>
      </c>
      <c r="M437" t="s">
        <v>73</v>
      </c>
      <c r="N437" t="s">
        <v>74</v>
      </c>
      <c r="O437">
        <v>6</v>
      </c>
      <c r="P437" t="s">
        <v>7</v>
      </c>
      <c r="Q437">
        <v>14.1</v>
      </c>
    </row>
    <row r="438" spans="1:17">
      <c r="A438">
        <v>1882</v>
      </c>
      <c r="B438" t="s">
        <v>75</v>
      </c>
      <c r="C438">
        <v>0.55000000000000004</v>
      </c>
      <c r="D438">
        <v>0.45</v>
      </c>
      <c r="E438">
        <v>0.13</v>
      </c>
      <c r="F438">
        <v>0.80400000000000005</v>
      </c>
      <c r="G438">
        <v>0.33750000000000002</v>
      </c>
      <c r="H438">
        <v>0.14050000000000001</v>
      </c>
      <c r="I438">
        <v>0.23</v>
      </c>
      <c r="J438">
        <v>6</v>
      </c>
      <c r="K438">
        <v>15</v>
      </c>
      <c r="L438" t="s">
        <v>60</v>
      </c>
      <c r="M438" t="s">
        <v>61</v>
      </c>
      <c r="N438" t="s">
        <v>45</v>
      </c>
      <c r="O438">
        <v>9</v>
      </c>
      <c r="P438" t="s">
        <v>9</v>
      </c>
      <c r="Q438">
        <v>1.9</v>
      </c>
    </row>
    <row r="439" spans="1:17">
      <c r="A439">
        <v>3675</v>
      </c>
      <c r="B439" t="s">
        <v>75</v>
      </c>
      <c r="C439">
        <v>0.59499999999999997</v>
      </c>
      <c r="D439">
        <v>0.45</v>
      </c>
      <c r="E439">
        <v>0.16500000000000001</v>
      </c>
      <c r="F439">
        <v>1.081</v>
      </c>
      <c r="G439">
        <v>0.49</v>
      </c>
      <c r="H439">
        <v>0.2525</v>
      </c>
      <c r="I439">
        <v>0.27900000000000003</v>
      </c>
      <c r="J439">
        <v>12</v>
      </c>
      <c r="K439">
        <v>3</v>
      </c>
      <c r="L439" t="s">
        <v>52</v>
      </c>
      <c r="M439" t="s">
        <v>53</v>
      </c>
      <c r="N439" t="s">
        <v>54</v>
      </c>
      <c r="O439">
        <v>7</v>
      </c>
      <c r="P439" t="s">
        <v>6</v>
      </c>
      <c r="Q439">
        <v>2.5</v>
      </c>
    </row>
    <row r="440" spans="1:17">
      <c r="A440">
        <v>1939</v>
      </c>
      <c r="B440" t="s">
        <v>75</v>
      </c>
      <c r="C440">
        <v>0.625</v>
      </c>
      <c r="D440">
        <v>0.505</v>
      </c>
      <c r="E440">
        <v>0.185</v>
      </c>
      <c r="F440">
        <v>1.1565000000000001</v>
      </c>
      <c r="G440">
        <v>0.52</v>
      </c>
      <c r="H440">
        <v>0.24049999999999999</v>
      </c>
      <c r="I440">
        <v>0.35349999999999998</v>
      </c>
      <c r="J440">
        <v>10</v>
      </c>
      <c r="K440">
        <v>4</v>
      </c>
      <c r="L440" t="s">
        <v>40</v>
      </c>
      <c r="M440" t="s">
        <v>41</v>
      </c>
      <c r="N440" t="s">
        <v>42</v>
      </c>
      <c r="O440">
        <v>10</v>
      </c>
      <c r="P440" t="s">
        <v>11</v>
      </c>
      <c r="Q440">
        <v>24.1</v>
      </c>
    </row>
    <row r="441" spans="1:17">
      <c r="A441">
        <v>3474</v>
      </c>
      <c r="B441" t="s">
        <v>75</v>
      </c>
      <c r="C441">
        <v>0.21</v>
      </c>
      <c r="D441">
        <v>0.15</v>
      </c>
      <c r="E441">
        <v>5.5E-2</v>
      </c>
      <c r="F441">
        <v>4.5499999999999999E-2</v>
      </c>
      <c r="G441">
        <v>0.02</v>
      </c>
      <c r="H441">
        <v>6.4999999999999997E-3</v>
      </c>
      <c r="I441">
        <v>1.2999999999999999E-2</v>
      </c>
      <c r="J441">
        <v>4</v>
      </c>
      <c r="K441">
        <v>4</v>
      </c>
      <c r="L441" t="s">
        <v>40</v>
      </c>
      <c r="M441" t="s">
        <v>41</v>
      </c>
      <c r="N441" t="s">
        <v>42</v>
      </c>
      <c r="O441">
        <v>10</v>
      </c>
      <c r="P441" t="s">
        <v>11</v>
      </c>
      <c r="Q441">
        <v>24.1</v>
      </c>
    </row>
    <row r="442" spans="1:17">
      <c r="A442">
        <v>2397</v>
      </c>
      <c r="B442" t="s">
        <v>75</v>
      </c>
      <c r="C442">
        <v>0.625</v>
      </c>
      <c r="D442">
        <v>0.46500000000000002</v>
      </c>
      <c r="E442">
        <v>0.155</v>
      </c>
      <c r="F442">
        <v>0.97199999999999998</v>
      </c>
      <c r="G442">
        <v>0.40400000000000003</v>
      </c>
      <c r="H442">
        <v>0.1845</v>
      </c>
      <c r="I442">
        <v>0.35</v>
      </c>
      <c r="J442">
        <v>14</v>
      </c>
      <c r="K442">
        <v>5</v>
      </c>
      <c r="L442" t="s">
        <v>67</v>
      </c>
      <c r="M442" t="s">
        <v>68</v>
      </c>
      <c r="N442" t="s">
        <v>69</v>
      </c>
      <c r="O442">
        <v>2</v>
      </c>
      <c r="P442" t="s">
        <v>5</v>
      </c>
      <c r="Q442">
        <v>18</v>
      </c>
    </row>
    <row r="443" spans="1:17">
      <c r="A443">
        <v>1259</v>
      </c>
      <c r="B443" t="s">
        <v>75</v>
      </c>
      <c r="C443">
        <v>0.43</v>
      </c>
      <c r="D443">
        <v>0.315</v>
      </c>
      <c r="E443">
        <v>9.5000000000000001E-2</v>
      </c>
      <c r="F443">
        <v>0.378</v>
      </c>
      <c r="G443">
        <v>0.17499999999999999</v>
      </c>
      <c r="H443">
        <v>0.08</v>
      </c>
      <c r="I443">
        <v>0.1045</v>
      </c>
      <c r="J443">
        <v>8</v>
      </c>
      <c r="K443">
        <v>15</v>
      </c>
      <c r="L443" t="s">
        <v>60</v>
      </c>
      <c r="M443" t="s">
        <v>61</v>
      </c>
      <c r="N443" t="s">
        <v>45</v>
      </c>
      <c r="O443">
        <v>8</v>
      </c>
      <c r="P443" t="s">
        <v>13</v>
      </c>
      <c r="Q443">
        <v>12.3</v>
      </c>
    </row>
    <row r="444" spans="1:17">
      <c r="A444">
        <v>1848</v>
      </c>
      <c r="B444" t="s">
        <v>75</v>
      </c>
      <c r="C444">
        <v>0.47</v>
      </c>
      <c r="D444">
        <v>0.375</v>
      </c>
      <c r="E444">
        <v>0.12</v>
      </c>
      <c r="F444">
        <v>0.48699999999999999</v>
      </c>
      <c r="G444">
        <v>0.19600000000000001</v>
      </c>
      <c r="H444">
        <v>9.9000000000000005E-2</v>
      </c>
      <c r="I444">
        <v>0.13500000000000001</v>
      </c>
      <c r="J444">
        <v>8</v>
      </c>
      <c r="K444">
        <v>1</v>
      </c>
      <c r="L444" t="s">
        <v>70</v>
      </c>
      <c r="M444" t="s">
        <v>71</v>
      </c>
      <c r="N444" t="s">
        <v>45</v>
      </c>
      <c r="O444">
        <v>9</v>
      </c>
      <c r="P444" t="s">
        <v>9</v>
      </c>
      <c r="Q444">
        <v>1.9</v>
      </c>
    </row>
    <row r="445" spans="1:17">
      <c r="A445">
        <v>832</v>
      </c>
      <c r="B445" t="s">
        <v>75</v>
      </c>
      <c r="C445">
        <v>0.42499999999999999</v>
      </c>
      <c r="D445">
        <v>0.32500000000000001</v>
      </c>
      <c r="E445">
        <v>0.1</v>
      </c>
      <c r="F445">
        <v>0.39800000000000002</v>
      </c>
      <c r="G445">
        <v>0.11849999999999999</v>
      </c>
      <c r="H445">
        <v>6.4500000000000002E-2</v>
      </c>
      <c r="I445">
        <v>9.4500000000000001E-2</v>
      </c>
      <c r="J445">
        <v>6</v>
      </c>
      <c r="K445">
        <v>4</v>
      </c>
      <c r="L445" t="s">
        <v>40</v>
      </c>
      <c r="M445" t="s">
        <v>41</v>
      </c>
      <c r="N445" t="s">
        <v>42</v>
      </c>
      <c r="O445">
        <v>4</v>
      </c>
      <c r="P445" t="s">
        <v>8</v>
      </c>
      <c r="Q445">
        <v>6.1</v>
      </c>
    </row>
    <row r="446" spans="1:17">
      <c r="A446">
        <v>518</v>
      </c>
      <c r="B446" t="s">
        <v>75</v>
      </c>
      <c r="C446">
        <v>0.28000000000000003</v>
      </c>
      <c r="D446">
        <v>0.2</v>
      </c>
      <c r="E446">
        <v>0.08</v>
      </c>
      <c r="F446">
        <v>9.1499999999999998E-2</v>
      </c>
      <c r="G446">
        <v>3.3000000000000002E-2</v>
      </c>
      <c r="H446">
        <v>2.1499999999999998E-2</v>
      </c>
      <c r="I446">
        <v>0.03</v>
      </c>
      <c r="J446">
        <v>5</v>
      </c>
      <c r="K446">
        <v>12</v>
      </c>
      <c r="L446" t="s">
        <v>58</v>
      </c>
      <c r="M446" t="s">
        <v>59</v>
      </c>
      <c r="N446" t="s">
        <v>45</v>
      </c>
      <c r="O446">
        <v>7</v>
      </c>
      <c r="P446" t="s">
        <v>6</v>
      </c>
      <c r="Q446">
        <v>2.5</v>
      </c>
    </row>
    <row r="447" spans="1:17">
      <c r="A447">
        <v>202</v>
      </c>
      <c r="B447" t="s">
        <v>75</v>
      </c>
      <c r="C447">
        <v>0.5</v>
      </c>
      <c r="D447">
        <v>0.4</v>
      </c>
      <c r="E447">
        <v>0.16500000000000001</v>
      </c>
      <c r="F447">
        <v>0.82499999999999996</v>
      </c>
      <c r="G447">
        <v>0.254</v>
      </c>
      <c r="H447">
        <v>0.20499999999999999</v>
      </c>
      <c r="I447">
        <v>0.28499999999999998</v>
      </c>
      <c r="J447">
        <v>13</v>
      </c>
      <c r="K447">
        <v>10</v>
      </c>
      <c r="L447" t="s">
        <v>37</v>
      </c>
      <c r="M447" t="s">
        <v>38</v>
      </c>
      <c r="N447" t="s">
        <v>39</v>
      </c>
      <c r="O447">
        <v>6</v>
      </c>
      <c r="P447" t="s">
        <v>7</v>
      </c>
      <c r="Q447">
        <v>14.1</v>
      </c>
    </row>
    <row r="448" spans="1:17">
      <c r="A448">
        <v>4140</v>
      </c>
      <c r="B448" t="s">
        <v>75</v>
      </c>
      <c r="C448">
        <v>0.63500000000000001</v>
      </c>
      <c r="D448">
        <v>0.495</v>
      </c>
      <c r="E448">
        <v>0.17499999999999999</v>
      </c>
      <c r="F448">
        <v>1.2355</v>
      </c>
      <c r="G448">
        <v>0.52049999999999996</v>
      </c>
      <c r="H448">
        <v>0.3085</v>
      </c>
      <c r="I448">
        <v>0.34699999999999998</v>
      </c>
      <c r="J448">
        <v>10</v>
      </c>
      <c r="K448">
        <v>5</v>
      </c>
      <c r="L448" t="s">
        <v>67</v>
      </c>
      <c r="M448" t="s">
        <v>68</v>
      </c>
      <c r="N448" t="s">
        <v>69</v>
      </c>
      <c r="O448">
        <v>1</v>
      </c>
      <c r="P448" t="s">
        <v>4</v>
      </c>
      <c r="Q448">
        <v>22.1</v>
      </c>
    </row>
    <row r="449" spans="1:17">
      <c r="A449">
        <v>214</v>
      </c>
      <c r="B449" t="s">
        <v>75</v>
      </c>
      <c r="C449">
        <v>0.5</v>
      </c>
      <c r="D449">
        <v>0.40500000000000003</v>
      </c>
      <c r="E449">
        <v>0.14000000000000001</v>
      </c>
      <c r="F449">
        <v>0.61550000000000005</v>
      </c>
      <c r="G449">
        <v>0.24099999999999999</v>
      </c>
      <c r="H449">
        <v>0.13550000000000001</v>
      </c>
      <c r="I449">
        <v>0.20499999999999999</v>
      </c>
      <c r="J449">
        <v>9</v>
      </c>
      <c r="K449">
        <v>8</v>
      </c>
      <c r="L449" t="s">
        <v>55</v>
      </c>
      <c r="M449" t="s">
        <v>56</v>
      </c>
      <c r="N449" t="s">
        <v>57</v>
      </c>
      <c r="O449">
        <v>4</v>
      </c>
      <c r="P449" t="s">
        <v>8</v>
      </c>
      <c r="Q449">
        <v>6.1</v>
      </c>
    </row>
    <row r="450" spans="1:17">
      <c r="A450">
        <v>791</v>
      </c>
      <c r="B450" t="s">
        <v>75</v>
      </c>
      <c r="C450">
        <v>0.56999999999999995</v>
      </c>
      <c r="D450">
        <v>0.46500000000000002</v>
      </c>
      <c r="E450">
        <v>0.16</v>
      </c>
      <c r="F450">
        <v>0.89349999999999996</v>
      </c>
      <c r="G450">
        <v>0.3145</v>
      </c>
      <c r="H450">
        <v>0.25750000000000001</v>
      </c>
      <c r="I450">
        <v>0.26300000000000001</v>
      </c>
      <c r="J450">
        <v>10</v>
      </c>
      <c r="K450">
        <v>14</v>
      </c>
      <c r="L450" t="s">
        <v>72</v>
      </c>
      <c r="M450" t="s">
        <v>73</v>
      </c>
      <c r="N450" t="s">
        <v>74</v>
      </c>
      <c r="O450">
        <v>10</v>
      </c>
      <c r="P450" t="s">
        <v>11</v>
      </c>
      <c r="Q450">
        <v>24.1</v>
      </c>
    </row>
    <row r="451" spans="1:17">
      <c r="A451">
        <v>4167</v>
      </c>
      <c r="B451" t="s">
        <v>75</v>
      </c>
      <c r="C451">
        <v>0.47499999999999998</v>
      </c>
      <c r="D451">
        <v>0.36499999999999999</v>
      </c>
      <c r="E451">
        <v>0.115</v>
      </c>
      <c r="F451">
        <v>0.499</v>
      </c>
      <c r="G451">
        <v>0.23200000000000001</v>
      </c>
      <c r="H451">
        <v>8.8499999999999995E-2</v>
      </c>
      <c r="I451">
        <v>0.156</v>
      </c>
      <c r="J451">
        <v>10</v>
      </c>
      <c r="K451">
        <v>1</v>
      </c>
      <c r="L451" t="s">
        <v>70</v>
      </c>
      <c r="M451" t="s">
        <v>71</v>
      </c>
      <c r="N451" t="s">
        <v>45</v>
      </c>
      <c r="O451">
        <v>5</v>
      </c>
      <c r="P451" t="s">
        <v>12</v>
      </c>
      <c r="Q451">
        <v>12.8</v>
      </c>
    </row>
    <row r="452" spans="1:17">
      <c r="A452">
        <v>1437</v>
      </c>
      <c r="B452" t="s">
        <v>75</v>
      </c>
      <c r="C452">
        <v>0.39500000000000002</v>
      </c>
      <c r="D452">
        <v>0.29499999999999998</v>
      </c>
      <c r="E452">
        <v>0.09</v>
      </c>
      <c r="F452">
        <v>0.30249999999999999</v>
      </c>
      <c r="G452">
        <v>0.14299999999999999</v>
      </c>
      <c r="H452">
        <v>6.6500000000000004E-2</v>
      </c>
      <c r="I452">
        <v>7.6499999999999999E-2</v>
      </c>
      <c r="J452">
        <v>5</v>
      </c>
      <c r="K452">
        <v>10</v>
      </c>
      <c r="L452" t="s">
        <v>37</v>
      </c>
      <c r="M452" t="s">
        <v>38</v>
      </c>
      <c r="N452" t="s">
        <v>39</v>
      </c>
      <c r="O452">
        <v>4</v>
      </c>
      <c r="P452" t="s">
        <v>8</v>
      </c>
      <c r="Q452">
        <v>6.1</v>
      </c>
    </row>
    <row r="453" spans="1:17">
      <c r="A453">
        <v>3214</v>
      </c>
      <c r="B453" t="s">
        <v>75</v>
      </c>
      <c r="C453">
        <v>0.55500000000000005</v>
      </c>
      <c r="D453">
        <v>0.42</v>
      </c>
      <c r="E453">
        <v>0.14000000000000001</v>
      </c>
      <c r="F453">
        <v>0.86799999999999999</v>
      </c>
      <c r="G453">
        <v>0.33</v>
      </c>
      <c r="H453">
        <v>0.24299999999999999</v>
      </c>
      <c r="I453">
        <v>0.21</v>
      </c>
      <c r="J453">
        <v>13</v>
      </c>
      <c r="K453">
        <v>8</v>
      </c>
      <c r="L453" t="s">
        <v>55</v>
      </c>
      <c r="M453" t="s">
        <v>56</v>
      </c>
      <c r="N453" t="s">
        <v>57</v>
      </c>
      <c r="O453">
        <v>5</v>
      </c>
      <c r="P453" t="s">
        <v>12</v>
      </c>
      <c r="Q453">
        <v>12.8</v>
      </c>
    </row>
    <row r="454" spans="1:17">
      <c r="A454">
        <v>1600</v>
      </c>
      <c r="B454" t="s">
        <v>75</v>
      </c>
      <c r="C454">
        <v>0.53</v>
      </c>
      <c r="D454">
        <v>0.42</v>
      </c>
      <c r="E454">
        <v>0.13</v>
      </c>
      <c r="F454">
        <v>0.83650000000000002</v>
      </c>
      <c r="G454">
        <v>0.3745</v>
      </c>
      <c r="H454">
        <v>0.16700000000000001</v>
      </c>
      <c r="I454">
        <v>0.249</v>
      </c>
      <c r="J454">
        <v>11</v>
      </c>
      <c r="K454">
        <v>8</v>
      </c>
      <c r="L454" t="s">
        <v>55</v>
      </c>
      <c r="M454" t="s">
        <v>56</v>
      </c>
      <c r="N454" t="s">
        <v>57</v>
      </c>
      <c r="O454">
        <v>2</v>
      </c>
      <c r="P454" t="s">
        <v>5</v>
      </c>
      <c r="Q454">
        <v>18</v>
      </c>
    </row>
    <row r="455" spans="1:17">
      <c r="A455">
        <v>2189</v>
      </c>
      <c r="B455" t="s">
        <v>75</v>
      </c>
      <c r="C455">
        <v>0.47</v>
      </c>
      <c r="D455">
        <v>0.37</v>
      </c>
      <c r="E455">
        <v>0.13500000000000001</v>
      </c>
      <c r="F455">
        <v>0.54700000000000004</v>
      </c>
      <c r="G455">
        <v>0.222</v>
      </c>
      <c r="H455">
        <v>0.13250000000000001</v>
      </c>
      <c r="I455">
        <v>0.17</v>
      </c>
      <c r="J455">
        <v>12</v>
      </c>
      <c r="K455">
        <v>13</v>
      </c>
      <c r="L455" t="s">
        <v>43</v>
      </c>
      <c r="M455" t="s">
        <v>44</v>
      </c>
      <c r="N455" t="s">
        <v>45</v>
      </c>
      <c r="O455">
        <v>4</v>
      </c>
      <c r="P455" t="s">
        <v>8</v>
      </c>
      <c r="Q455">
        <v>6.1</v>
      </c>
    </row>
    <row r="456" spans="1:17">
      <c r="A456">
        <v>625</v>
      </c>
      <c r="B456" t="s">
        <v>75</v>
      </c>
      <c r="C456">
        <v>0.46500000000000002</v>
      </c>
      <c r="D456">
        <v>0.36</v>
      </c>
      <c r="E456">
        <v>0.105</v>
      </c>
      <c r="F456">
        <v>0.498</v>
      </c>
      <c r="G456">
        <v>0.214</v>
      </c>
      <c r="H456">
        <v>0.11600000000000001</v>
      </c>
      <c r="I456">
        <v>0.14000000000000001</v>
      </c>
      <c r="J456">
        <v>15</v>
      </c>
      <c r="K456">
        <v>15</v>
      </c>
      <c r="L456" t="s">
        <v>60</v>
      </c>
      <c r="M456" t="s">
        <v>61</v>
      </c>
      <c r="N456" t="s">
        <v>45</v>
      </c>
      <c r="O456">
        <v>3</v>
      </c>
      <c r="P456" t="s">
        <v>10</v>
      </c>
      <c r="Q456">
        <v>3.6</v>
      </c>
    </row>
    <row r="457" spans="1:17">
      <c r="A457">
        <v>2903</v>
      </c>
      <c r="B457" t="s">
        <v>75</v>
      </c>
      <c r="C457">
        <v>0.56000000000000005</v>
      </c>
      <c r="D457">
        <v>0.435</v>
      </c>
      <c r="E457">
        <v>0.13</v>
      </c>
      <c r="F457">
        <v>0.77700000000000002</v>
      </c>
      <c r="G457">
        <v>0.35399999999999998</v>
      </c>
      <c r="H457">
        <v>0.17299999999999999</v>
      </c>
      <c r="I457">
        <v>0.222</v>
      </c>
      <c r="J457">
        <v>9</v>
      </c>
      <c r="K457">
        <v>9</v>
      </c>
      <c r="L457" t="s">
        <v>34</v>
      </c>
      <c r="M457" t="s">
        <v>35</v>
      </c>
      <c r="N457" t="s">
        <v>36</v>
      </c>
      <c r="O457">
        <v>2</v>
      </c>
      <c r="P457" t="s">
        <v>5</v>
      </c>
      <c r="Q457">
        <v>18</v>
      </c>
    </row>
    <row r="458" spans="1:17">
      <c r="A458">
        <v>4029</v>
      </c>
      <c r="B458" t="s">
        <v>75</v>
      </c>
      <c r="C458">
        <v>0.42</v>
      </c>
      <c r="D458">
        <v>0.31</v>
      </c>
      <c r="E458">
        <v>0.1</v>
      </c>
      <c r="F458">
        <v>0.28050000000000003</v>
      </c>
      <c r="G458">
        <v>0.1125</v>
      </c>
      <c r="H458">
        <v>6.1499999999999999E-2</v>
      </c>
      <c r="I458">
        <v>9.2499999999999999E-2</v>
      </c>
      <c r="J458">
        <v>8</v>
      </c>
      <c r="K458">
        <v>6</v>
      </c>
      <c r="L458" t="s">
        <v>46</v>
      </c>
      <c r="M458" t="s">
        <v>47</v>
      </c>
      <c r="N458" t="s">
        <v>48</v>
      </c>
      <c r="O458">
        <v>7</v>
      </c>
      <c r="P458" t="s">
        <v>6</v>
      </c>
      <c r="Q458">
        <v>2.5</v>
      </c>
    </row>
    <row r="459" spans="1:17">
      <c r="A459">
        <v>1056</v>
      </c>
      <c r="B459" t="s">
        <v>75</v>
      </c>
      <c r="C459">
        <v>0.19500000000000001</v>
      </c>
      <c r="D459">
        <v>0.13500000000000001</v>
      </c>
      <c r="E459">
        <v>0.04</v>
      </c>
      <c r="F459">
        <v>3.2500000000000001E-2</v>
      </c>
      <c r="G459">
        <v>1.35E-2</v>
      </c>
      <c r="H459">
        <v>5.0000000000000001E-3</v>
      </c>
      <c r="I459">
        <v>9.4999999999999998E-3</v>
      </c>
      <c r="J459">
        <v>4</v>
      </c>
      <c r="K459">
        <v>15</v>
      </c>
      <c r="L459" t="s">
        <v>60</v>
      </c>
      <c r="M459" t="s">
        <v>61</v>
      </c>
      <c r="N459" t="s">
        <v>45</v>
      </c>
      <c r="O459">
        <v>6</v>
      </c>
      <c r="P459" t="s">
        <v>7</v>
      </c>
      <c r="Q459">
        <v>14.1</v>
      </c>
    </row>
    <row r="460" spans="1:17">
      <c r="A460">
        <v>3187</v>
      </c>
      <c r="B460" t="s">
        <v>75</v>
      </c>
      <c r="C460">
        <v>0.47</v>
      </c>
      <c r="D460">
        <v>0.36</v>
      </c>
      <c r="E460">
        <v>0.11</v>
      </c>
      <c r="F460">
        <v>0.4965</v>
      </c>
      <c r="G460">
        <v>0.23699999999999999</v>
      </c>
      <c r="H460">
        <v>0.127</v>
      </c>
      <c r="I460">
        <v>0.13</v>
      </c>
      <c r="J460">
        <v>6</v>
      </c>
      <c r="K460">
        <v>3</v>
      </c>
      <c r="L460" t="s">
        <v>52</v>
      </c>
      <c r="M460" t="s">
        <v>53</v>
      </c>
      <c r="N460" t="s">
        <v>54</v>
      </c>
      <c r="O460">
        <v>1</v>
      </c>
      <c r="P460" t="s">
        <v>4</v>
      </c>
      <c r="Q460">
        <v>22.1</v>
      </c>
    </row>
    <row r="461" spans="1:17">
      <c r="A461">
        <v>1103</v>
      </c>
      <c r="B461" t="s">
        <v>75</v>
      </c>
      <c r="C461">
        <v>0.5</v>
      </c>
      <c r="D461">
        <v>0.39</v>
      </c>
      <c r="E461">
        <v>0.125</v>
      </c>
      <c r="F461">
        <v>0.52149999999999996</v>
      </c>
      <c r="G461">
        <v>0.2485</v>
      </c>
      <c r="H461">
        <v>0.11700000000000001</v>
      </c>
      <c r="I461">
        <v>0.13100000000000001</v>
      </c>
      <c r="J461">
        <v>6</v>
      </c>
      <c r="K461">
        <v>8</v>
      </c>
      <c r="L461" t="s">
        <v>55</v>
      </c>
      <c r="M461" t="s">
        <v>56</v>
      </c>
      <c r="N461" t="s">
        <v>57</v>
      </c>
      <c r="O461">
        <v>7</v>
      </c>
      <c r="P461" t="s">
        <v>6</v>
      </c>
      <c r="Q461">
        <v>2.5</v>
      </c>
    </row>
    <row r="462" spans="1:17">
      <c r="A462">
        <v>970</v>
      </c>
      <c r="B462" t="s">
        <v>75</v>
      </c>
      <c r="C462">
        <v>0.51</v>
      </c>
      <c r="D462">
        <v>0.41</v>
      </c>
      <c r="E462">
        <v>0.14499999999999999</v>
      </c>
      <c r="F462">
        <v>0.79600000000000004</v>
      </c>
      <c r="G462">
        <v>0.38650000000000001</v>
      </c>
      <c r="H462">
        <v>0.18149999999999999</v>
      </c>
      <c r="I462">
        <v>0.19550000000000001</v>
      </c>
      <c r="J462">
        <v>8</v>
      </c>
      <c r="K462">
        <v>2</v>
      </c>
      <c r="L462" t="s">
        <v>49</v>
      </c>
      <c r="M462" t="s">
        <v>50</v>
      </c>
      <c r="N462" t="s">
        <v>51</v>
      </c>
      <c r="O462">
        <v>7</v>
      </c>
      <c r="P462" t="s">
        <v>6</v>
      </c>
      <c r="Q462">
        <v>2.5</v>
      </c>
    </row>
    <row r="463" spans="1:17">
      <c r="A463">
        <v>2066</v>
      </c>
      <c r="B463" t="s">
        <v>75</v>
      </c>
      <c r="C463">
        <v>0.53500000000000003</v>
      </c>
      <c r="D463">
        <v>0.42</v>
      </c>
      <c r="E463">
        <v>0.13</v>
      </c>
      <c r="F463">
        <v>0.69899999999999995</v>
      </c>
      <c r="G463">
        <v>0.3125</v>
      </c>
      <c r="H463">
        <v>0.1565</v>
      </c>
      <c r="I463">
        <v>0.20349999999999999</v>
      </c>
      <c r="J463">
        <v>8</v>
      </c>
      <c r="K463">
        <v>9</v>
      </c>
      <c r="L463" t="s">
        <v>34</v>
      </c>
      <c r="M463" t="s">
        <v>35</v>
      </c>
      <c r="N463" t="s">
        <v>36</v>
      </c>
      <c r="O463">
        <v>8</v>
      </c>
      <c r="P463" t="s">
        <v>13</v>
      </c>
      <c r="Q463">
        <v>12.3</v>
      </c>
    </row>
    <row r="464" spans="1:17">
      <c r="A464">
        <v>3928</v>
      </c>
      <c r="B464" t="s">
        <v>75</v>
      </c>
      <c r="C464">
        <v>0.5</v>
      </c>
      <c r="D464">
        <v>0.38</v>
      </c>
      <c r="E464">
        <v>0.155</v>
      </c>
      <c r="F464">
        <v>0.66749999999999998</v>
      </c>
      <c r="G464">
        <v>0.27450000000000002</v>
      </c>
      <c r="H464">
        <v>0.156</v>
      </c>
      <c r="I464">
        <v>0.18</v>
      </c>
      <c r="J464">
        <v>12</v>
      </c>
      <c r="K464">
        <v>8</v>
      </c>
      <c r="L464" t="s">
        <v>55</v>
      </c>
      <c r="M464" t="s">
        <v>56</v>
      </c>
      <c r="N464" t="s">
        <v>57</v>
      </c>
      <c r="O464">
        <v>10</v>
      </c>
      <c r="P464" t="s">
        <v>11</v>
      </c>
      <c r="Q464">
        <v>24.1</v>
      </c>
    </row>
    <row r="465" spans="1:17">
      <c r="A465">
        <v>1292</v>
      </c>
      <c r="B465" t="s">
        <v>75</v>
      </c>
      <c r="C465">
        <v>0.51500000000000001</v>
      </c>
      <c r="D465">
        <v>0.42</v>
      </c>
      <c r="E465">
        <v>0.13500000000000001</v>
      </c>
      <c r="F465">
        <v>0.71099999999999997</v>
      </c>
      <c r="G465">
        <v>0.33700000000000002</v>
      </c>
      <c r="H465">
        <v>0.14399999999999999</v>
      </c>
      <c r="I465">
        <v>0.20499999999999999</v>
      </c>
      <c r="J465">
        <v>13</v>
      </c>
      <c r="K465">
        <v>13</v>
      </c>
      <c r="L465" t="s">
        <v>43</v>
      </c>
      <c r="M465" t="s">
        <v>44</v>
      </c>
      <c r="N465" t="s">
        <v>45</v>
      </c>
      <c r="O465">
        <v>5</v>
      </c>
      <c r="P465" t="s">
        <v>12</v>
      </c>
      <c r="Q465">
        <v>12.8</v>
      </c>
    </row>
    <row r="466" spans="1:17">
      <c r="A466">
        <v>2899</v>
      </c>
      <c r="B466" t="s">
        <v>75</v>
      </c>
      <c r="C466">
        <v>0.55000000000000004</v>
      </c>
      <c r="D466">
        <v>0.435</v>
      </c>
      <c r="E466">
        <v>0.16500000000000001</v>
      </c>
      <c r="F466">
        <v>0.80400000000000005</v>
      </c>
      <c r="G466">
        <v>0.34</v>
      </c>
      <c r="H466">
        <v>0.19400000000000001</v>
      </c>
      <c r="I466">
        <v>0.24399999999999999</v>
      </c>
      <c r="J466">
        <v>8</v>
      </c>
      <c r="K466">
        <v>2</v>
      </c>
      <c r="L466" t="s">
        <v>49</v>
      </c>
      <c r="M466" t="s">
        <v>50</v>
      </c>
      <c r="N466" t="s">
        <v>51</v>
      </c>
      <c r="O466">
        <v>6</v>
      </c>
      <c r="P466" t="s">
        <v>7</v>
      </c>
      <c r="Q466">
        <v>14.1</v>
      </c>
    </row>
    <row r="467" spans="1:17">
      <c r="A467">
        <v>4116</v>
      </c>
      <c r="B467" t="s">
        <v>75</v>
      </c>
      <c r="C467">
        <v>0.60499999999999998</v>
      </c>
      <c r="D467">
        <v>0.46500000000000002</v>
      </c>
      <c r="E467">
        <v>0.155</v>
      </c>
      <c r="F467">
        <v>1.1000000000000001</v>
      </c>
      <c r="G467">
        <v>0.54700000000000004</v>
      </c>
      <c r="H467">
        <v>0.26650000000000001</v>
      </c>
      <c r="I467">
        <v>0.25850000000000001</v>
      </c>
      <c r="J467">
        <v>10</v>
      </c>
      <c r="K467">
        <v>14</v>
      </c>
      <c r="L467" t="s">
        <v>72</v>
      </c>
      <c r="M467" t="s">
        <v>73</v>
      </c>
      <c r="N467" t="s">
        <v>74</v>
      </c>
      <c r="O467">
        <v>7</v>
      </c>
      <c r="P467" t="s">
        <v>6</v>
      </c>
      <c r="Q467">
        <v>2.5</v>
      </c>
    </row>
    <row r="468" spans="1:17">
      <c r="A468">
        <v>1927</v>
      </c>
      <c r="B468" t="s">
        <v>75</v>
      </c>
      <c r="C468">
        <v>0.61499999999999999</v>
      </c>
      <c r="D468">
        <v>0.47</v>
      </c>
      <c r="E468">
        <v>0.14499999999999999</v>
      </c>
      <c r="F468">
        <v>1.0285</v>
      </c>
      <c r="G468">
        <v>0.44350000000000001</v>
      </c>
      <c r="H468">
        <v>0.28249999999999997</v>
      </c>
      <c r="I468">
        <v>0.28499999999999998</v>
      </c>
      <c r="J468">
        <v>11</v>
      </c>
      <c r="K468">
        <v>7</v>
      </c>
      <c r="L468" t="s">
        <v>62</v>
      </c>
      <c r="M468" t="s">
        <v>63</v>
      </c>
      <c r="N468" t="s">
        <v>64</v>
      </c>
      <c r="O468">
        <v>2</v>
      </c>
      <c r="P468" t="s">
        <v>5</v>
      </c>
      <c r="Q468">
        <v>18</v>
      </c>
    </row>
    <row r="469" spans="1:17">
      <c r="A469">
        <v>1075</v>
      </c>
      <c r="B469" t="s">
        <v>75</v>
      </c>
      <c r="C469">
        <v>0.41</v>
      </c>
      <c r="D469">
        <v>0.3</v>
      </c>
      <c r="E469">
        <v>0.1</v>
      </c>
      <c r="F469">
        <v>0.28199999999999997</v>
      </c>
      <c r="G469">
        <v>0.1255</v>
      </c>
      <c r="H469">
        <v>5.7000000000000002E-2</v>
      </c>
      <c r="I469">
        <v>8.7499999999999994E-2</v>
      </c>
      <c r="J469">
        <v>7</v>
      </c>
      <c r="K469">
        <v>12</v>
      </c>
      <c r="L469" t="s">
        <v>58</v>
      </c>
      <c r="M469" t="s">
        <v>59</v>
      </c>
      <c r="N469" t="s">
        <v>45</v>
      </c>
      <c r="O469">
        <v>1</v>
      </c>
      <c r="P469" t="s">
        <v>4</v>
      </c>
      <c r="Q469">
        <v>22.1</v>
      </c>
    </row>
    <row r="470" spans="1:17">
      <c r="A470">
        <v>1454</v>
      </c>
      <c r="B470" t="s">
        <v>75</v>
      </c>
      <c r="C470">
        <v>0.47</v>
      </c>
      <c r="D470">
        <v>0.35</v>
      </c>
      <c r="E470">
        <v>0.125</v>
      </c>
      <c r="F470">
        <v>0.43149999999999999</v>
      </c>
      <c r="G470">
        <v>0.19</v>
      </c>
      <c r="H470">
        <v>0.11650000000000001</v>
      </c>
      <c r="I470">
        <v>0.11749999999999999</v>
      </c>
      <c r="J470">
        <v>6</v>
      </c>
      <c r="K470">
        <v>5</v>
      </c>
      <c r="L470" t="s">
        <v>67</v>
      </c>
      <c r="M470" t="s">
        <v>68</v>
      </c>
      <c r="N470" t="s">
        <v>69</v>
      </c>
      <c r="O470">
        <v>9</v>
      </c>
      <c r="P470" t="s">
        <v>9</v>
      </c>
      <c r="Q470">
        <v>1.9</v>
      </c>
    </row>
    <row r="471" spans="1:17">
      <c r="A471">
        <v>862</v>
      </c>
      <c r="B471" t="s">
        <v>75</v>
      </c>
      <c r="C471">
        <v>0.59499999999999997</v>
      </c>
      <c r="D471">
        <v>0.46500000000000002</v>
      </c>
      <c r="E471">
        <v>0.14000000000000001</v>
      </c>
      <c r="F471">
        <v>1.113</v>
      </c>
      <c r="G471">
        <v>0.51749999999999996</v>
      </c>
      <c r="H471">
        <v>0.24399999999999999</v>
      </c>
      <c r="I471">
        <v>0.30499999999999999</v>
      </c>
      <c r="J471">
        <v>12</v>
      </c>
      <c r="K471">
        <v>1</v>
      </c>
      <c r="L471" t="s">
        <v>70</v>
      </c>
      <c r="M471" t="s">
        <v>71</v>
      </c>
      <c r="N471" t="s">
        <v>45</v>
      </c>
      <c r="O471">
        <v>1</v>
      </c>
      <c r="P471" t="s">
        <v>4</v>
      </c>
      <c r="Q471">
        <v>22.1</v>
      </c>
    </row>
    <row r="472" spans="1:17">
      <c r="A472">
        <v>1988</v>
      </c>
      <c r="B472" t="s">
        <v>75</v>
      </c>
      <c r="C472">
        <v>0.16</v>
      </c>
      <c r="D472">
        <v>0.11</v>
      </c>
      <c r="E472">
        <v>2.5000000000000001E-2</v>
      </c>
      <c r="F472">
        <v>1.95E-2</v>
      </c>
      <c r="G472">
        <v>7.4999999999999997E-3</v>
      </c>
      <c r="H472">
        <v>5.0000000000000001E-3</v>
      </c>
      <c r="I472">
        <v>6.0000000000000001E-3</v>
      </c>
      <c r="J472">
        <v>4</v>
      </c>
      <c r="K472">
        <v>8</v>
      </c>
      <c r="L472" t="s">
        <v>55</v>
      </c>
      <c r="M472" t="s">
        <v>56</v>
      </c>
      <c r="N472" t="s">
        <v>57</v>
      </c>
      <c r="O472">
        <v>3</v>
      </c>
      <c r="P472" t="s">
        <v>10</v>
      </c>
      <c r="Q472">
        <v>3.6</v>
      </c>
    </row>
    <row r="473" spans="1:17">
      <c r="A473">
        <v>935</v>
      </c>
      <c r="B473" t="s">
        <v>75</v>
      </c>
      <c r="C473">
        <v>0.45</v>
      </c>
      <c r="D473">
        <v>0.35499999999999998</v>
      </c>
      <c r="E473">
        <v>0.105</v>
      </c>
      <c r="F473">
        <v>0.44450000000000001</v>
      </c>
      <c r="G473">
        <v>0.19700000000000001</v>
      </c>
      <c r="H473">
        <v>9.2999999999999999E-2</v>
      </c>
      <c r="I473">
        <v>0.13350000000000001</v>
      </c>
      <c r="J473">
        <v>8</v>
      </c>
      <c r="K473">
        <v>2</v>
      </c>
      <c r="L473" t="s">
        <v>49</v>
      </c>
      <c r="M473" t="s">
        <v>50</v>
      </c>
      <c r="N473" t="s">
        <v>51</v>
      </c>
      <c r="O473">
        <v>5</v>
      </c>
      <c r="P473" t="s">
        <v>12</v>
      </c>
      <c r="Q473">
        <v>12.8</v>
      </c>
    </row>
    <row r="474" spans="1:17">
      <c r="A474">
        <v>1328</v>
      </c>
      <c r="B474" t="s">
        <v>75</v>
      </c>
      <c r="C474">
        <v>0.56499999999999995</v>
      </c>
      <c r="D474">
        <v>0.39</v>
      </c>
      <c r="E474">
        <v>0.125</v>
      </c>
      <c r="F474">
        <v>0.74399999999999999</v>
      </c>
      <c r="G474">
        <v>0.35199999999999998</v>
      </c>
      <c r="H474">
        <v>0.13</v>
      </c>
      <c r="I474">
        <v>0.16850000000000001</v>
      </c>
      <c r="J474">
        <v>11</v>
      </c>
      <c r="K474">
        <v>6</v>
      </c>
      <c r="L474" t="s">
        <v>46</v>
      </c>
      <c r="M474" t="s">
        <v>47</v>
      </c>
      <c r="N474" t="s">
        <v>48</v>
      </c>
      <c r="O474">
        <v>3</v>
      </c>
      <c r="P474" t="s">
        <v>10</v>
      </c>
      <c r="Q474">
        <v>3.6</v>
      </c>
    </row>
    <row r="475" spans="1:17">
      <c r="A475">
        <v>2510</v>
      </c>
      <c r="B475" t="s">
        <v>75</v>
      </c>
      <c r="C475">
        <v>0.41499999999999998</v>
      </c>
      <c r="D475">
        <v>0.315</v>
      </c>
      <c r="E475">
        <v>0.09</v>
      </c>
      <c r="F475">
        <v>0.36249999999999999</v>
      </c>
      <c r="G475">
        <v>0.17499999999999999</v>
      </c>
      <c r="H475">
        <v>8.3500000000000005E-2</v>
      </c>
      <c r="I475">
        <v>9.2999999999999999E-2</v>
      </c>
      <c r="J475">
        <v>6</v>
      </c>
      <c r="K475">
        <v>8</v>
      </c>
      <c r="L475" t="s">
        <v>55</v>
      </c>
      <c r="M475" t="s">
        <v>56</v>
      </c>
      <c r="N475" t="s">
        <v>57</v>
      </c>
      <c r="O475">
        <v>3</v>
      </c>
      <c r="P475" t="s">
        <v>10</v>
      </c>
      <c r="Q475">
        <v>3.6</v>
      </c>
    </row>
    <row r="476" spans="1:17">
      <c r="A476">
        <v>782</v>
      </c>
      <c r="B476" t="s">
        <v>75</v>
      </c>
      <c r="C476">
        <v>0.505</v>
      </c>
      <c r="D476">
        <v>0.38500000000000001</v>
      </c>
      <c r="E476">
        <v>0.15</v>
      </c>
      <c r="F476">
        <v>0.64149999999999996</v>
      </c>
      <c r="G476">
        <v>0.246</v>
      </c>
      <c r="H476">
        <v>0.152</v>
      </c>
      <c r="I476">
        <v>0.215</v>
      </c>
      <c r="J476">
        <v>12</v>
      </c>
      <c r="K476">
        <v>9</v>
      </c>
      <c r="L476" t="s">
        <v>34</v>
      </c>
      <c r="M476" t="s">
        <v>35</v>
      </c>
      <c r="N476" t="s">
        <v>36</v>
      </c>
      <c r="O476">
        <v>9</v>
      </c>
      <c r="P476" t="s">
        <v>9</v>
      </c>
      <c r="Q476">
        <v>1.9</v>
      </c>
    </row>
    <row r="477" spans="1:17">
      <c r="A477">
        <v>76</v>
      </c>
      <c r="B477" t="s">
        <v>75</v>
      </c>
      <c r="C477">
        <v>0.6</v>
      </c>
      <c r="D477">
        <v>0.47499999999999998</v>
      </c>
      <c r="E477">
        <v>0.15</v>
      </c>
      <c r="F477">
        <v>1.0075000000000001</v>
      </c>
      <c r="G477">
        <v>0.4425</v>
      </c>
      <c r="H477">
        <v>0.221</v>
      </c>
      <c r="I477">
        <v>0.28000000000000003</v>
      </c>
      <c r="J477">
        <v>15</v>
      </c>
      <c r="K477">
        <v>2</v>
      </c>
      <c r="L477" t="s">
        <v>49</v>
      </c>
      <c r="M477" t="s">
        <v>50</v>
      </c>
      <c r="N477" t="s">
        <v>51</v>
      </c>
      <c r="O477">
        <v>2</v>
      </c>
      <c r="P477" t="s">
        <v>5</v>
      </c>
      <c r="Q477">
        <v>18</v>
      </c>
    </row>
    <row r="478" spans="1:17">
      <c r="A478">
        <v>1123</v>
      </c>
      <c r="B478" t="s">
        <v>75</v>
      </c>
      <c r="C478">
        <v>0.54500000000000004</v>
      </c>
      <c r="D478">
        <v>0.41499999999999998</v>
      </c>
      <c r="E478">
        <v>0.14000000000000001</v>
      </c>
      <c r="F478">
        <v>0.82</v>
      </c>
      <c r="G478">
        <v>0.46150000000000002</v>
      </c>
      <c r="H478">
        <v>0.127</v>
      </c>
      <c r="I478">
        <v>0.218</v>
      </c>
      <c r="J478">
        <v>9</v>
      </c>
      <c r="K478">
        <v>11</v>
      </c>
      <c r="L478" t="s">
        <v>65</v>
      </c>
      <c r="M478" t="s">
        <v>66</v>
      </c>
      <c r="N478" t="s">
        <v>45</v>
      </c>
      <c r="O478">
        <v>10</v>
      </c>
      <c r="P478" t="s">
        <v>11</v>
      </c>
      <c r="Q478">
        <v>24.1</v>
      </c>
    </row>
    <row r="479" spans="1:17">
      <c r="A479">
        <v>377</v>
      </c>
      <c r="B479" t="s">
        <v>75</v>
      </c>
      <c r="C479">
        <v>0.63</v>
      </c>
      <c r="D479">
        <v>0.49</v>
      </c>
      <c r="E479">
        <v>0.19</v>
      </c>
      <c r="F479">
        <v>1.1775</v>
      </c>
      <c r="G479">
        <v>0.49349999999999999</v>
      </c>
      <c r="H479">
        <v>0.33650000000000002</v>
      </c>
      <c r="I479">
        <v>0.28499999999999998</v>
      </c>
      <c r="J479">
        <v>11</v>
      </c>
      <c r="K479">
        <v>12</v>
      </c>
      <c r="L479" t="s">
        <v>58</v>
      </c>
      <c r="M479" t="s">
        <v>59</v>
      </c>
      <c r="N479" t="s">
        <v>45</v>
      </c>
      <c r="O479">
        <v>3</v>
      </c>
      <c r="P479" t="s">
        <v>10</v>
      </c>
      <c r="Q479">
        <v>3.6</v>
      </c>
    </row>
    <row r="480" spans="1:17">
      <c r="A480">
        <v>767</v>
      </c>
      <c r="B480" t="s">
        <v>75</v>
      </c>
      <c r="C480">
        <v>0.59</v>
      </c>
      <c r="D480">
        <v>0.44500000000000001</v>
      </c>
      <c r="E480">
        <v>0.13</v>
      </c>
      <c r="F480">
        <v>1.1325000000000001</v>
      </c>
      <c r="G480">
        <v>0.38250000000000001</v>
      </c>
      <c r="H480">
        <v>0.23400000000000001</v>
      </c>
      <c r="I480">
        <v>0.32</v>
      </c>
      <c r="J480">
        <v>13</v>
      </c>
      <c r="K480">
        <v>8</v>
      </c>
      <c r="L480" t="s">
        <v>55</v>
      </c>
      <c r="M480" t="s">
        <v>56</v>
      </c>
      <c r="N480" t="s">
        <v>57</v>
      </c>
      <c r="O480">
        <v>2</v>
      </c>
      <c r="P480" t="s">
        <v>5</v>
      </c>
      <c r="Q480">
        <v>18</v>
      </c>
    </row>
    <row r="481" spans="1:17">
      <c r="A481">
        <v>127</v>
      </c>
      <c r="B481" t="s">
        <v>75</v>
      </c>
      <c r="C481">
        <v>0.375</v>
      </c>
      <c r="D481">
        <v>0.27500000000000002</v>
      </c>
      <c r="E481">
        <v>0.09</v>
      </c>
      <c r="F481">
        <v>0.23799999999999999</v>
      </c>
      <c r="G481">
        <v>0.1075</v>
      </c>
      <c r="H481">
        <v>5.45E-2</v>
      </c>
      <c r="I481">
        <v>7.0000000000000007E-2</v>
      </c>
      <c r="J481">
        <v>6</v>
      </c>
      <c r="K481">
        <v>11</v>
      </c>
      <c r="L481" t="s">
        <v>65</v>
      </c>
      <c r="M481" t="s">
        <v>66</v>
      </c>
      <c r="N481" t="s">
        <v>45</v>
      </c>
      <c r="O481">
        <v>9</v>
      </c>
      <c r="P481" t="s">
        <v>9</v>
      </c>
      <c r="Q481">
        <v>1.9</v>
      </c>
    </row>
    <row r="482" spans="1:17">
      <c r="A482">
        <v>2679</v>
      </c>
      <c r="B482" t="s">
        <v>75</v>
      </c>
      <c r="C482">
        <v>0.61499999999999999</v>
      </c>
      <c r="D482">
        <v>0.45</v>
      </c>
      <c r="E482">
        <v>0.15</v>
      </c>
      <c r="F482">
        <v>1.198</v>
      </c>
      <c r="G482">
        <v>0.70699999999999996</v>
      </c>
      <c r="H482">
        <v>0.20949999999999999</v>
      </c>
      <c r="I482">
        <v>0.2505</v>
      </c>
      <c r="J482">
        <v>7</v>
      </c>
      <c r="K482">
        <v>12</v>
      </c>
      <c r="L482" t="s">
        <v>58</v>
      </c>
      <c r="M482" t="s">
        <v>59</v>
      </c>
      <c r="N482" t="s">
        <v>45</v>
      </c>
      <c r="O482">
        <v>9</v>
      </c>
      <c r="P482" t="s">
        <v>9</v>
      </c>
      <c r="Q482">
        <v>1.9</v>
      </c>
    </row>
    <row r="483" spans="1:17">
      <c r="A483">
        <v>3040</v>
      </c>
      <c r="B483" t="s">
        <v>75</v>
      </c>
      <c r="C483">
        <v>0.56999999999999995</v>
      </c>
      <c r="D483">
        <v>0.45</v>
      </c>
      <c r="E483">
        <v>0.14499999999999999</v>
      </c>
      <c r="F483">
        <v>0.95</v>
      </c>
      <c r="G483">
        <v>0.40050000000000002</v>
      </c>
      <c r="H483">
        <v>0.2235</v>
      </c>
      <c r="I483">
        <v>0.28449999999999998</v>
      </c>
      <c r="J483">
        <v>10</v>
      </c>
      <c r="K483">
        <v>12</v>
      </c>
      <c r="L483" t="s">
        <v>58</v>
      </c>
      <c r="M483" t="s">
        <v>59</v>
      </c>
      <c r="N483" t="s">
        <v>45</v>
      </c>
      <c r="O483">
        <v>5</v>
      </c>
      <c r="P483" t="s">
        <v>12</v>
      </c>
      <c r="Q483">
        <v>12.8</v>
      </c>
    </row>
    <row r="484" spans="1:17">
      <c r="A484">
        <v>365</v>
      </c>
      <c r="B484" t="s">
        <v>75</v>
      </c>
      <c r="C484">
        <v>0.62</v>
      </c>
      <c r="D484">
        <v>0.5</v>
      </c>
      <c r="E484">
        <v>0.17499999999999999</v>
      </c>
      <c r="F484">
        <v>1.1859999999999999</v>
      </c>
      <c r="G484">
        <v>0.4985</v>
      </c>
      <c r="H484">
        <v>0.30149999999999999</v>
      </c>
      <c r="I484">
        <v>0.35</v>
      </c>
      <c r="J484">
        <v>12</v>
      </c>
      <c r="K484">
        <v>7</v>
      </c>
      <c r="L484" t="s">
        <v>62</v>
      </c>
      <c r="M484" t="s">
        <v>63</v>
      </c>
      <c r="N484" t="s">
        <v>64</v>
      </c>
      <c r="O484">
        <v>6</v>
      </c>
      <c r="P484" t="s">
        <v>7</v>
      </c>
      <c r="Q484">
        <v>14.1</v>
      </c>
    </row>
    <row r="485" spans="1:17">
      <c r="A485">
        <v>1335</v>
      </c>
      <c r="B485" t="s">
        <v>75</v>
      </c>
      <c r="C485">
        <v>0.57499999999999996</v>
      </c>
      <c r="D485">
        <v>0.42</v>
      </c>
      <c r="E485">
        <v>0.13500000000000001</v>
      </c>
      <c r="F485">
        <v>0.85699999999999998</v>
      </c>
      <c r="G485">
        <v>0.46100000000000002</v>
      </c>
      <c r="H485">
        <v>0.14699999999999999</v>
      </c>
      <c r="I485">
        <v>0.21249999999999999</v>
      </c>
      <c r="J485">
        <v>10</v>
      </c>
      <c r="K485">
        <v>13</v>
      </c>
      <c r="L485" t="s">
        <v>43</v>
      </c>
      <c r="M485" t="s">
        <v>44</v>
      </c>
      <c r="N485" t="s">
        <v>45</v>
      </c>
      <c r="O485">
        <v>10</v>
      </c>
      <c r="P485" t="s">
        <v>11</v>
      </c>
      <c r="Q485">
        <v>24.1</v>
      </c>
    </row>
    <row r="486" spans="1:17">
      <c r="A486">
        <v>2154</v>
      </c>
      <c r="B486" t="s">
        <v>75</v>
      </c>
      <c r="C486">
        <v>0.28000000000000003</v>
      </c>
      <c r="D486">
        <v>0.2</v>
      </c>
      <c r="E486">
        <v>7.4999999999999997E-2</v>
      </c>
      <c r="F486">
        <v>0.1225</v>
      </c>
      <c r="G486">
        <v>5.45E-2</v>
      </c>
      <c r="H486">
        <v>1.15E-2</v>
      </c>
      <c r="I486">
        <v>3.5000000000000003E-2</v>
      </c>
      <c r="J486">
        <v>5</v>
      </c>
      <c r="K486">
        <v>6</v>
      </c>
      <c r="L486" t="s">
        <v>46</v>
      </c>
      <c r="M486" t="s">
        <v>47</v>
      </c>
      <c r="N486" t="s">
        <v>48</v>
      </c>
      <c r="O486">
        <v>1</v>
      </c>
      <c r="P486" t="s">
        <v>4</v>
      </c>
      <c r="Q486">
        <v>22.1</v>
      </c>
    </row>
    <row r="487" spans="1:17">
      <c r="A487">
        <v>1326</v>
      </c>
      <c r="B487" t="s">
        <v>75</v>
      </c>
      <c r="C487">
        <v>0.56499999999999995</v>
      </c>
      <c r="D487">
        <v>0.45</v>
      </c>
      <c r="E487">
        <v>0.14499999999999999</v>
      </c>
      <c r="F487">
        <v>0.84950000000000003</v>
      </c>
      <c r="G487">
        <v>0.42149999999999999</v>
      </c>
      <c r="H487">
        <v>0.16850000000000001</v>
      </c>
      <c r="I487">
        <v>0.22500000000000001</v>
      </c>
      <c r="J487">
        <v>8</v>
      </c>
      <c r="K487">
        <v>15</v>
      </c>
      <c r="L487" t="s">
        <v>60</v>
      </c>
      <c r="M487" t="s">
        <v>61</v>
      </c>
      <c r="N487" t="s">
        <v>45</v>
      </c>
      <c r="O487">
        <v>5</v>
      </c>
      <c r="P487" t="s">
        <v>12</v>
      </c>
      <c r="Q487">
        <v>12.8</v>
      </c>
    </row>
    <row r="488" spans="1:17">
      <c r="A488">
        <v>2789</v>
      </c>
      <c r="B488" t="s">
        <v>75</v>
      </c>
      <c r="C488">
        <v>0.61499999999999999</v>
      </c>
      <c r="D488">
        <v>0.46</v>
      </c>
      <c r="E488">
        <v>0.15</v>
      </c>
      <c r="F488">
        <v>1.0265</v>
      </c>
      <c r="G488">
        <v>0.49349999999999999</v>
      </c>
      <c r="H488">
        <v>0.20100000000000001</v>
      </c>
      <c r="I488">
        <v>0.27450000000000002</v>
      </c>
      <c r="J488">
        <v>10</v>
      </c>
      <c r="K488">
        <v>1</v>
      </c>
      <c r="L488" t="s">
        <v>70</v>
      </c>
      <c r="M488" t="s">
        <v>71</v>
      </c>
      <c r="N488" t="s">
        <v>45</v>
      </c>
      <c r="O488">
        <v>1</v>
      </c>
      <c r="P488" t="s">
        <v>4</v>
      </c>
      <c r="Q488">
        <v>22.1</v>
      </c>
    </row>
    <row r="489" spans="1:17">
      <c r="A489">
        <v>3158</v>
      </c>
      <c r="B489" t="s">
        <v>75</v>
      </c>
      <c r="C489">
        <v>0.43</v>
      </c>
      <c r="D489">
        <v>0.35</v>
      </c>
      <c r="E489">
        <v>0.09</v>
      </c>
      <c r="F489">
        <v>0.39700000000000002</v>
      </c>
      <c r="G489">
        <v>0.1575</v>
      </c>
      <c r="H489">
        <v>8.8999999999999996E-2</v>
      </c>
      <c r="I489">
        <v>0.12</v>
      </c>
      <c r="J489">
        <v>9</v>
      </c>
      <c r="K489">
        <v>7</v>
      </c>
      <c r="L489" t="s">
        <v>62</v>
      </c>
      <c r="M489" t="s">
        <v>63</v>
      </c>
      <c r="N489" t="s">
        <v>64</v>
      </c>
      <c r="O489">
        <v>4</v>
      </c>
      <c r="P489" t="s">
        <v>8</v>
      </c>
      <c r="Q489">
        <v>6.1</v>
      </c>
    </row>
    <row r="490" spans="1:17">
      <c r="A490">
        <v>3563</v>
      </c>
      <c r="B490" t="s">
        <v>75</v>
      </c>
      <c r="C490">
        <v>0.56999999999999995</v>
      </c>
      <c r="D490">
        <v>0.42</v>
      </c>
      <c r="E490">
        <v>0.16</v>
      </c>
      <c r="F490">
        <v>0.88749999999999996</v>
      </c>
      <c r="G490">
        <v>0.43149999999999999</v>
      </c>
      <c r="H490">
        <v>0.1915</v>
      </c>
      <c r="I490">
        <v>0.223</v>
      </c>
      <c r="J490">
        <v>8</v>
      </c>
      <c r="K490">
        <v>11</v>
      </c>
      <c r="L490" t="s">
        <v>65</v>
      </c>
      <c r="M490" t="s">
        <v>66</v>
      </c>
      <c r="N490" t="s">
        <v>45</v>
      </c>
      <c r="O490">
        <v>5</v>
      </c>
      <c r="P490" t="s">
        <v>12</v>
      </c>
      <c r="Q490">
        <v>12.8</v>
      </c>
    </row>
    <row r="491" spans="1:17">
      <c r="A491">
        <v>1475</v>
      </c>
      <c r="B491" t="s">
        <v>75</v>
      </c>
      <c r="C491">
        <v>0.55000000000000004</v>
      </c>
      <c r="D491">
        <v>0.42499999999999999</v>
      </c>
      <c r="E491">
        <v>0.16</v>
      </c>
      <c r="F491">
        <v>0.79300000000000004</v>
      </c>
      <c r="G491">
        <v>0.34300000000000003</v>
      </c>
      <c r="H491">
        <v>0.20349999999999999</v>
      </c>
      <c r="I491">
        <v>0.215</v>
      </c>
      <c r="J491">
        <v>9</v>
      </c>
      <c r="K491">
        <v>6</v>
      </c>
      <c r="L491" t="s">
        <v>46</v>
      </c>
      <c r="M491" t="s">
        <v>47</v>
      </c>
      <c r="N491" t="s">
        <v>48</v>
      </c>
      <c r="O491">
        <v>9</v>
      </c>
      <c r="P491" t="s">
        <v>9</v>
      </c>
      <c r="Q491">
        <v>1.9</v>
      </c>
    </row>
    <row r="492" spans="1:17">
      <c r="A492">
        <v>1331</v>
      </c>
      <c r="B492" t="s">
        <v>75</v>
      </c>
      <c r="C492">
        <v>0.56999999999999995</v>
      </c>
      <c r="D492">
        <v>0.46</v>
      </c>
      <c r="E492">
        <v>0.13500000000000001</v>
      </c>
      <c r="F492">
        <v>0.97950000000000004</v>
      </c>
      <c r="G492">
        <v>0.39700000000000002</v>
      </c>
      <c r="H492">
        <v>0.2525</v>
      </c>
      <c r="I492">
        <v>0.26550000000000001</v>
      </c>
      <c r="J492">
        <v>9</v>
      </c>
      <c r="K492">
        <v>9</v>
      </c>
      <c r="L492" t="s">
        <v>34</v>
      </c>
      <c r="M492" t="s">
        <v>35</v>
      </c>
      <c r="N492" t="s">
        <v>36</v>
      </c>
      <c r="O492">
        <v>2</v>
      </c>
      <c r="P492" t="s">
        <v>5</v>
      </c>
      <c r="Q492">
        <v>18</v>
      </c>
    </row>
    <row r="493" spans="1:17">
      <c r="A493">
        <v>849</v>
      </c>
      <c r="B493" t="s">
        <v>75</v>
      </c>
      <c r="C493">
        <v>0.55000000000000004</v>
      </c>
      <c r="D493">
        <v>0.43</v>
      </c>
      <c r="E493">
        <v>0.125</v>
      </c>
      <c r="F493">
        <v>0.92300000000000004</v>
      </c>
      <c r="G493">
        <v>0.40350000000000003</v>
      </c>
      <c r="H493">
        <v>0.17499999999999999</v>
      </c>
      <c r="I493">
        <v>0.28299999999999997</v>
      </c>
      <c r="J493">
        <v>8</v>
      </c>
      <c r="K493">
        <v>4</v>
      </c>
      <c r="L493" t="s">
        <v>40</v>
      </c>
      <c r="M493" t="s">
        <v>41</v>
      </c>
      <c r="N493" t="s">
        <v>42</v>
      </c>
      <c r="O493">
        <v>5</v>
      </c>
      <c r="P493" t="s">
        <v>12</v>
      </c>
      <c r="Q493">
        <v>12.8</v>
      </c>
    </row>
    <row r="494" spans="1:17">
      <c r="A494">
        <v>2015</v>
      </c>
      <c r="B494" t="s">
        <v>75</v>
      </c>
      <c r="C494">
        <v>0.47</v>
      </c>
      <c r="D494">
        <v>0.375</v>
      </c>
      <c r="E494">
        <v>0.105</v>
      </c>
      <c r="F494">
        <v>0.441</v>
      </c>
      <c r="G494">
        <v>0.16700000000000001</v>
      </c>
      <c r="H494">
        <v>8.6499999999999994E-2</v>
      </c>
      <c r="I494">
        <v>0.14499999999999999</v>
      </c>
      <c r="J494">
        <v>10</v>
      </c>
      <c r="K494">
        <v>10</v>
      </c>
      <c r="L494" t="s">
        <v>37</v>
      </c>
      <c r="M494" t="s">
        <v>38</v>
      </c>
      <c r="N494" t="s">
        <v>39</v>
      </c>
      <c r="O494">
        <v>9</v>
      </c>
      <c r="P494" t="s">
        <v>9</v>
      </c>
      <c r="Q494">
        <v>1.9</v>
      </c>
    </row>
    <row r="495" spans="1:17">
      <c r="A495">
        <v>2058</v>
      </c>
      <c r="B495" t="s">
        <v>75</v>
      </c>
      <c r="C495">
        <v>0.48</v>
      </c>
      <c r="D495">
        <v>0.35</v>
      </c>
      <c r="E495">
        <v>0.13500000000000001</v>
      </c>
      <c r="F495">
        <v>0.54649999999999999</v>
      </c>
      <c r="G495">
        <v>0.27350000000000002</v>
      </c>
      <c r="H495">
        <v>9.9500000000000005E-2</v>
      </c>
      <c r="I495">
        <v>0.158</v>
      </c>
      <c r="J495">
        <v>8</v>
      </c>
      <c r="K495">
        <v>5</v>
      </c>
      <c r="L495" t="s">
        <v>67</v>
      </c>
      <c r="M495" t="s">
        <v>68</v>
      </c>
      <c r="N495" t="s">
        <v>69</v>
      </c>
      <c r="O495">
        <v>2</v>
      </c>
      <c r="P495" t="s">
        <v>5</v>
      </c>
      <c r="Q495">
        <v>18</v>
      </c>
    </row>
    <row r="496" spans="1:17">
      <c r="A496">
        <v>2366</v>
      </c>
      <c r="B496" t="s">
        <v>75</v>
      </c>
      <c r="C496">
        <v>0.63</v>
      </c>
      <c r="D496">
        <v>0.505</v>
      </c>
      <c r="E496">
        <v>0.16500000000000001</v>
      </c>
      <c r="F496">
        <v>1.0649999999999999</v>
      </c>
      <c r="G496">
        <v>0.45950000000000002</v>
      </c>
      <c r="H496">
        <v>0.216</v>
      </c>
      <c r="I496">
        <v>0.315</v>
      </c>
      <c r="J496">
        <v>12</v>
      </c>
      <c r="K496">
        <v>3</v>
      </c>
      <c r="L496" t="s">
        <v>52</v>
      </c>
      <c r="M496" t="s">
        <v>53</v>
      </c>
      <c r="N496" t="s">
        <v>54</v>
      </c>
      <c r="O496">
        <v>10</v>
      </c>
      <c r="P496" t="s">
        <v>11</v>
      </c>
      <c r="Q496">
        <v>24.1</v>
      </c>
    </row>
    <row r="497" spans="1:17">
      <c r="A497">
        <v>715</v>
      </c>
      <c r="B497" t="s">
        <v>75</v>
      </c>
      <c r="C497">
        <v>0.35</v>
      </c>
      <c r="D497">
        <v>0.255</v>
      </c>
      <c r="E497">
        <v>0.08</v>
      </c>
      <c r="F497">
        <v>0.1915</v>
      </c>
      <c r="G497">
        <v>0.08</v>
      </c>
      <c r="H497">
        <v>3.85E-2</v>
      </c>
      <c r="I497">
        <v>6.3E-2</v>
      </c>
      <c r="J497">
        <v>9</v>
      </c>
      <c r="K497">
        <v>9</v>
      </c>
      <c r="L497" t="s">
        <v>34</v>
      </c>
      <c r="M497" t="s">
        <v>35</v>
      </c>
      <c r="N497" t="s">
        <v>36</v>
      </c>
      <c r="O497">
        <v>10</v>
      </c>
      <c r="P497" t="s">
        <v>11</v>
      </c>
      <c r="Q497">
        <v>24.1</v>
      </c>
    </row>
    <row r="498" spans="1:17">
      <c r="A498">
        <v>995</v>
      </c>
      <c r="B498" t="s">
        <v>75</v>
      </c>
      <c r="C498">
        <v>0.57999999999999996</v>
      </c>
      <c r="D498">
        <v>0.45</v>
      </c>
      <c r="E498">
        <v>0.14499999999999999</v>
      </c>
      <c r="F498">
        <v>1.137</v>
      </c>
      <c r="G498">
        <v>0.5585</v>
      </c>
      <c r="H498">
        <v>0.22</v>
      </c>
      <c r="I498">
        <v>0.28999999999999998</v>
      </c>
      <c r="J498">
        <v>8</v>
      </c>
      <c r="K498">
        <v>9</v>
      </c>
      <c r="L498" t="s">
        <v>34</v>
      </c>
      <c r="M498" t="s">
        <v>35</v>
      </c>
      <c r="N498" t="s">
        <v>36</v>
      </c>
      <c r="O498">
        <v>3</v>
      </c>
      <c r="P498" t="s">
        <v>10</v>
      </c>
      <c r="Q498">
        <v>3.6</v>
      </c>
    </row>
    <row r="499" spans="1:17">
      <c r="A499">
        <v>2758</v>
      </c>
      <c r="B499" t="s">
        <v>75</v>
      </c>
      <c r="C499">
        <v>0.52500000000000002</v>
      </c>
      <c r="D499">
        <v>0.375</v>
      </c>
      <c r="E499">
        <v>0.12</v>
      </c>
      <c r="F499">
        <v>0.63149999999999995</v>
      </c>
      <c r="G499">
        <v>0.30449999999999999</v>
      </c>
      <c r="H499">
        <v>0.114</v>
      </c>
      <c r="I499">
        <v>0.19</v>
      </c>
      <c r="J499">
        <v>9</v>
      </c>
      <c r="K499">
        <v>3</v>
      </c>
      <c r="L499" t="s">
        <v>52</v>
      </c>
      <c r="M499" t="s">
        <v>53</v>
      </c>
      <c r="N499" t="s">
        <v>54</v>
      </c>
      <c r="O499">
        <v>8</v>
      </c>
      <c r="P499" t="s">
        <v>13</v>
      </c>
      <c r="Q499">
        <v>12.3</v>
      </c>
    </row>
    <row r="500" spans="1:17">
      <c r="A500">
        <v>2647</v>
      </c>
      <c r="B500" t="s">
        <v>75</v>
      </c>
      <c r="C500">
        <v>0.495</v>
      </c>
      <c r="D500">
        <v>0.38</v>
      </c>
      <c r="E500">
        <v>0.12</v>
      </c>
      <c r="F500">
        <v>0.51200000000000001</v>
      </c>
      <c r="G500">
        <v>0.23300000000000001</v>
      </c>
      <c r="H500">
        <v>0.1205</v>
      </c>
      <c r="I500">
        <v>0.13600000000000001</v>
      </c>
      <c r="J500">
        <v>7</v>
      </c>
      <c r="K500">
        <v>14</v>
      </c>
      <c r="L500" t="s">
        <v>72</v>
      </c>
      <c r="M500" t="s">
        <v>73</v>
      </c>
      <c r="N500" t="s">
        <v>74</v>
      </c>
      <c r="O500">
        <v>8</v>
      </c>
      <c r="P500" t="s">
        <v>13</v>
      </c>
      <c r="Q500">
        <v>12.3</v>
      </c>
    </row>
    <row r="501" spans="1:17">
      <c r="A501">
        <v>2455</v>
      </c>
      <c r="B501" t="s">
        <v>75</v>
      </c>
      <c r="C501">
        <v>0.27500000000000002</v>
      </c>
      <c r="D501">
        <v>0.2</v>
      </c>
      <c r="E501">
        <v>6.5000000000000002E-2</v>
      </c>
      <c r="F501">
        <v>9.1999999999999998E-2</v>
      </c>
      <c r="G501">
        <v>3.85E-2</v>
      </c>
      <c r="H501">
        <v>2.35E-2</v>
      </c>
      <c r="I501">
        <v>2.7E-2</v>
      </c>
      <c r="J501">
        <v>5</v>
      </c>
      <c r="K501">
        <v>2</v>
      </c>
      <c r="L501" t="s">
        <v>49</v>
      </c>
      <c r="M501" t="s">
        <v>50</v>
      </c>
      <c r="N501" t="s">
        <v>51</v>
      </c>
      <c r="O501">
        <v>4</v>
      </c>
      <c r="P501" t="s">
        <v>8</v>
      </c>
      <c r="Q501">
        <v>6.1</v>
      </c>
    </row>
    <row r="502" spans="1:17">
      <c r="A502">
        <v>1633</v>
      </c>
      <c r="B502" t="s">
        <v>75</v>
      </c>
      <c r="C502">
        <v>0.57499999999999996</v>
      </c>
      <c r="D502">
        <v>0.45500000000000002</v>
      </c>
      <c r="E502">
        <v>0.16500000000000001</v>
      </c>
      <c r="F502">
        <v>0.86699999999999999</v>
      </c>
      <c r="G502">
        <v>0.3765</v>
      </c>
      <c r="H502">
        <v>0.18049999999999999</v>
      </c>
      <c r="I502">
        <v>0.26800000000000002</v>
      </c>
      <c r="J502">
        <v>8</v>
      </c>
      <c r="K502">
        <v>3</v>
      </c>
      <c r="L502" t="s">
        <v>52</v>
      </c>
      <c r="M502" t="s">
        <v>53</v>
      </c>
      <c r="N502" t="s">
        <v>54</v>
      </c>
      <c r="O502">
        <v>8</v>
      </c>
      <c r="P502" t="s">
        <v>13</v>
      </c>
      <c r="Q502">
        <v>12.3</v>
      </c>
    </row>
    <row r="503" spans="1:17">
      <c r="A503">
        <v>4073</v>
      </c>
      <c r="B503" t="s">
        <v>75</v>
      </c>
      <c r="C503">
        <v>0.5</v>
      </c>
      <c r="D503">
        <v>0.36</v>
      </c>
      <c r="E503">
        <v>0.12</v>
      </c>
      <c r="F503">
        <v>0.439</v>
      </c>
      <c r="G503">
        <v>0.1875</v>
      </c>
      <c r="H503">
        <v>0.1055</v>
      </c>
      <c r="I503">
        <v>0.1305</v>
      </c>
      <c r="J503">
        <v>8</v>
      </c>
      <c r="K503">
        <v>12</v>
      </c>
      <c r="L503" t="s">
        <v>58</v>
      </c>
      <c r="M503" t="s">
        <v>59</v>
      </c>
      <c r="N503" t="s">
        <v>45</v>
      </c>
      <c r="O503">
        <v>3</v>
      </c>
      <c r="P503" t="s">
        <v>10</v>
      </c>
      <c r="Q503">
        <v>3.6</v>
      </c>
    </row>
    <row r="504" spans="1:17">
      <c r="A504">
        <v>2256</v>
      </c>
      <c r="B504" t="s">
        <v>75</v>
      </c>
      <c r="C504">
        <v>0.51</v>
      </c>
      <c r="D504">
        <v>0.39500000000000002</v>
      </c>
      <c r="E504">
        <v>0.14499999999999999</v>
      </c>
      <c r="F504">
        <v>0.61850000000000005</v>
      </c>
      <c r="G504">
        <v>0.216</v>
      </c>
      <c r="H504">
        <v>0.13850000000000001</v>
      </c>
      <c r="I504">
        <v>0.24</v>
      </c>
      <c r="J504">
        <v>12</v>
      </c>
      <c r="K504">
        <v>7</v>
      </c>
      <c r="L504" t="s">
        <v>62</v>
      </c>
      <c r="M504" t="s">
        <v>63</v>
      </c>
      <c r="N504" t="s">
        <v>64</v>
      </c>
      <c r="O504">
        <v>1</v>
      </c>
      <c r="P504" t="s">
        <v>4</v>
      </c>
      <c r="Q504">
        <v>22.1</v>
      </c>
    </row>
    <row r="505" spans="1:17">
      <c r="A505">
        <v>1274</v>
      </c>
      <c r="B505" t="s">
        <v>75</v>
      </c>
      <c r="C505">
        <v>0.47499999999999998</v>
      </c>
      <c r="D505">
        <v>0.38</v>
      </c>
      <c r="E505">
        <v>0.12</v>
      </c>
      <c r="F505">
        <v>0.441</v>
      </c>
      <c r="G505">
        <v>0.17849999999999999</v>
      </c>
      <c r="H505">
        <v>8.8499999999999995E-2</v>
      </c>
      <c r="I505">
        <v>0.15049999999999999</v>
      </c>
      <c r="J505">
        <v>8</v>
      </c>
      <c r="K505">
        <v>3</v>
      </c>
      <c r="L505" t="s">
        <v>52</v>
      </c>
      <c r="M505" t="s">
        <v>53</v>
      </c>
      <c r="N505" t="s">
        <v>54</v>
      </c>
      <c r="O505">
        <v>8</v>
      </c>
      <c r="P505" t="s">
        <v>13</v>
      </c>
      <c r="Q505">
        <v>12.3</v>
      </c>
    </row>
    <row r="506" spans="1:17">
      <c r="A506">
        <v>316</v>
      </c>
      <c r="B506" t="s">
        <v>75</v>
      </c>
      <c r="C506">
        <v>0.45</v>
      </c>
      <c r="D506">
        <v>0.35499999999999998</v>
      </c>
      <c r="E506">
        <v>0.11</v>
      </c>
      <c r="F506">
        <v>0.45850000000000002</v>
      </c>
      <c r="G506">
        <v>0.19400000000000001</v>
      </c>
      <c r="H506">
        <v>6.7000000000000004E-2</v>
      </c>
      <c r="I506">
        <v>0.14000000000000001</v>
      </c>
      <c r="J506">
        <v>8</v>
      </c>
      <c r="K506">
        <v>5</v>
      </c>
      <c r="L506" t="s">
        <v>67</v>
      </c>
      <c r="M506" t="s">
        <v>68</v>
      </c>
      <c r="N506" t="s">
        <v>69</v>
      </c>
      <c r="O506">
        <v>6</v>
      </c>
      <c r="P506" t="s">
        <v>7</v>
      </c>
      <c r="Q506">
        <v>14.1</v>
      </c>
    </row>
    <row r="507" spans="1:17">
      <c r="A507">
        <v>2931</v>
      </c>
      <c r="B507" t="s">
        <v>75</v>
      </c>
      <c r="C507">
        <v>0.61499999999999999</v>
      </c>
      <c r="D507">
        <v>0.47499999999999998</v>
      </c>
      <c r="E507">
        <v>0.17499999999999999</v>
      </c>
      <c r="F507">
        <v>1.194</v>
      </c>
      <c r="G507">
        <v>0.55900000000000005</v>
      </c>
      <c r="H507">
        <v>0.25900000000000001</v>
      </c>
      <c r="I507">
        <v>0.3165</v>
      </c>
      <c r="J507">
        <v>11</v>
      </c>
      <c r="K507">
        <v>8</v>
      </c>
      <c r="L507" t="s">
        <v>55</v>
      </c>
      <c r="M507" t="s">
        <v>56</v>
      </c>
      <c r="N507" t="s">
        <v>57</v>
      </c>
      <c r="O507">
        <v>6</v>
      </c>
      <c r="P507" t="s">
        <v>7</v>
      </c>
      <c r="Q507">
        <v>14.1</v>
      </c>
    </row>
    <row r="508" spans="1:17">
      <c r="A508">
        <v>67</v>
      </c>
      <c r="B508" t="s">
        <v>75</v>
      </c>
      <c r="C508">
        <v>0.56499999999999995</v>
      </c>
      <c r="D508">
        <v>0.44</v>
      </c>
      <c r="E508">
        <v>0.16</v>
      </c>
      <c r="F508">
        <v>0.91500000000000004</v>
      </c>
      <c r="G508">
        <v>0.35399999999999998</v>
      </c>
      <c r="H508">
        <v>0.19350000000000001</v>
      </c>
      <c r="I508">
        <v>0.32</v>
      </c>
      <c r="J508">
        <v>12</v>
      </c>
      <c r="K508">
        <v>13</v>
      </c>
      <c r="L508" t="s">
        <v>43</v>
      </c>
      <c r="M508" t="s">
        <v>44</v>
      </c>
      <c r="N508" t="s">
        <v>45</v>
      </c>
      <c r="O508">
        <v>4</v>
      </c>
      <c r="P508" t="s">
        <v>8</v>
      </c>
      <c r="Q508">
        <v>6.1</v>
      </c>
    </row>
    <row r="509" spans="1:17">
      <c r="A509">
        <v>1859</v>
      </c>
      <c r="B509" t="s">
        <v>75</v>
      </c>
      <c r="C509">
        <v>0.51</v>
      </c>
      <c r="D509">
        <v>0.4</v>
      </c>
      <c r="E509">
        <v>0.12</v>
      </c>
      <c r="F509">
        <v>0.70050000000000001</v>
      </c>
      <c r="G509">
        <v>0.34699999999999998</v>
      </c>
      <c r="H509">
        <v>0.1105</v>
      </c>
      <c r="I509">
        <v>0.19500000000000001</v>
      </c>
      <c r="J509">
        <v>10</v>
      </c>
      <c r="K509">
        <v>2</v>
      </c>
      <c r="L509" t="s">
        <v>49</v>
      </c>
      <c r="M509" t="s">
        <v>50</v>
      </c>
      <c r="N509" t="s">
        <v>51</v>
      </c>
      <c r="O509">
        <v>8</v>
      </c>
      <c r="P509" t="s">
        <v>13</v>
      </c>
      <c r="Q509">
        <v>12.3</v>
      </c>
    </row>
    <row r="510" spans="1:17">
      <c r="A510">
        <v>2272</v>
      </c>
      <c r="B510" t="s">
        <v>75</v>
      </c>
      <c r="C510">
        <v>0.52</v>
      </c>
      <c r="D510">
        <v>0.41</v>
      </c>
      <c r="E510">
        <v>0.17</v>
      </c>
      <c r="F510">
        <v>0.87050000000000005</v>
      </c>
      <c r="G510">
        <v>0.3735</v>
      </c>
      <c r="H510">
        <v>0.219</v>
      </c>
      <c r="I510">
        <v>0.25</v>
      </c>
      <c r="J510">
        <v>14</v>
      </c>
      <c r="K510">
        <v>15</v>
      </c>
      <c r="L510" t="s">
        <v>60</v>
      </c>
      <c r="M510" t="s">
        <v>61</v>
      </c>
      <c r="N510" t="s">
        <v>45</v>
      </c>
      <c r="O510">
        <v>3</v>
      </c>
      <c r="P510" t="s">
        <v>10</v>
      </c>
      <c r="Q510">
        <v>3.6</v>
      </c>
    </row>
    <row r="511" spans="1:17">
      <c r="A511">
        <v>2387</v>
      </c>
      <c r="B511" t="s">
        <v>75</v>
      </c>
      <c r="C511">
        <v>0.48499999999999999</v>
      </c>
      <c r="D511">
        <v>0.36499999999999999</v>
      </c>
      <c r="E511">
        <v>0.14000000000000001</v>
      </c>
      <c r="F511">
        <v>0.61950000000000005</v>
      </c>
      <c r="G511">
        <v>0.25950000000000001</v>
      </c>
      <c r="H511">
        <v>0.14449999999999999</v>
      </c>
      <c r="I511">
        <v>0.17699999999999999</v>
      </c>
      <c r="J511">
        <v>14</v>
      </c>
      <c r="K511">
        <v>12</v>
      </c>
      <c r="L511" t="s">
        <v>58</v>
      </c>
      <c r="M511" t="s">
        <v>59</v>
      </c>
      <c r="N511" t="s">
        <v>45</v>
      </c>
      <c r="O511">
        <v>3</v>
      </c>
      <c r="P511" t="s">
        <v>10</v>
      </c>
      <c r="Q511">
        <v>3.6</v>
      </c>
    </row>
    <row r="512" spans="1:17">
      <c r="A512">
        <v>3946</v>
      </c>
      <c r="B512" t="s">
        <v>75</v>
      </c>
      <c r="C512">
        <v>0.23499999999999999</v>
      </c>
      <c r="D512">
        <v>0.17499999999999999</v>
      </c>
      <c r="E512">
        <v>6.5000000000000002E-2</v>
      </c>
      <c r="F512">
        <v>6.1499999999999999E-2</v>
      </c>
      <c r="G512">
        <v>2.0500000000000001E-2</v>
      </c>
      <c r="H512">
        <v>0.02</v>
      </c>
      <c r="I512">
        <v>1.9E-2</v>
      </c>
      <c r="J512">
        <v>6</v>
      </c>
      <c r="K512">
        <v>11</v>
      </c>
      <c r="L512" t="s">
        <v>65</v>
      </c>
      <c r="M512" t="s">
        <v>66</v>
      </c>
      <c r="N512" t="s">
        <v>45</v>
      </c>
      <c r="O512">
        <v>6</v>
      </c>
      <c r="P512" t="s">
        <v>7</v>
      </c>
      <c r="Q512">
        <v>14.1</v>
      </c>
    </row>
    <row r="513" spans="1:17">
      <c r="A513">
        <v>1381</v>
      </c>
      <c r="B513" t="s">
        <v>75</v>
      </c>
      <c r="C513">
        <v>0.625</v>
      </c>
      <c r="D513">
        <v>0.45500000000000002</v>
      </c>
      <c r="E513">
        <v>0.17</v>
      </c>
      <c r="F513">
        <v>1.0820000000000001</v>
      </c>
      <c r="G513">
        <v>0.4955</v>
      </c>
      <c r="H513">
        <v>0.23449999999999999</v>
      </c>
      <c r="I513">
        <v>0.315</v>
      </c>
      <c r="J513">
        <v>9</v>
      </c>
      <c r="K513">
        <v>6</v>
      </c>
      <c r="L513" t="s">
        <v>46</v>
      </c>
      <c r="M513" t="s">
        <v>47</v>
      </c>
      <c r="N513" t="s">
        <v>48</v>
      </c>
      <c r="O513">
        <v>2</v>
      </c>
      <c r="P513" t="s">
        <v>5</v>
      </c>
      <c r="Q513">
        <v>18</v>
      </c>
    </row>
    <row r="514" spans="1:17">
      <c r="A514">
        <v>1568</v>
      </c>
      <c r="B514" t="s">
        <v>75</v>
      </c>
      <c r="C514">
        <v>0.46500000000000002</v>
      </c>
      <c r="D514">
        <v>0.34499999999999997</v>
      </c>
      <c r="E514">
        <v>0.11</v>
      </c>
      <c r="F514">
        <v>0.39300000000000002</v>
      </c>
      <c r="G514">
        <v>0.1825</v>
      </c>
      <c r="H514">
        <v>7.3499999999999996E-2</v>
      </c>
      <c r="I514">
        <v>0.12</v>
      </c>
      <c r="J514">
        <v>8</v>
      </c>
      <c r="K514">
        <v>15</v>
      </c>
      <c r="L514" t="s">
        <v>60</v>
      </c>
      <c r="M514" t="s">
        <v>61</v>
      </c>
      <c r="N514" t="s">
        <v>45</v>
      </c>
      <c r="O514">
        <v>10</v>
      </c>
      <c r="P514" t="s">
        <v>11</v>
      </c>
      <c r="Q514">
        <v>24.1</v>
      </c>
    </row>
    <row r="515" spans="1:17">
      <c r="A515">
        <v>763</v>
      </c>
      <c r="B515" t="s">
        <v>75</v>
      </c>
      <c r="C515">
        <v>0.54</v>
      </c>
      <c r="D515">
        <v>0.44</v>
      </c>
      <c r="E515">
        <v>0.13500000000000001</v>
      </c>
      <c r="F515">
        <v>0.95899999999999996</v>
      </c>
      <c r="G515">
        <v>0.23849999999999999</v>
      </c>
      <c r="H515">
        <v>0.221</v>
      </c>
      <c r="I515">
        <v>0.3</v>
      </c>
      <c r="J515">
        <v>17</v>
      </c>
      <c r="K515">
        <v>12</v>
      </c>
      <c r="L515" t="s">
        <v>58</v>
      </c>
      <c r="M515" t="s">
        <v>59</v>
      </c>
      <c r="N515" t="s">
        <v>45</v>
      </c>
      <c r="O515">
        <v>4</v>
      </c>
      <c r="P515" t="s">
        <v>8</v>
      </c>
      <c r="Q515">
        <v>6.1</v>
      </c>
    </row>
    <row r="516" spans="1:17">
      <c r="A516">
        <v>3492</v>
      </c>
      <c r="B516" t="s">
        <v>75</v>
      </c>
      <c r="C516">
        <v>0.55000000000000004</v>
      </c>
      <c r="D516">
        <v>0.44</v>
      </c>
      <c r="E516">
        <v>0.16</v>
      </c>
      <c r="F516">
        <v>0.98499999999999999</v>
      </c>
      <c r="G516">
        <v>0.46450000000000002</v>
      </c>
      <c r="H516">
        <v>0.20100000000000001</v>
      </c>
      <c r="I516">
        <v>0.27</v>
      </c>
      <c r="J516">
        <v>8</v>
      </c>
      <c r="K516">
        <v>9</v>
      </c>
      <c r="L516" t="s">
        <v>34</v>
      </c>
      <c r="M516" t="s">
        <v>35</v>
      </c>
      <c r="N516" t="s">
        <v>36</v>
      </c>
      <c r="O516">
        <v>4</v>
      </c>
      <c r="P516" t="s">
        <v>8</v>
      </c>
      <c r="Q516">
        <v>6.1</v>
      </c>
    </row>
    <row r="517" spans="1:17">
      <c r="A517">
        <v>1576</v>
      </c>
      <c r="B517" t="s">
        <v>75</v>
      </c>
      <c r="C517">
        <v>0.48499999999999999</v>
      </c>
      <c r="D517">
        <v>0.375</v>
      </c>
      <c r="E517">
        <v>0.13</v>
      </c>
      <c r="F517">
        <v>0.60250000000000004</v>
      </c>
      <c r="G517">
        <v>0.29349999999999998</v>
      </c>
      <c r="H517">
        <v>0.1285</v>
      </c>
      <c r="I517">
        <v>0.16</v>
      </c>
      <c r="J517">
        <v>7</v>
      </c>
      <c r="K517">
        <v>1</v>
      </c>
      <c r="L517" t="s">
        <v>70</v>
      </c>
      <c r="M517" t="s">
        <v>71</v>
      </c>
      <c r="N517" t="s">
        <v>45</v>
      </c>
      <c r="O517">
        <v>2</v>
      </c>
      <c r="P517" t="s">
        <v>5</v>
      </c>
      <c r="Q517">
        <v>18</v>
      </c>
    </row>
    <row r="518" spans="1:17">
      <c r="A518">
        <v>1716</v>
      </c>
      <c r="B518" t="s">
        <v>75</v>
      </c>
      <c r="C518">
        <v>0.64500000000000002</v>
      </c>
      <c r="D518">
        <v>0.48499999999999999</v>
      </c>
      <c r="E518">
        <v>0.15</v>
      </c>
      <c r="F518">
        <v>1.2215</v>
      </c>
      <c r="G518">
        <v>0.56950000000000001</v>
      </c>
      <c r="H518">
        <v>0.27350000000000002</v>
      </c>
      <c r="I518">
        <v>0.33</v>
      </c>
      <c r="J518">
        <v>9</v>
      </c>
      <c r="K518">
        <v>1</v>
      </c>
      <c r="L518" t="s">
        <v>70</v>
      </c>
      <c r="M518" t="s">
        <v>71</v>
      </c>
      <c r="N518" t="s">
        <v>45</v>
      </c>
      <c r="O518">
        <v>9</v>
      </c>
      <c r="P518" t="s">
        <v>9</v>
      </c>
      <c r="Q518">
        <v>1.9</v>
      </c>
    </row>
    <row r="519" spans="1:17">
      <c r="A519">
        <v>845</v>
      </c>
      <c r="B519" t="s">
        <v>75</v>
      </c>
      <c r="C519">
        <v>0.52500000000000002</v>
      </c>
      <c r="D519">
        <v>0.39500000000000002</v>
      </c>
      <c r="E519">
        <v>0.13</v>
      </c>
      <c r="F519">
        <v>0.76349999999999996</v>
      </c>
      <c r="G519">
        <v>0.33750000000000002</v>
      </c>
      <c r="H519">
        <v>0.14249999999999999</v>
      </c>
      <c r="I519">
        <v>0.22500000000000001</v>
      </c>
      <c r="J519">
        <v>8</v>
      </c>
      <c r="K519">
        <v>14</v>
      </c>
      <c r="L519" t="s">
        <v>72</v>
      </c>
      <c r="M519" t="s">
        <v>73</v>
      </c>
      <c r="N519" t="s">
        <v>74</v>
      </c>
      <c r="O519">
        <v>8</v>
      </c>
      <c r="P519" t="s">
        <v>13</v>
      </c>
      <c r="Q519">
        <v>12.3</v>
      </c>
    </row>
    <row r="520" spans="1:17">
      <c r="A520">
        <v>3540</v>
      </c>
      <c r="B520" t="s">
        <v>75</v>
      </c>
      <c r="C520">
        <v>0.435</v>
      </c>
      <c r="D520">
        <v>0.34</v>
      </c>
      <c r="E520">
        <v>0.12</v>
      </c>
      <c r="F520">
        <v>0.39600000000000002</v>
      </c>
      <c r="G520">
        <v>0.17749999999999999</v>
      </c>
      <c r="H520">
        <v>8.1000000000000003E-2</v>
      </c>
      <c r="I520">
        <v>0.125</v>
      </c>
      <c r="J520">
        <v>8</v>
      </c>
      <c r="K520">
        <v>10</v>
      </c>
      <c r="L520" t="s">
        <v>37</v>
      </c>
      <c r="M520" t="s">
        <v>38</v>
      </c>
      <c r="N520" t="s">
        <v>39</v>
      </c>
      <c r="O520">
        <v>3</v>
      </c>
      <c r="P520" t="s">
        <v>10</v>
      </c>
      <c r="Q520">
        <v>3.6</v>
      </c>
    </row>
    <row r="521" spans="1:17">
      <c r="A521">
        <v>201</v>
      </c>
      <c r="B521" t="s">
        <v>75</v>
      </c>
      <c r="C521">
        <v>0.45</v>
      </c>
      <c r="D521">
        <v>0.34499999999999997</v>
      </c>
      <c r="E521">
        <v>0.12</v>
      </c>
      <c r="F521">
        <v>0.41649999999999998</v>
      </c>
      <c r="G521">
        <v>0.16550000000000001</v>
      </c>
      <c r="H521">
        <v>9.5000000000000001E-2</v>
      </c>
      <c r="I521">
        <v>0.13500000000000001</v>
      </c>
      <c r="J521">
        <v>9</v>
      </c>
      <c r="K521">
        <v>13</v>
      </c>
      <c r="L521" t="s">
        <v>43</v>
      </c>
      <c r="M521" t="s">
        <v>44</v>
      </c>
      <c r="N521" t="s">
        <v>45</v>
      </c>
      <c r="O521">
        <v>2</v>
      </c>
      <c r="P521" t="s">
        <v>5</v>
      </c>
      <c r="Q521">
        <v>18</v>
      </c>
    </row>
    <row r="522" spans="1:17">
      <c r="A522">
        <v>3684</v>
      </c>
      <c r="B522" t="s">
        <v>75</v>
      </c>
      <c r="C522">
        <v>0.62</v>
      </c>
      <c r="D522">
        <v>0.52500000000000002</v>
      </c>
      <c r="E522">
        <v>0.155</v>
      </c>
      <c r="F522">
        <v>1.085</v>
      </c>
      <c r="G522">
        <v>0.45400000000000001</v>
      </c>
      <c r="H522">
        <v>0.19650000000000001</v>
      </c>
      <c r="I522">
        <v>0.35</v>
      </c>
      <c r="J522">
        <v>10</v>
      </c>
      <c r="K522">
        <v>9</v>
      </c>
      <c r="L522" t="s">
        <v>34</v>
      </c>
      <c r="M522" t="s">
        <v>35</v>
      </c>
      <c r="N522" t="s">
        <v>36</v>
      </c>
      <c r="O522">
        <v>6</v>
      </c>
      <c r="P522" t="s">
        <v>7</v>
      </c>
      <c r="Q522">
        <v>14.1</v>
      </c>
    </row>
    <row r="523" spans="1:17">
      <c r="A523">
        <v>151</v>
      </c>
      <c r="B523" t="s">
        <v>75</v>
      </c>
      <c r="C523">
        <v>0.59</v>
      </c>
      <c r="D523">
        <v>0.47499999999999998</v>
      </c>
      <c r="E523">
        <v>0.14499999999999999</v>
      </c>
      <c r="F523">
        <v>1.0529999999999999</v>
      </c>
      <c r="G523">
        <v>0.4415</v>
      </c>
      <c r="H523">
        <v>0.26200000000000001</v>
      </c>
      <c r="I523">
        <v>0.32500000000000001</v>
      </c>
      <c r="J523">
        <v>15</v>
      </c>
      <c r="K523">
        <v>6</v>
      </c>
      <c r="L523" t="s">
        <v>46</v>
      </c>
      <c r="M523" t="s">
        <v>47</v>
      </c>
      <c r="N523" t="s">
        <v>48</v>
      </c>
      <c r="O523">
        <v>5</v>
      </c>
      <c r="P523" t="s">
        <v>12</v>
      </c>
      <c r="Q523">
        <v>12.8</v>
      </c>
    </row>
    <row r="524" spans="1:17">
      <c r="A524">
        <v>2458</v>
      </c>
      <c r="B524" t="s">
        <v>75</v>
      </c>
      <c r="C524">
        <v>0.25</v>
      </c>
      <c r="D524">
        <v>0.185</v>
      </c>
      <c r="E524">
        <v>6.5000000000000002E-2</v>
      </c>
      <c r="F524">
        <v>7.0999999999999994E-2</v>
      </c>
      <c r="G524">
        <v>2.7E-2</v>
      </c>
      <c r="H524">
        <v>1.8499999999999999E-2</v>
      </c>
      <c r="I524">
        <v>2.2499999999999999E-2</v>
      </c>
      <c r="J524">
        <v>5</v>
      </c>
      <c r="K524">
        <v>6</v>
      </c>
      <c r="L524" t="s">
        <v>46</v>
      </c>
      <c r="M524" t="s">
        <v>47</v>
      </c>
      <c r="N524" t="s">
        <v>48</v>
      </c>
      <c r="O524">
        <v>2</v>
      </c>
      <c r="P524" t="s">
        <v>5</v>
      </c>
      <c r="Q524">
        <v>18</v>
      </c>
    </row>
    <row r="525" spans="1:17">
      <c r="A525">
        <v>330</v>
      </c>
      <c r="B525" t="s">
        <v>75</v>
      </c>
      <c r="C525">
        <v>0.36</v>
      </c>
      <c r="D525">
        <v>0.28000000000000003</v>
      </c>
      <c r="E525">
        <v>0.09</v>
      </c>
      <c r="F525">
        <v>0.22550000000000001</v>
      </c>
      <c r="G525">
        <v>8.8499999999999995E-2</v>
      </c>
      <c r="H525">
        <v>0.04</v>
      </c>
      <c r="I525">
        <v>0.09</v>
      </c>
      <c r="J525">
        <v>8</v>
      </c>
      <c r="K525">
        <v>7</v>
      </c>
      <c r="L525" t="s">
        <v>62</v>
      </c>
      <c r="M525" t="s">
        <v>63</v>
      </c>
      <c r="N525" t="s">
        <v>64</v>
      </c>
      <c r="O525">
        <v>6</v>
      </c>
      <c r="P525" t="s">
        <v>7</v>
      </c>
      <c r="Q525">
        <v>14.1</v>
      </c>
    </row>
    <row r="526" spans="1:17">
      <c r="A526">
        <v>180</v>
      </c>
      <c r="B526" t="s">
        <v>75</v>
      </c>
      <c r="C526">
        <v>0.57999999999999996</v>
      </c>
      <c r="D526">
        <v>0.47499999999999998</v>
      </c>
      <c r="E526">
        <v>0.15</v>
      </c>
      <c r="F526">
        <v>0.97</v>
      </c>
      <c r="G526">
        <v>0.38500000000000001</v>
      </c>
      <c r="H526">
        <v>0.2165</v>
      </c>
      <c r="I526">
        <v>0.35</v>
      </c>
      <c r="J526">
        <v>11</v>
      </c>
      <c r="K526">
        <v>12</v>
      </c>
      <c r="L526" t="s">
        <v>58</v>
      </c>
      <c r="M526" t="s">
        <v>59</v>
      </c>
      <c r="N526" t="s">
        <v>45</v>
      </c>
      <c r="O526">
        <v>4</v>
      </c>
      <c r="P526" t="s">
        <v>8</v>
      </c>
      <c r="Q526">
        <v>6.1</v>
      </c>
    </row>
    <row r="527" spans="1:17">
      <c r="A527">
        <v>354</v>
      </c>
      <c r="B527" t="s">
        <v>75</v>
      </c>
      <c r="C527">
        <v>0.57999999999999996</v>
      </c>
      <c r="D527">
        <v>0.45500000000000002</v>
      </c>
      <c r="E527">
        <v>0.17</v>
      </c>
      <c r="F527">
        <v>0.93</v>
      </c>
      <c r="G527">
        <v>0.40799999999999997</v>
      </c>
      <c r="H527">
        <v>0.25900000000000001</v>
      </c>
      <c r="I527">
        <v>0.22</v>
      </c>
      <c r="J527">
        <v>9</v>
      </c>
      <c r="K527">
        <v>2</v>
      </c>
      <c r="L527" t="s">
        <v>49</v>
      </c>
      <c r="M527" t="s">
        <v>50</v>
      </c>
      <c r="N527" t="s">
        <v>51</v>
      </c>
      <c r="O527">
        <v>1</v>
      </c>
      <c r="P527" t="s">
        <v>4</v>
      </c>
      <c r="Q527">
        <v>22.1</v>
      </c>
    </row>
    <row r="528" spans="1:17">
      <c r="A528">
        <v>4080</v>
      </c>
      <c r="B528" t="s">
        <v>75</v>
      </c>
      <c r="C528">
        <v>0.55000000000000004</v>
      </c>
      <c r="D528">
        <v>0.38500000000000001</v>
      </c>
      <c r="E528">
        <v>0.13</v>
      </c>
      <c r="F528">
        <v>0.72750000000000004</v>
      </c>
      <c r="G528">
        <v>0.34300000000000003</v>
      </c>
      <c r="H528">
        <v>0.16250000000000001</v>
      </c>
      <c r="I528">
        <v>0.19</v>
      </c>
      <c r="J528">
        <v>8</v>
      </c>
      <c r="K528">
        <v>6</v>
      </c>
      <c r="L528" t="s">
        <v>46</v>
      </c>
      <c r="M528" t="s">
        <v>47</v>
      </c>
      <c r="N528" t="s">
        <v>48</v>
      </c>
      <c r="O528">
        <v>1</v>
      </c>
      <c r="P528" t="s">
        <v>4</v>
      </c>
      <c r="Q528">
        <v>22.1</v>
      </c>
    </row>
    <row r="529" spans="1:17">
      <c r="A529">
        <v>187</v>
      </c>
      <c r="B529" t="s">
        <v>75</v>
      </c>
      <c r="C529">
        <v>0.63</v>
      </c>
      <c r="D529">
        <v>0.48</v>
      </c>
      <c r="E529">
        <v>0.15</v>
      </c>
      <c r="F529">
        <v>1.0525</v>
      </c>
      <c r="G529">
        <v>0.39200000000000002</v>
      </c>
      <c r="H529">
        <v>0.33600000000000002</v>
      </c>
      <c r="I529">
        <v>0.28499999999999998</v>
      </c>
      <c r="J529">
        <v>12</v>
      </c>
      <c r="K529">
        <v>15</v>
      </c>
      <c r="L529" t="s">
        <v>60</v>
      </c>
      <c r="M529" t="s">
        <v>61</v>
      </c>
      <c r="N529" t="s">
        <v>45</v>
      </c>
      <c r="O529">
        <v>9</v>
      </c>
      <c r="P529" t="s">
        <v>9</v>
      </c>
      <c r="Q529">
        <v>1.9</v>
      </c>
    </row>
    <row r="530" spans="1:17">
      <c r="A530">
        <v>1604</v>
      </c>
      <c r="B530" t="s">
        <v>75</v>
      </c>
      <c r="C530">
        <v>0.54</v>
      </c>
      <c r="D530">
        <v>0.43</v>
      </c>
      <c r="E530">
        <v>0.14000000000000001</v>
      </c>
      <c r="F530">
        <v>0.81950000000000001</v>
      </c>
      <c r="G530">
        <v>0.39350000000000002</v>
      </c>
      <c r="H530">
        <v>0.17249999999999999</v>
      </c>
      <c r="I530">
        <v>0.22950000000000001</v>
      </c>
      <c r="J530">
        <v>9</v>
      </c>
      <c r="K530">
        <v>1</v>
      </c>
      <c r="L530" t="s">
        <v>70</v>
      </c>
      <c r="M530" t="s">
        <v>71</v>
      </c>
      <c r="N530" t="s">
        <v>45</v>
      </c>
      <c r="O530">
        <v>3</v>
      </c>
      <c r="P530" t="s">
        <v>10</v>
      </c>
      <c r="Q530">
        <v>3.6</v>
      </c>
    </row>
    <row r="531" spans="1:17">
      <c r="A531">
        <v>1853</v>
      </c>
      <c r="B531" t="s">
        <v>75</v>
      </c>
      <c r="C531">
        <v>0.495</v>
      </c>
      <c r="D531">
        <v>0.38</v>
      </c>
      <c r="E531">
        <v>0.13500000000000001</v>
      </c>
      <c r="F531">
        <v>0.50949999999999995</v>
      </c>
      <c r="G531">
        <v>0.20649999999999999</v>
      </c>
      <c r="H531">
        <v>0.11650000000000001</v>
      </c>
      <c r="I531">
        <v>0.16500000000000001</v>
      </c>
      <c r="J531">
        <v>8</v>
      </c>
      <c r="K531">
        <v>10</v>
      </c>
      <c r="L531" t="s">
        <v>37</v>
      </c>
      <c r="M531" t="s">
        <v>38</v>
      </c>
      <c r="N531" t="s">
        <v>39</v>
      </c>
      <c r="O531">
        <v>7</v>
      </c>
      <c r="P531" t="s">
        <v>6</v>
      </c>
      <c r="Q531">
        <v>2.5</v>
      </c>
    </row>
    <row r="532" spans="1:17">
      <c r="A532">
        <v>414</v>
      </c>
      <c r="B532" t="s">
        <v>75</v>
      </c>
      <c r="C532">
        <v>0.54500000000000004</v>
      </c>
      <c r="D532">
        <v>0.44</v>
      </c>
      <c r="E532">
        <v>0.12</v>
      </c>
      <c r="F532">
        <v>0.85650000000000004</v>
      </c>
      <c r="G532">
        <v>0.34749999999999998</v>
      </c>
      <c r="H532">
        <v>0.17150000000000001</v>
      </c>
      <c r="I532">
        <v>0.24</v>
      </c>
      <c r="J532">
        <v>12</v>
      </c>
      <c r="K532">
        <v>14</v>
      </c>
      <c r="L532" t="s">
        <v>72</v>
      </c>
      <c r="M532" t="s">
        <v>73</v>
      </c>
      <c r="N532" t="s">
        <v>74</v>
      </c>
      <c r="O532">
        <v>6</v>
      </c>
      <c r="P532" t="s">
        <v>7</v>
      </c>
      <c r="Q532">
        <v>14.1</v>
      </c>
    </row>
    <row r="533" spans="1:17">
      <c r="A533">
        <v>4164</v>
      </c>
      <c r="B533" t="s">
        <v>75</v>
      </c>
      <c r="C533">
        <v>0.39</v>
      </c>
      <c r="D533">
        <v>0.31</v>
      </c>
      <c r="E533">
        <v>8.5000000000000006E-2</v>
      </c>
      <c r="F533">
        <v>0.34399999999999997</v>
      </c>
      <c r="G533">
        <v>0.18099999999999999</v>
      </c>
      <c r="H533">
        <v>6.9500000000000006E-2</v>
      </c>
      <c r="I533">
        <v>7.9000000000000001E-2</v>
      </c>
      <c r="J533">
        <v>7</v>
      </c>
      <c r="K533">
        <v>15</v>
      </c>
      <c r="L533" t="s">
        <v>60</v>
      </c>
      <c r="M533" t="s">
        <v>61</v>
      </c>
      <c r="N533" t="s">
        <v>45</v>
      </c>
      <c r="O533">
        <v>1</v>
      </c>
      <c r="P533" t="s">
        <v>4</v>
      </c>
      <c r="Q533">
        <v>22.1</v>
      </c>
    </row>
    <row r="534" spans="1:17">
      <c r="A534">
        <v>1058</v>
      </c>
      <c r="B534" t="s">
        <v>75</v>
      </c>
      <c r="C534">
        <v>0.22500000000000001</v>
      </c>
      <c r="D534">
        <v>0.16500000000000001</v>
      </c>
      <c r="E534">
        <v>5.5E-2</v>
      </c>
      <c r="F534">
        <v>5.8999999999999997E-2</v>
      </c>
      <c r="G534">
        <v>2.7E-2</v>
      </c>
      <c r="H534">
        <v>1.2500000000000001E-2</v>
      </c>
      <c r="I534">
        <v>1.4999999999999999E-2</v>
      </c>
      <c r="J534">
        <v>4</v>
      </c>
      <c r="K534">
        <v>14</v>
      </c>
      <c r="L534" t="s">
        <v>72</v>
      </c>
      <c r="M534" t="s">
        <v>73</v>
      </c>
      <c r="N534" t="s">
        <v>74</v>
      </c>
      <c r="O534">
        <v>4</v>
      </c>
      <c r="P534" t="s">
        <v>8</v>
      </c>
      <c r="Q534">
        <v>6.1</v>
      </c>
    </row>
    <row r="535" spans="1:17">
      <c r="A535">
        <v>3724</v>
      </c>
      <c r="B535" t="s">
        <v>75</v>
      </c>
      <c r="C535">
        <v>0.47</v>
      </c>
      <c r="D535">
        <v>0.35499999999999998</v>
      </c>
      <c r="E535">
        <v>0.12</v>
      </c>
      <c r="F535">
        <v>0.49149999999999999</v>
      </c>
      <c r="G535">
        <v>0.17649999999999999</v>
      </c>
      <c r="H535">
        <v>0.1125</v>
      </c>
      <c r="I535">
        <v>0.13250000000000001</v>
      </c>
      <c r="J535">
        <v>9</v>
      </c>
      <c r="K535">
        <v>8</v>
      </c>
      <c r="L535" t="s">
        <v>55</v>
      </c>
      <c r="M535" t="s">
        <v>56</v>
      </c>
      <c r="N535" t="s">
        <v>57</v>
      </c>
      <c r="O535">
        <v>8</v>
      </c>
      <c r="P535" t="s">
        <v>13</v>
      </c>
      <c r="Q535">
        <v>12.3</v>
      </c>
    </row>
    <row r="536" spans="1:17">
      <c r="A536">
        <v>3329</v>
      </c>
      <c r="B536" t="s">
        <v>75</v>
      </c>
      <c r="C536">
        <v>0.57499999999999996</v>
      </c>
      <c r="D536">
        <v>0.47499999999999998</v>
      </c>
      <c r="E536">
        <v>0.17</v>
      </c>
      <c r="F536">
        <v>0.96699999999999997</v>
      </c>
      <c r="G536">
        <v>0.3775</v>
      </c>
      <c r="H536">
        <v>0.28399999999999997</v>
      </c>
      <c r="I536">
        <v>0.27500000000000002</v>
      </c>
      <c r="J536">
        <v>13</v>
      </c>
      <c r="K536">
        <v>9</v>
      </c>
      <c r="L536" t="s">
        <v>34</v>
      </c>
      <c r="M536" t="s">
        <v>35</v>
      </c>
      <c r="N536" t="s">
        <v>36</v>
      </c>
      <c r="O536">
        <v>8</v>
      </c>
      <c r="P536" t="s">
        <v>13</v>
      </c>
      <c r="Q536">
        <v>12.3</v>
      </c>
    </row>
    <row r="537" spans="1:17">
      <c r="A537">
        <v>2880</v>
      </c>
      <c r="B537" t="s">
        <v>75</v>
      </c>
      <c r="C537">
        <v>0.47</v>
      </c>
      <c r="D537">
        <v>0.38500000000000001</v>
      </c>
      <c r="E537">
        <v>0.13</v>
      </c>
      <c r="F537">
        <v>0.58699999999999997</v>
      </c>
      <c r="G537">
        <v>0.26400000000000001</v>
      </c>
      <c r="H537">
        <v>0.11700000000000001</v>
      </c>
      <c r="I537">
        <v>0.17399999999999999</v>
      </c>
      <c r="J537">
        <v>8</v>
      </c>
      <c r="K537">
        <v>2</v>
      </c>
      <c r="L537" t="s">
        <v>49</v>
      </c>
      <c r="M537" t="s">
        <v>50</v>
      </c>
      <c r="N537" t="s">
        <v>51</v>
      </c>
      <c r="O537">
        <v>10</v>
      </c>
      <c r="P537" t="s">
        <v>11</v>
      </c>
      <c r="Q537">
        <v>24.1</v>
      </c>
    </row>
    <row r="538" spans="1:17">
      <c r="A538">
        <v>3504</v>
      </c>
      <c r="B538" t="s">
        <v>75</v>
      </c>
      <c r="C538">
        <v>0.61499999999999999</v>
      </c>
      <c r="D538">
        <v>0.49</v>
      </c>
      <c r="E538">
        <v>0.19</v>
      </c>
      <c r="F538">
        <v>1.1345000000000001</v>
      </c>
      <c r="G538">
        <v>0.46949999999999997</v>
      </c>
      <c r="H538">
        <v>0.25700000000000001</v>
      </c>
      <c r="I538">
        <v>0.34799999999999998</v>
      </c>
      <c r="J538">
        <v>11</v>
      </c>
      <c r="K538">
        <v>15</v>
      </c>
      <c r="L538" t="s">
        <v>60</v>
      </c>
      <c r="M538" t="s">
        <v>61</v>
      </c>
      <c r="N538" t="s">
        <v>45</v>
      </c>
      <c r="O538">
        <v>4</v>
      </c>
      <c r="P538" t="s">
        <v>8</v>
      </c>
      <c r="Q538">
        <v>6.1</v>
      </c>
    </row>
    <row r="539" spans="1:17">
      <c r="A539">
        <v>589</v>
      </c>
      <c r="B539" t="s">
        <v>75</v>
      </c>
      <c r="C539">
        <v>0.45</v>
      </c>
      <c r="D539">
        <v>0.33500000000000002</v>
      </c>
      <c r="E539">
        <v>0.14000000000000001</v>
      </c>
      <c r="F539">
        <v>0.46250000000000002</v>
      </c>
      <c r="G539">
        <v>0.16400000000000001</v>
      </c>
      <c r="H539">
        <v>7.5999999999999998E-2</v>
      </c>
      <c r="I539">
        <v>0.15</v>
      </c>
      <c r="J539">
        <v>14</v>
      </c>
      <c r="K539">
        <v>15</v>
      </c>
      <c r="L539" t="s">
        <v>60</v>
      </c>
      <c r="M539" t="s">
        <v>61</v>
      </c>
      <c r="N539" t="s">
        <v>45</v>
      </c>
      <c r="O539">
        <v>5</v>
      </c>
      <c r="P539" t="s">
        <v>12</v>
      </c>
      <c r="Q539">
        <v>12.8</v>
      </c>
    </row>
    <row r="540" spans="1:17">
      <c r="A540">
        <v>191</v>
      </c>
      <c r="B540" t="s">
        <v>75</v>
      </c>
      <c r="C540">
        <v>0.61499999999999999</v>
      </c>
      <c r="D540">
        <v>0.48</v>
      </c>
      <c r="E540">
        <v>0.18</v>
      </c>
      <c r="F540">
        <v>1.1595</v>
      </c>
      <c r="G540">
        <v>0.48449999999999999</v>
      </c>
      <c r="H540">
        <v>0.2165</v>
      </c>
      <c r="I540">
        <v>0.32500000000000001</v>
      </c>
      <c r="J540">
        <v>13</v>
      </c>
      <c r="K540">
        <v>6</v>
      </c>
      <c r="L540" t="s">
        <v>46</v>
      </c>
      <c r="M540" t="s">
        <v>47</v>
      </c>
      <c r="N540" t="s">
        <v>48</v>
      </c>
      <c r="O540">
        <v>10</v>
      </c>
      <c r="P540" t="s">
        <v>11</v>
      </c>
      <c r="Q540">
        <v>24.1</v>
      </c>
    </row>
    <row r="541" spans="1:17">
      <c r="A541">
        <v>1</v>
      </c>
      <c r="B541" t="s">
        <v>75</v>
      </c>
      <c r="C541">
        <v>0.45500000000000002</v>
      </c>
      <c r="D541">
        <v>0.36499999999999999</v>
      </c>
      <c r="E541">
        <v>9.5000000000000001E-2</v>
      </c>
      <c r="F541">
        <v>0.51400000000000001</v>
      </c>
      <c r="G541">
        <v>0.22450000000000001</v>
      </c>
      <c r="H541">
        <v>0.10100000000000001</v>
      </c>
      <c r="I541">
        <v>0.15</v>
      </c>
      <c r="J541">
        <v>15</v>
      </c>
      <c r="K541">
        <v>5</v>
      </c>
      <c r="L541" t="s">
        <v>67</v>
      </c>
      <c r="M541" t="s">
        <v>68</v>
      </c>
      <c r="N541" t="s">
        <v>69</v>
      </c>
      <c r="O541">
        <v>2</v>
      </c>
      <c r="P541" t="s">
        <v>5</v>
      </c>
      <c r="Q541">
        <v>18</v>
      </c>
    </row>
    <row r="542" spans="1:17">
      <c r="A542">
        <v>104</v>
      </c>
      <c r="B542" t="s">
        <v>75</v>
      </c>
      <c r="C542">
        <v>0.53</v>
      </c>
      <c r="D542">
        <v>0.41499999999999998</v>
      </c>
      <c r="E542">
        <v>0.14000000000000001</v>
      </c>
      <c r="F542">
        <v>0.72399999999999998</v>
      </c>
      <c r="G542">
        <v>0.3105</v>
      </c>
      <c r="H542">
        <v>0.16750000000000001</v>
      </c>
      <c r="I542">
        <v>0.20499999999999999</v>
      </c>
      <c r="J542">
        <v>10</v>
      </c>
      <c r="K542">
        <v>11</v>
      </c>
      <c r="L542" t="s">
        <v>65</v>
      </c>
      <c r="M542" t="s">
        <v>66</v>
      </c>
      <c r="N542" t="s">
        <v>45</v>
      </c>
      <c r="O542">
        <v>9</v>
      </c>
      <c r="P542" t="s">
        <v>9</v>
      </c>
      <c r="Q542">
        <v>1.9</v>
      </c>
    </row>
    <row r="543" spans="1:17">
      <c r="A543">
        <v>783</v>
      </c>
      <c r="B543" t="s">
        <v>75</v>
      </c>
      <c r="C543">
        <v>0.51500000000000001</v>
      </c>
      <c r="D543">
        <v>0.435</v>
      </c>
      <c r="E543">
        <v>0.14499999999999999</v>
      </c>
      <c r="F543">
        <v>0.88149999999999995</v>
      </c>
      <c r="G543">
        <v>0.29199999999999998</v>
      </c>
      <c r="H543">
        <v>0.20599999999999999</v>
      </c>
      <c r="I543">
        <v>0.255</v>
      </c>
      <c r="J543">
        <v>10</v>
      </c>
      <c r="K543">
        <v>14</v>
      </c>
      <c r="L543" t="s">
        <v>72</v>
      </c>
      <c r="M543" t="s">
        <v>73</v>
      </c>
      <c r="N543" t="s">
        <v>74</v>
      </c>
      <c r="O543">
        <v>5</v>
      </c>
      <c r="P543" t="s">
        <v>12</v>
      </c>
      <c r="Q543">
        <v>12.8</v>
      </c>
    </row>
    <row r="544" spans="1:17">
      <c r="A544">
        <v>235</v>
      </c>
      <c r="B544" t="s">
        <v>75</v>
      </c>
      <c r="C544">
        <v>0.44</v>
      </c>
      <c r="D544">
        <v>0.35</v>
      </c>
      <c r="E544">
        <v>0.13500000000000001</v>
      </c>
      <c r="F544">
        <v>0.435</v>
      </c>
      <c r="G544">
        <v>0.18149999999999999</v>
      </c>
      <c r="H544">
        <v>8.3000000000000004E-2</v>
      </c>
      <c r="I544">
        <v>0.125</v>
      </c>
      <c r="J544">
        <v>12</v>
      </c>
      <c r="K544">
        <v>5</v>
      </c>
      <c r="L544" t="s">
        <v>67</v>
      </c>
      <c r="M544" t="s">
        <v>68</v>
      </c>
      <c r="N544" t="s">
        <v>69</v>
      </c>
      <c r="O544">
        <v>5</v>
      </c>
      <c r="P544" t="s">
        <v>12</v>
      </c>
      <c r="Q544">
        <v>12.8</v>
      </c>
    </row>
    <row r="545" spans="1:17">
      <c r="A545">
        <v>56</v>
      </c>
      <c r="B545" t="s">
        <v>75</v>
      </c>
      <c r="C545">
        <v>0.5</v>
      </c>
      <c r="D545">
        <v>0.4</v>
      </c>
      <c r="E545">
        <v>0.14000000000000001</v>
      </c>
      <c r="F545">
        <v>0.66149999999999998</v>
      </c>
      <c r="G545">
        <v>0.25650000000000001</v>
      </c>
      <c r="H545">
        <v>0.17549999999999999</v>
      </c>
      <c r="I545">
        <v>0.22</v>
      </c>
      <c r="J545">
        <v>8</v>
      </c>
      <c r="K545">
        <v>1</v>
      </c>
      <c r="L545" t="s">
        <v>70</v>
      </c>
      <c r="M545" t="s">
        <v>71</v>
      </c>
      <c r="N545" t="s">
        <v>45</v>
      </c>
      <c r="O545">
        <v>8</v>
      </c>
      <c r="P545" t="s">
        <v>13</v>
      </c>
      <c r="Q545">
        <v>12.3</v>
      </c>
    </row>
    <row r="546" spans="1:17">
      <c r="A546">
        <v>846</v>
      </c>
      <c r="B546" t="s">
        <v>75</v>
      </c>
      <c r="C546">
        <v>0.54</v>
      </c>
      <c r="D546">
        <v>0.40500000000000003</v>
      </c>
      <c r="E546">
        <v>0.125</v>
      </c>
      <c r="F546">
        <v>0.89100000000000001</v>
      </c>
      <c r="G546">
        <v>0.48149999999999998</v>
      </c>
      <c r="H546">
        <v>0.1915</v>
      </c>
      <c r="I546">
        <v>0.20200000000000001</v>
      </c>
      <c r="J546">
        <v>9</v>
      </c>
      <c r="K546">
        <v>1</v>
      </c>
      <c r="L546" t="s">
        <v>70</v>
      </c>
      <c r="M546" t="s">
        <v>71</v>
      </c>
      <c r="N546" t="s">
        <v>45</v>
      </c>
      <c r="O546">
        <v>9</v>
      </c>
      <c r="P546" t="s">
        <v>9</v>
      </c>
      <c r="Q546">
        <v>1.9</v>
      </c>
    </row>
    <row r="547" spans="1:17">
      <c r="A547">
        <v>1250</v>
      </c>
      <c r="B547" t="s">
        <v>75</v>
      </c>
      <c r="C547">
        <v>0.39500000000000002</v>
      </c>
      <c r="D547">
        <v>0.27</v>
      </c>
      <c r="E547">
        <v>0.1</v>
      </c>
      <c r="F547">
        <v>0.29849999999999999</v>
      </c>
      <c r="G547">
        <v>0.14449999999999999</v>
      </c>
      <c r="H547">
        <v>6.0999999999999999E-2</v>
      </c>
      <c r="I547">
        <v>8.2000000000000003E-2</v>
      </c>
      <c r="J547">
        <v>5</v>
      </c>
      <c r="K547">
        <v>1</v>
      </c>
      <c r="L547" t="s">
        <v>70</v>
      </c>
      <c r="M547" t="s">
        <v>71</v>
      </c>
      <c r="N547" t="s">
        <v>45</v>
      </c>
      <c r="O547">
        <v>6</v>
      </c>
      <c r="P547" t="s">
        <v>7</v>
      </c>
      <c r="Q547">
        <v>14.1</v>
      </c>
    </row>
    <row r="548" spans="1:17">
      <c r="A548">
        <v>349</v>
      </c>
      <c r="B548" t="s">
        <v>75</v>
      </c>
      <c r="C548">
        <v>0.375</v>
      </c>
      <c r="D548">
        <v>0.30499999999999999</v>
      </c>
      <c r="E548">
        <v>0.115</v>
      </c>
      <c r="F548">
        <v>0.27150000000000002</v>
      </c>
      <c r="G548">
        <v>9.1999999999999998E-2</v>
      </c>
      <c r="H548">
        <v>7.3999999999999996E-2</v>
      </c>
      <c r="I548">
        <v>0.09</v>
      </c>
      <c r="J548">
        <v>8</v>
      </c>
      <c r="K548">
        <v>8</v>
      </c>
      <c r="L548" t="s">
        <v>55</v>
      </c>
      <c r="M548" t="s">
        <v>56</v>
      </c>
      <c r="N548" t="s">
        <v>57</v>
      </c>
      <c r="O548">
        <v>5</v>
      </c>
      <c r="P548" t="s">
        <v>12</v>
      </c>
      <c r="Q548">
        <v>12.8</v>
      </c>
    </row>
    <row r="549" spans="1:17">
      <c r="A549">
        <v>2020</v>
      </c>
      <c r="B549" t="s">
        <v>75</v>
      </c>
      <c r="C549">
        <v>0.51</v>
      </c>
      <c r="D549">
        <v>0.45500000000000002</v>
      </c>
      <c r="E549">
        <v>0.13500000000000001</v>
      </c>
      <c r="F549">
        <v>0.6855</v>
      </c>
      <c r="G549">
        <v>0.28749999999999998</v>
      </c>
      <c r="H549">
        <v>0.154</v>
      </c>
      <c r="I549">
        <v>0.20349999999999999</v>
      </c>
      <c r="J549">
        <v>9</v>
      </c>
      <c r="K549">
        <v>2</v>
      </c>
      <c r="L549" t="s">
        <v>49</v>
      </c>
      <c r="M549" t="s">
        <v>50</v>
      </c>
      <c r="N549" t="s">
        <v>51</v>
      </c>
      <c r="O549">
        <v>7</v>
      </c>
      <c r="P549" t="s">
        <v>6</v>
      </c>
      <c r="Q549">
        <v>2.5</v>
      </c>
    </row>
    <row r="550" spans="1:17">
      <c r="A550">
        <v>2665</v>
      </c>
      <c r="B550" t="s">
        <v>75</v>
      </c>
      <c r="C550">
        <v>0.56999999999999995</v>
      </c>
      <c r="D550">
        <v>0.43</v>
      </c>
      <c r="E550">
        <v>0.16</v>
      </c>
      <c r="F550">
        <v>0.81100000000000005</v>
      </c>
      <c r="G550">
        <v>0.38750000000000001</v>
      </c>
      <c r="H550">
        <v>0.159</v>
      </c>
      <c r="I550">
        <v>0.22850000000000001</v>
      </c>
      <c r="J550">
        <v>9</v>
      </c>
      <c r="K550">
        <v>7</v>
      </c>
      <c r="L550" t="s">
        <v>62</v>
      </c>
      <c r="M550" t="s">
        <v>63</v>
      </c>
      <c r="N550" t="s">
        <v>64</v>
      </c>
      <c r="O550">
        <v>2</v>
      </c>
      <c r="P550" t="s">
        <v>5</v>
      </c>
      <c r="Q550">
        <v>18</v>
      </c>
    </row>
    <row r="551" spans="1:17">
      <c r="A551">
        <v>2425</v>
      </c>
      <c r="B551" t="s">
        <v>75</v>
      </c>
      <c r="C551">
        <v>0.26</v>
      </c>
      <c r="D551">
        <v>0.2</v>
      </c>
      <c r="E551">
        <v>6.5000000000000002E-2</v>
      </c>
      <c r="F551">
        <v>9.6000000000000002E-2</v>
      </c>
      <c r="G551">
        <v>4.3999999999999997E-2</v>
      </c>
      <c r="H551">
        <v>2.7E-2</v>
      </c>
      <c r="I551">
        <v>0.03</v>
      </c>
      <c r="J551">
        <v>6</v>
      </c>
      <c r="K551">
        <v>11</v>
      </c>
      <c r="L551" t="s">
        <v>65</v>
      </c>
      <c r="M551" t="s">
        <v>66</v>
      </c>
      <c r="N551" t="s">
        <v>45</v>
      </c>
      <c r="O551">
        <v>1</v>
      </c>
      <c r="P551" t="s">
        <v>4</v>
      </c>
      <c r="Q551">
        <v>22.1</v>
      </c>
    </row>
    <row r="552" spans="1:17">
      <c r="A552">
        <v>2270</v>
      </c>
      <c r="B552" t="s">
        <v>75</v>
      </c>
      <c r="C552">
        <v>0.56999999999999995</v>
      </c>
      <c r="D552">
        <v>0.45</v>
      </c>
      <c r="E552">
        <v>0.16</v>
      </c>
      <c r="F552">
        <v>0.86150000000000004</v>
      </c>
      <c r="G552">
        <v>0.3725</v>
      </c>
      <c r="H552">
        <v>0.2175</v>
      </c>
      <c r="I552">
        <v>0.255</v>
      </c>
      <c r="J552">
        <v>12</v>
      </c>
      <c r="K552">
        <v>4</v>
      </c>
      <c r="L552" t="s">
        <v>40</v>
      </c>
      <c r="M552" t="s">
        <v>41</v>
      </c>
      <c r="N552" t="s">
        <v>42</v>
      </c>
      <c r="O552">
        <v>10</v>
      </c>
      <c r="P552" t="s">
        <v>11</v>
      </c>
      <c r="Q552">
        <v>24.1</v>
      </c>
    </row>
    <row r="553" spans="1:17">
      <c r="A553">
        <v>2800</v>
      </c>
      <c r="B553" t="s">
        <v>75</v>
      </c>
      <c r="C553">
        <v>0.64</v>
      </c>
      <c r="D553">
        <v>0.495</v>
      </c>
      <c r="E553">
        <v>0.17</v>
      </c>
      <c r="F553">
        <v>1.139</v>
      </c>
      <c r="G553">
        <v>0.53949999999999998</v>
      </c>
      <c r="H553">
        <v>0.28199999999999997</v>
      </c>
      <c r="I553">
        <v>0.28499999999999998</v>
      </c>
      <c r="J553">
        <v>10</v>
      </c>
      <c r="K553">
        <v>5</v>
      </c>
      <c r="L553" t="s">
        <v>67</v>
      </c>
      <c r="M553" t="s">
        <v>68</v>
      </c>
      <c r="N553" t="s">
        <v>69</v>
      </c>
      <c r="O553">
        <v>8</v>
      </c>
      <c r="P553" t="s">
        <v>13</v>
      </c>
      <c r="Q553">
        <v>12.3</v>
      </c>
    </row>
    <row r="554" spans="1:17">
      <c r="A554">
        <v>2232</v>
      </c>
      <c r="B554" t="s">
        <v>75</v>
      </c>
      <c r="C554">
        <v>0.505</v>
      </c>
      <c r="D554">
        <v>0.4</v>
      </c>
      <c r="E554">
        <v>0.16500000000000001</v>
      </c>
      <c r="F554">
        <v>0.72899999999999998</v>
      </c>
      <c r="G554">
        <v>0.26750000000000002</v>
      </c>
      <c r="H554">
        <v>0.155</v>
      </c>
      <c r="I554">
        <v>0.25</v>
      </c>
      <c r="J554">
        <v>9</v>
      </c>
      <c r="K554">
        <v>11</v>
      </c>
      <c r="L554" t="s">
        <v>65</v>
      </c>
      <c r="M554" t="s">
        <v>66</v>
      </c>
      <c r="N554" t="s">
        <v>45</v>
      </c>
      <c r="O554">
        <v>9</v>
      </c>
      <c r="P554" t="s">
        <v>9</v>
      </c>
      <c r="Q554">
        <v>1.9</v>
      </c>
    </row>
    <row r="555" spans="1:17">
      <c r="A555">
        <v>2609</v>
      </c>
      <c r="B555" t="s">
        <v>75</v>
      </c>
      <c r="C555">
        <v>0.625</v>
      </c>
      <c r="D555">
        <v>0.49</v>
      </c>
      <c r="E555">
        <v>0.17499999999999999</v>
      </c>
      <c r="F555">
        <v>1.1074999999999999</v>
      </c>
      <c r="G555">
        <v>0.44850000000000001</v>
      </c>
      <c r="H555">
        <v>0.2165</v>
      </c>
      <c r="I555">
        <v>0.35949999999999999</v>
      </c>
      <c r="J555">
        <v>8</v>
      </c>
      <c r="K555">
        <v>11</v>
      </c>
      <c r="L555" t="s">
        <v>65</v>
      </c>
      <c r="M555" t="s">
        <v>66</v>
      </c>
      <c r="N555" t="s">
        <v>45</v>
      </c>
      <c r="O555">
        <v>9</v>
      </c>
      <c r="P555" t="s">
        <v>9</v>
      </c>
      <c r="Q555">
        <v>1.9</v>
      </c>
    </row>
    <row r="556" spans="1:17">
      <c r="A556">
        <v>1117</v>
      </c>
      <c r="B556" t="s">
        <v>75</v>
      </c>
      <c r="C556">
        <v>0.52500000000000002</v>
      </c>
      <c r="D556">
        <v>0.39500000000000002</v>
      </c>
      <c r="E556">
        <v>0.12</v>
      </c>
      <c r="F556">
        <v>0.60799999999999998</v>
      </c>
      <c r="G556">
        <v>0.29699999999999999</v>
      </c>
      <c r="H556">
        <v>0.13950000000000001</v>
      </c>
      <c r="I556">
        <v>0.14050000000000001</v>
      </c>
      <c r="J556">
        <v>8</v>
      </c>
      <c r="K556">
        <v>4</v>
      </c>
      <c r="L556" t="s">
        <v>40</v>
      </c>
      <c r="M556" t="s">
        <v>41</v>
      </c>
      <c r="N556" t="s">
        <v>42</v>
      </c>
      <c r="O556">
        <v>1</v>
      </c>
      <c r="P556" t="s">
        <v>4</v>
      </c>
      <c r="Q556">
        <v>22.1</v>
      </c>
    </row>
    <row r="557" spans="1:17">
      <c r="A557">
        <v>1779</v>
      </c>
      <c r="B557" t="s">
        <v>75</v>
      </c>
      <c r="C557">
        <v>0.49</v>
      </c>
      <c r="D557">
        <v>0.35499999999999998</v>
      </c>
      <c r="E557">
        <v>0.16</v>
      </c>
      <c r="F557">
        <v>0.87949999999999995</v>
      </c>
      <c r="G557">
        <v>0.34849999999999998</v>
      </c>
      <c r="H557">
        <v>0.215</v>
      </c>
      <c r="I557">
        <v>0.28249999999999997</v>
      </c>
      <c r="J557">
        <v>8</v>
      </c>
      <c r="K557">
        <v>3</v>
      </c>
      <c r="L557" t="s">
        <v>52</v>
      </c>
      <c r="M557" t="s">
        <v>53</v>
      </c>
      <c r="N557" t="s">
        <v>54</v>
      </c>
      <c r="O557">
        <v>10</v>
      </c>
      <c r="P557" t="s">
        <v>11</v>
      </c>
      <c r="Q557">
        <v>24.1</v>
      </c>
    </row>
    <row r="558" spans="1:17">
      <c r="A558">
        <v>3191</v>
      </c>
      <c r="B558" t="s">
        <v>75</v>
      </c>
      <c r="C558">
        <v>0.2</v>
      </c>
      <c r="D558">
        <v>0.14499999999999999</v>
      </c>
      <c r="E558">
        <v>2.5000000000000001E-2</v>
      </c>
      <c r="F558">
        <v>3.4500000000000003E-2</v>
      </c>
      <c r="G558">
        <v>1.0999999999999999E-2</v>
      </c>
      <c r="H558">
        <v>7.4999999999999997E-3</v>
      </c>
      <c r="I558">
        <v>0.01</v>
      </c>
      <c r="J558">
        <v>5</v>
      </c>
      <c r="K558">
        <v>3</v>
      </c>
      <c r="L558" t="s">
        <v>52</v>
      </c>
      <c r="M558" t="s">
        <v>53</v>
      </c>
      <c r="N558" t="s">
        <v>54</v>
      </c>
      <c r="O558">
        <v>5</v>
      </c>
      <c r="P558" t="s">
        <v>12</v>
      </c>
      <c r="Q558">
        <v>12.8</v>
      </c>
    </row>
    <row r="559" spans="1:17">
      <c r="A559">
        <v>793</v>
      </c>
      <c r="B559" t="s">
        <v>75</v>
      </c>
      <c r="C559">
        <v>0.47</v>
      </c>
      <c r="D559">
        <v>0.37</v>
      </c>
      <c r="E559">
        <v>0.18</v>
      </c>
      <c r="F559">
        <v>0.51</v>
      </c>
      <c r="G559">
        <v>0.1915</v>
      </c>
      <c r="H559">
        <v>0.1285</v>
      </c>
      <c r="I559">
        <v>0.16250000000000001</v>
      </c>
      <c r="J559">
        <v>9</v>
      </c>
      <c r="K559">
        <v>15</v>
      </c>
      <c r="L559" t="s">
        <v>60</v>
      </c>
      <c r="M559" t="s">
        <v>61</v>
      </c>
      <c r="N559" t="s">
        <v>45</v>
      </c>
      <c r="O559">
        <v>6</v>
      </c>
      <c r="P559" t="s">
        <v>7</v>
      </c>
      <c r="Q559">
        <v>14.1</v>
      </c>
    </row>
    <row r="560" spans="1:17">
      <c r="A560">
        <v>1553</v>
      </c>
      <c r="B560" t="s">
        <v>75</v>
      </c>
      <c r="C560">
        <v>0.39</v>
      </c>
      <c r="D560">
        <v>0.28499999999999998</v>
      </c>
      <c r="E560">
        <v>0.1</v>
      </c>
      <c r="F560">
        <v>0.28100000000000003</v>
      </c>
      <c r="G560">
        <v>0.1275</v>
      </c>
      <c r="H560">
        <v>6.2E-2</v>
      </c>
      <c r="I560">
        <v>7.6999999999999999E-2</v>
      </c>
      <c r="J560">
        <v>7</v>
      </c>
      <c r="K560">
        <v>14</v>
      </c>
      <c r="L560" t="s">
        <v>72</v>
      </c>
      <c r="M560" t="s">
        <v>73</v>
      </c>
      <c r="N560" t="s">
        <v>74</v>
      </c>
      <c r="O560">
        <v>3</v>
      </c>
      <c r="P560" t="s">
        <v>10</v>
      </c>
      <c r="Q560">
        <v>3.6</v>
      </c>
    </row>
    <row r="561" spans="1:17">
      <c r="A561">
        <v>85</v>
      </c>
      <c r="B561" t="s">
        <v>75</v>
      </c>
      <c r="C561">
        <v>0.57999999999999996</v>
      </c>
      <c r="D561">
        <v>0.45</v>
      </c>
      <c r="E561">
        <v>0.14000000000000001</v>
      </c>
      <c r="F561">
        <v>1.0129999999999999</v>
      </c>
      <c r="G561">
        <v>0.38</v>
      </c>
      <c r="H561">
        <v>0.216</v>
      </c>
      <c r="I561">
        <v>0.36</v>
      </c>
      <c r="J561">
        <v>14</v>
      </c>
      <c r="K561">
        <v>14</v>
      </c>
      <c r="L561" t="s">
        <v>72</v>
      </c>
      <c r="M561" t="s">
        <v>73</v>
      </c>
      <c r="N561" t="s">
        <v>74</v>
      </c>
      <c r="O561">
        <v>4</v>
      </c>
      <c r="P561" t="s">
        <v>8</v>
      </c>
      <c r="Q561">
        <v>6.1</v>
      </c>
    </row>
    <row r="562" spans="1:17">
      <c r="A562">
        <v>743</v>
      </c>
      <c r="B562" t="s">
        <v>75</v>
      </c>
      <c r="C562">
        <v>0.53500000000000003</v>
      </c>
      <c r="D562">
        <v>0.42</v>
      </c>
      <c r="E562">
        <v>0.15</v>
      </c>
      <c r="F562">
        <v>0.73650000000000004</v>
      </c>
      <c r="G562">
        <v>0.27850000000000003</v>
      </c>
      <c r="H562">
        <v>0.186</v>
      </c>
      <c r="I562">
        <v>0.215</v>
      </c>
      <c r="J562">
        <v>14</v>
      </c>
      <c r="K562">
        <v>13</v>
      </c>
      <c r="L562" t="s">
        <v>43</v>
      </c>
      <c r="M562" t="s">
        <v>44</v>
      </c>
      <c r="N562" t="s">
        <v>45</v>
      </c>
      <c r="O562">
        <v>1</v>
      </c>
      <c r="P562" t="s">
        <v>4</v>
      </c>
      <c r="Q562">
        <v>22.1</v>
      </c>
    </row>
    <row r="563" spans="1:17">
      <c r="A563">
        <v>3466</v>
      </c>
      <c r="B563" t="s">
        <v>75</v>
      </c>
      <c r="C563">
        <v>0.64</v>
      </c>
      <c r="D563">
        <v>0.48</v>
      </c>
      <c r="E563">
        <v>0.19500000000000001</v>
      </c>
      <c r="F563">
        <v>1.1435</v>
      </c>
      <c r="G563">
        <v>0.49149999999999999</v>
      </c>
      <c r="H563">
        <v>0.23449999999999999</v>
      </c>
      <c r="I563">
        <v>0.35299999999999998</v>
      </c>
      <c r="J563">
        <v>9</v>
      </c>
      <c r="K563">
        <v>2</v>
      </c>
      <c r="L563" t="s">
        <v>49</v>
      </c>
      <c r="M563" t="s">
        <v>50</v>
      </c>
      <c r="N563" t="s">
        <v>51</v>
      </c>
      <c r="O563">
        <v>10</v>
      </c>
      <c r="P563" t="s">
        <v>11</v>
      </c>
      <c r="Q563">
        <v>24.1</v>
      </c>
    </row>
    <row r="564" spans="1:17">
      <c r="A564">
        <v>2415</v>
      </c>
      <c r="B564" t="s">
        <v>75</v>
      </c>
      <c r="C564">
        <v>0.42</v>
      </c>
      <c r="D564">
        <v>0.30499999999999999</v>
      </c>
      <c r="E564">
        <v>0.11</v>
      </c>
      <c r="F564">
        <v>0.28000000000000003</v>
      </c>
      <c r="G564">
        <v>9.4E-2</v>
      </c>
      <c r="H564">
        <v>7.85E-2</v>
      </c>
      <c r="I564">
        <v>9.5500000000000002E-2</v>
      </c>
      <c r="J564">
        <v>9</v>
      </c>
      <c r="K564">
        <v>12</v>
      </c>
      <c r="L564" t="s">
        <v>58</v>
      </c>
      <c r="M564" t="s">
        <v>59</v>
      </c>
      <c r="N564" t="s">
        <v>45</v>
      </c>
      <c r="O564">
        <v>9</v>
      </c>
      <c r="P564" t="s">
        <v>9</v>
      </c>
      <c r="Q564">
        <v>1.9</v>
      </c>
    </row>
    <row r="565" spans="1:17">
      <c r="A565">
        <v>2779</v>
      </c>
      <c r="B565" t="s">
        <v>75</v>
      </c>
      <c r="C565">
        <v>0.58499999999999996</v>
      </c>
      <c r="D565">
        <v>0.45500000000000002</v>
      </c>
      <c r="E565">
        <v>0.13</v>
      </c>
      <c r="F565">
        <v>0.87549999999999994</v>
      </c>
      <c r="G565">
        <v>0.41099999999999998</v>
      </c>
      <c r="H565">
        <v>0.20649999999999999</v>
      </c>
      <c r="I565">
        <v>0.22500000000000001</v>
      </c>
      <c r="J565">
        <v>8</v>
      </c>
      <c r="K565">
        <v>3</v>
      </c>
      <c r="L565" t="s">
        <v>52</v>
      </c>
      <c r="M565" t="s">
        <v>53</v>
      </c>
      <c r="N565" t="s">
        <v>54</v>
      </c>
      <c r="O565">
        <v>6</v>
      </c>
      <c r="P565" t="s">
        <v>7</v>
      </c>
      <c r="Q565">
        <v>14.1</v>
      </c>
    </row>
    <row r="566" spans="1:17">
      <c r="A566">
        <v>4151</v>
      </c>
      <c r="B566" t="s">
        <v>75</v>
      </c>
      <c r="C566">
        <v>0.33</v>
      </c>
      <c r="D566">
        <v>0.23</v>
      </c>
      <c r="E566">
        <v>0.08</v>
      </c>
      <c r="F566">
        <v>0.14000000000000001</v>
      </c>
      <c r="G566">
        <v>5.6500000000000002E-2</v>
      </c>
      <c r="H566">
        <v>3.6499999999999998E-2</v>
      </c>
      <c r="I566">
        <v>4.5999999999999999E-2</v>
      </c>
      <c r="J566">
        <v>7</v>
      </c>
      <c r="K566">
        <v>1</v>
      </c>
      <c r="L566" t="s">
        <v>70</v>
      </c>
      <c r="M566" t="s">
        <v>71</v>
      </c>
      <c r="N566" t="s">
        <v>45</v>
      </c>
      <c r="O566">
        <v>2</v>
      </c>
      <c r="P566" t="s">
        <v>5</v>
      </c>
      <c r="Q566">
        <v>18</v>
      </c>
    </row>
    <row r="567" spans="1:17">
      <c r="A567">
        <v>2293</v>
      </c>
      <c r="B567" t="s">
        <v>75</v>
      </c>
      <c r="C567">
        <v>0.38</v>
      </c>
      <c r="D567">
        <v>0.3</v>
      </c>
      <c r="E567">
        <v>0.09</v>
      </c>
      <c r="F567">
        <v>0.32150000000000001</v>
      </c>
      <c r="G567">
        <v>0.1545</v>
      </c>
      <c r="H567">
        <v>7.4999999999999997E-2</v>
      </c>
      <c r="I567">
        <v>9.5000000000000001E-2</v>
      </c>
      <c r="J567">
        <v>9</v>
      </c>
      <c r="K567">
        <v>8</v>
      </c>
      <c r="L567" t="s">
        <v>55</v>
      </c>
      <c r="M567" t="s">
        <v>56</v>
      </c>
      <c r="N567" t="s">
        <v>57</v>
      </c>
      <c r="O567">
        <v>2</v>
      </c>
      <c r="P567" t="s">
        <v>5</v>
      </c>
      <c r="Q567">
        <v>18</v>
      </c>
    </row>
    <row r="568" spans="1:17">
      <c r="A568">
        <v>2443</v>
      </c>
      <c r="B568" t="s">
        <v>75</v>
      </c>
      <c r="C568">
        <v>0.47499999999999998</v>
      </c>
      <c r="D568">
        <v>0.35499999999999998</v>
      </c>
      <c r="E568">
        <v>0.125</v>
      </c>
      <c r="F568">
        <v>0.46250000000000002</v>
      </c>
      <c r="G568">
        <v>0.186</v>
      </c>
      <c r="H568">
        <v>0.107</v>
      </c>
      <c r="I568">
        <v>0.14499999999999999</v>
      </c>
      <c r="J568">
        <v>9</v>
      </c>
      <c r="K568">
        <v>1</v>
      </c>
      <c r="L568" t="s">
        <v>70</v>
      </c>
      <c r="M568" t="s">
        <v>71</v>
      </c>
      <c r="N568" t="s">
        <v>45</v>
      </c>
      <c r="O568">
        <v>4</v>
      </c>
      <c r="P568" t="s">
        <v>8</v>
      </c>
      <c r="Q568">
        <v>6.1</v>
      </c>
    </row>
    <row r="569" spans="1:17">
      <c r="A569">
        <v>3538</v>
      </c>
      <c r="B569" t="s">
        <v>75</v>
      </c>
      <c r="C569">
        <v>0.43</v>
      </c>
      <c r="D569">
        <v>0.32500000000000001</v>
      </c>
      <c r="E569">
        <v>0.105</v>
      </c>
      <c r="F569">
        <v>0.309</v>
      </c>
      <c r="G569">
        <v>0.11899999999999999</v>
      </c>
      <c r="H569">
        <v>0.08</v>
      </c>
      <c r="I569">
        <v>9.8000000000000004E-2</v>
      </c>
      <c r="J569">
        <v>6</v>
      </c>
      <c r="K569">
        <v>9</v>
      </c>
      <c r="L569" t="s">
        <v>34</v>
      </c>
      <c r="M569" t="s">
        <v>35</v>
      </c>
      <c r="N569" t="s">
        <v>36</v>
      </c>
      <c r="O569">
        <v>4</v>
      </c>
      <c r="P569" t="s">
        <v>8</v>
      </c>
      <c r="Q569">
        <v>6.1</v>
      </c>
    </row>
    <row r="570" spans="1:17">
      <c r="A570">
        <v>3365</v>
      </c>
      <c r="B570" t="s">
        <v>75</v>
      </c>
      <c r="C570">
        <v>0.33</v>
      </c>
      <c r="D570">
        <v>0.245</v>
      </c>
      <c r="E570">
        <v>8.5000000000000006E-2</v>
      </c>
      <c r="F570">
        <v>0.17100000000000001</v>
      </c>
      <c r="G570">
        <v>6.5500000000000003E-2</v>
      </c>
      <c r="H570">
        <v>3.6499999999999998E-2</v>
      </c>
      <c r="I570">
        <v>5.5E-2</v>
      </c>
      <c r="J570">
        <v>11</v>
      </c>
      <c r="K570">
        <v>8</v>
      </c>
      <c r="L570" t="s">
        <v>55</v>
      </c>
      <c r="M570" t="s">
        <v>56</v>
      </c>
      <c r="N570" t="s">
        <v>57</v>
      </c>
      <c r="O570">
        <v>4</v>
      </c>
      <c r="P570" t="s">
        <v>8</v>
      </c>
      <c r="Q570">
        <v>6.1</v>
      </c>
    </row>
    <row r="571" spans="1:17">
      <c r="A571">
        <v>3115</v>
      </c>
      <c r="B571" t="s">
        <v>75</v>
      </c>
      <c r="C571">
        <v>0.44</v>
      </c>
      <c r="D571">
        <v>0.34</v>
      </c>
      <c r="E571">
        <v>0.1</v>
      </c>
      <c r="F571">
        <v>0.379</v>
      </c>
      <c r="G571">
        <v>0.17249999999999999</v>
      </c>
      <c r="H571">
        <v>8.1500000000000003E-2</v>
      </c>
      <c r="I571">
        <v>0.10100000000000001</v>
      </c>
      <c r="J571">
        <v>7</v>
      </c>
      <c r="K571">
        <v>3</v>
      </c>
      <c r="L571" t="s">
        <v>52</v>
      </c>
      <c r="M571" t="s">
        <v>53</v>
      </c>
      <c r="N571" t="s">
        <v>54</v>
      </c>
      <c r="O571">
        <v>4</v>
      </c>
      <c r="P571" t="s">
        <v>8</v>
      </c>
      <c r="Q571">
        <v>6.1</v>
      </c>
    </row>
    <row r="572" spans="1:17">
      <c r="A572">
        <v>3615</v>
      </c>
      <c r="B572" t="s">
        <v>75</v>
      </c>
      <c r="C572">
        <v>0.61499999999999999</v>
      </c>
      <c r="D572">
        <v>0.47499999999999998</v>
      </c>
      <c r="E572">
        <v>0.155</v>
      </c>
      <c r="F572">
        <v>1.0734999999999999</v>
      </c>
      <c r="G572">
        <v>0.4375</v>
      </c>
      <c r="H572">
        <v>0.25850000000000001</v>
      </c>
      <c r="I572">
        <v>0.31</v>
      </c>
      <c r="J572">
        <v>11</v>
      </c>
      <c r="K572">
        <v>5</v>
      </c>
      <c r="L572" t="s">
        <v>67</v>
      </c>
      <c r="M572" t="s">
        <v>68</v>
      </c>
      <c r="N572" t="s">
        <v>69</v>
      </c>
      <c r="O572">
        <v>6</v>
      </c>
      <c r="P572" t="s">
        <v>7</v>
      </c>
      <c r="Q572">
        <v>14.1</v>
      </c>
    </row>
    <row r="573" spans="1:17">
      <c r="A573">
        <v>2650</v>
      </c>
      <c r="B573" t="s">
        <v>75</v>
      </c>
      <c r="C573">
        <v>0.505</v>
      </c>
      <c r="D573">
        <v>0.4</v>
      </c>
      <c r="E573">
        <v>0.13500000000000001</v>
      </c>
      <c r="F573">
        <v>0.72299999999999998</v>
      </c>
      <c r="G573">
        <v>0.377</v>
      </c>
      <c r="H573">
        <v>0.14899999999999999</v>
      </c>
      <c r="I573">
        <v>0.17799999999999999</v>
      </c>
      <c r="J573">
        <v>7</v>
      </c>
      <c r="K573">
        <v>12</v>
      </c>
      <c r="L573" t="s">
        <v>58</v>
      </c>
      <c r="M573" t="s">
        <v>59</v>
      </c>
      <c r="N573" t="s">
        <v>45</v>
      </c>
      <c r="O573">
        <v>2</v>
      </c>
      <c r="P573" t="s">
        <v>5</v>
      </c>
      <c r="Q573">
        <v>18</v>
      </c>
    </row>
    <row r="574" spans="1:17">
      <c r="A574">
        <v>2838</v>
      </c>
      <c r="B574" t="s">
        <v>75</v>
      </c>
      <c r="C574">
        <v>0.57999999999999996</v>
      </c>
      <c r="D574">
        <v>0.44500000000000001</v>
      </c>
      <c r="E574">
        <v>0.13500000000000001</v>
      </c>
      <c r="F574">
        <v>0.95</v>
      </c>
      <c r="G574">
        <v>0.48399999999999999</v>
      </c>
      <c r="H574">
        <v>0.182</v>
      </c>
      <c r="I574">
        <v>0.23250000000000001</v>
      </c>
      <c r="J574">
        <v>8</v>
      </c>
      <c r="K574">
        <v>10</v>
      </c>
      <c r="L574" t="s">
        <v>37</v>
      </c>
      <c r="M574" t="s">
        <v>38</v>
      </c>
      <c r="N574" t="s">
        <v>39</v>
      </c>
      <c r="O574">
        <v>6</v>
      </c>
      <c r="P574" t="s">
        <v>7</v>
      </c>
      <c r="Q574">
        <v>14.1</v>
      </c>
    </row>
    <row r="575" spans="1:17">
      <c r="A575">
        <v>2309</v>
      </c>
      <c r="B575" t="s">
        <v>75</v>
      </c>
      <c r="C575">
        <v>0.45500000000000002</v>
      </c>
      <c r="D575">
        <v>0.35499999999999998</v>
      </c>
      <c r="E575">
        <v>0.13</v>
      </c>
      <c r="F575">
        <v>0.51500000000000001</v>
      </c>
      <c r="G575">
        <v>0.2</v>
      </c>
      <c r="H575">
        <v>0.1275</v>
      </c>
      <c r="I575">
        <v>0.17499999999999999</v>
      </c>
      <c r="J575">
        <v>11</v>
      </c>
      <c r="K575">
        <v>4</v>
      </c>
      <c r="L575" t="s">
        <v>40</v>
      </c>
      <c r="M575" t="s">
        <v>41</v>
      </c>
      <c r="N575" t="s">
        <v>42</v>
      </c>
      <c r="O575">
        <v>8</v>
      </c>
      <c r="P575" t="s">
        <v>13</v>
      </c>
      <c r="Q575">
        <v>12.3</v>
      </c>
    </row>
    <row r="576" spans="1:17">
      <c r="A576">
        <v>2658</v>
      </c>
      <c r="B576" t="s">
        <v>75</v>
      </c>
      <c r="C576">
        <v>0.54500000000000004</v>
      </c>
      <c r="D576">
        <v>0.4</v>
      </c>
      <c r="E576">
        <v>0.14000000000000001</v>
      </c>
      <c r="F576">
        <v>0.77800000000000002</v>
      </c>
      <c r="G576">
        <v>0.36799999999999999</v>
      </c>
      <c r="H576">
        <v>0.215</v>
      </c>
      <c r="I576">
        <v>0.18</v>
      </c>
      <c r="J576">
        <v>9</v>
      </c>
      <c r="K576">
        <v>1</v>
      </c>
      <c r="L576" t="s">
        <v>70</v>
      </c>
      <c r="M576" t="s">
        <v>71</v>
      </c>
      <c r="N576" t="s">
        <v>45</v>
      </c>
      <c r="O576">
        <v>5</v>
      </c>
      <c r="P576" t="s">
        <v>12</v>
      </c>
      <c r="Q576">
        <v>12.8</v>
      </c>
    </row>
    <row r="577" spans="1:17">
      <c r="A577">
        <v>1014</v>
      </c>
      <c r="B577" t="s">
        <v>75</v>
      </c>
      <c r="C577">
        <v>0.625</v>
      </c>
      <c r="D577">
        <v>0.47499999999999998</v>
      </c>
      <c r="E577">
        <v>0.17499999999999999</v>
      </c>
      <c r="F577">
        <v>1.1435</v>
      </c>
      <c r="G577">
        <v>0.47549999999999998</v>
      </c>
      <c r="H577">
        <v>0.2475</v>
      </c>
      <c r="I577">
        <v>0.34899999999999998</v>
      </c>
      <c r="J577">
        <v>10</v>
      </c>
      <c r="K577">
        <v>13</v>
      </c>
      <c r="L577" t="s">
        <v>43</v>
      </c>
      <c r="M577" t="s">
        <v>44</v>
      </c>
      <c r="N577" t="s">
        <v>45</v>
      </c>
      <c r="O577">
        <v>3</v>
      </c>
      <c r="P577" t="s">
        <v>10</v>
      </c>
      <c r="Q577">
        <v>3.6</v>
      </c>
    </row>
    <row r="578" spans="1:17">
      <c r="A578">
        <v>1795</v>
      </c>
      <c r="B578" t="s">
        <v>75</v>
      </c>
      <c r="C578">
        <v>0.57499999999999996</v>
      </c>
      <c r="D578">
        <v>0.45</v>
      </c>
      <c r="E578">
        <v>0.13</v>
      </c>
      <c r="F578">
        <v>0.8145</v>
      </c>
      <c r="G578">
        <v>0.40300000000000002</v>
      </c>
      <c r="H578">
        <v>0.17150000000000001</v>
      </c>
      <c r="I578">
        <v>0.21299999999999999</v>
      </c>
      <c r="J578">
        <v>10</v>
      </c>
      <c r="K578">
        <v>8</v>
      </c>
      <c r="L578" t="s">
        <v>55</v>
      </c>
      <c r="M578" t="s">
        <v>56</v>
      </c>
      <c r="N578" t="s">
        <v>57</v>
      </c>
      <c r="O578">
        <v>1</v>
      </c>
      <c r="P578" t="s">
        <v>4</v>
      </c>
      <c r="Q578">
        <v>22.1</v>
      </c>
    </row>
    <row r="579" spans="1:17">
      <c r="A579">
        <v>3479</v>
      </c>
      <c r="B579" t="s">
        <v>75</v>
      </c>
      <c r="C579">
        <v>0.435</v>
      </c>
      <c r="D579">
        <v>0.33500000000000002</v>
      </c>
      <c r="E579">
        <v>0.11</v>
      </c>
      <c r="F579">
        <v>0.41099999999999998</v>
      </c>
      <c r="G579">
        <v>0.20250000000000001</v>
      </c>
      <c r="H579">
        <v>9.4500000000000001E-2</v>
      </c>
      <c r="I579">
        <v>0.1</v>
      </c>
      <c r="J579">
        <v>7</v>
      </c>
      <c r="K579">
        <v>12</v>
      </c>
      <c r="L579" t="s">
        <v>58</v>
      </c>
      <c r="M579" t="s">
        <v>59</v>
      </c>
      <c r="N579" t="s">
        <v>45</v>
      </c>
      <c r="O579">
        <v>9</v>
      </c>
      <c r="P579" t="s">
        <v>9</v>
      </c>
      <c r="Q579">
        <v>1.9</v>
      </c>
    </row>
    <row r="580" spans="1:17">
      <c r="A580">
        <v>3345</v>
      </c>
      <c r="B580" t="s">
        <v>75</v>
      </c>
      <c r="C580">
        <v>0.495</v>
      </c>
      <c r="D580">
        <v>0.38</v>
      </c>
      <c r="E580">
        <v>0.14499999999999999</v>
      </c>
      <c r="F580">
        <v>0.51500000000000001</v>
      </c>
      <c r="G580">
        <v>0.17499999999999999</v>
      </c>
      <c r="H580">
        <v>9.8000000000000004E-2</v>
      </c>
      <c r="I580">
        <v>0.21199999999999999</v>
      </c>
      <c r="J580">
        <v>13</v>
      </c>
      <c r="K580">
        <v>15</v>
      </c>
      <c r="L580" t="s">
        <v>60</v>
      </c>
      <c r="M580" t="s">
        <v>61</v>
      </c>
      <c r="N580" t="s">
        <v>45</v>
      </c>
      <c r="O580">
        <v>8</v>
      </c>
      <c r="P580" t="s">
        <v>13</v>
      </c>
      <c r="Q580">
        <v>12.3</v>
      </c>
    </row>
    <row r="581" spans="1:17">
      <c r="A581">
        <v>2668</v>
      </c>
      <c r="B581" t="s">
        <v>75</v>
      </c>
      <c r="C581">
        <v>0.58499999999999996</v>
      </c>
      <c r="D581">
        <v>0.45</v>
      </c>
      <c r="E581">
        <v>0.15</v>
      </c>
      <c r="F581">
        <v>0.93799999999999994</v>
      </c>
      <c r="G581">
        <v>0.46700000000000003</v>
      </c>
      <c r="H581">
        <v>0.20300000000000001</v>
      </c>
      <c r="I581">
        <v>0.22500000000000001</v>
      </c>
      <c r="J581">
        <v>7</v>
      </c>
      <c r="K581">
        <v>5</v>
      </c>
      <c r="L581" t="s">
        <v>67</v>
      </c>
      <c r="M581" t="s">
        <v>68</v>
      </c>
      <c r="N581" t="s">
        <v>69</v>
      </c>
      <c r="O581">
        <v>9</v>
      </c>
      <c r="P581" t="s">
        <v>9</v>
      </c>
      <c r="Q581">
        <v>1.9</v>
      </c>
    </row>
    <row r="582" spans="1:17">
      <c r="A582">
        <v>58</v>
      </c>
      <c r="B582" t="s">
        <v>75</v>
      </c>
      <c r="C582">
        <v>0.47</v>
      </c>
      <c r="D582">
        <v>0.38500000000000001</v>
      </c>
      <c r="E582">
        <v>0.13500000000000001</v>
      </c>
      <c r="F582">
        <v>0.58950000000000002</v>
      </c>
      <c r="G582">
        <v>0.27650000000000002</v>
      </c>
      <c r="H582">
        <v>0.12</v>
      </c>
      <c r="I582">
        <v>0.17</v>
      </c>
      <c r="J582">
        <v>8</v>
      </c>
      <c r="K582">
        <v>14</v>
      </c>
      <c r="L582" t="s">
        <v>72</v>
      </c>
      <c r="M582" t="s">
        <v>73</v>
      </c>
      <c r="N582" t="s">
        <v>74</v>
      </c>
      <c r="O582">
        <v>5</v>
      </c>
      <c r="P582" t="s">
        <v>12</v>
      </c>
      <c r="Q582">
        <v>12.8</v>
      </c>
    </row>
    <row r="583" spans="1:17">
      <c r="A583">
        <v>3927</v>
      </c>
      <c r="B583" t="s">
        <v>75</v>
      </c>
      <c r="C583">
        <v>0.57999999999999996</v>
      </c>
      <c r="D583">
        <v>0.42</v>
      </c>
      <c r="E583">
        <v>0.16</v>
      </c>
      <c r="F583">
        <v>0.72799999999999998</v>
      </c>
      <c r="G583">
        <v>0.27250000000000002</v>
      </c>
      <c r="H583">
        <v>0.19</v>
      </c>
      <c r="I583">
        <v>0.19</v>
      </c>
      <c r="J583">
        <v>14</v>
      </c>
      <c r="K583">
        <v>1</v>
      </c>
      <c r="L583" t="s">
        <v>70</v>
      </c>
      <c r="M583" t="s">
        <v>71</v>
      </c>
      <c r="N583" t="s">
        <v>45</v>
      </c>
      <c r="O583">
        <v>3</v>
      </c>
      <c r="P583" t="s">
        <v>10</v>
      </c>
      <c r="Q583">
        <v>3.6</v>
      </c>
    </row>
    <row r="584" spans="1:17">
      <c r="A584">
        <v>280</v>
      </c>
      <c r="B584" t="s">
        <v>75</v>
      </c>
      <c r="C584">
        <v>0.51500000000000001</v>
      </c>
      <c r="D584">
        <v>0.42499999999999999</v>
      </c>
      <c r="E584">
        <v>0.13500000000000001</v>
      </c>
      <c r="F584">
        <v>0.71199999999999997</v>
      </c>
      <c r="G584">
        <v>0.26650000000000001</v>
      </c>
      <c r="H584">
        <v>0.1605</v>
      </c>
      <c r="I584">
        <v>0.25</v>
      </c>
      <c r="J584">
        <v>11</v>
      </c>
      <c r="K584">
        <v>15</v>
      </c>
      <c r="L584" t="s">
        <v>60</v>
      </c>
      <c r="M584" t="s">
        <v>61</v>
      </c>
      <c r="N584" t="s">
        <v>45</v>
      </c>
      <c r="O584">
        <v>8</v>
      </c>
      <c r="P584" t="s">
        <v>13</v>
      </c>
      <c r="Q584">
        <v>12.3</v>
      </c>
    </row>
    <row r="585" spans="1:17">
      <c r="A585">
        <v>1242</v>
      </c>
      <c r="B585" t="s">
        <v>75</v>
      </c>
      <c r="C585">
        <v>0.38</v>
      </c>
      <c r="D585">
        <v>0.27</v>
      </c>
      <c r="E585">
        <v>0.08</v>
      </c>
      <c r="F585">
        <v>0.21049999999999999</v>
      </c>
      <c r="G585">
        <v>8.6499999999999994E-2</v>
      </c>
      <c r="H585">
        <v>4.2000000000000003E-2</v>
      </c>
      <c r="I585">
        <v>7.0000000000000007E-2</v>
      </c>
      <c r="J585">
        <v>8</v>
      </c>
      <c r="K585">
        <v>2</v>
      </c>
      <c r="L585" t="s">
        <v>49</v>
      </c>
      <c r="M585" t="s">
        <v>50</v>
      </c>
      <c r="N585" t="s">
        <v>51</v>
      </c>
      <c r="O585">
        <v>9</v>
      </c>
      <c r="P585" t="s">
        <v>9</v>
      </c>
      <c r="Q585">
        <v>1.9</v>
      </c>
    </row>
    <row r="586" spans="1:17">
      <c r="A586">
        <v>2137</v>
      </c>
      <c r="B586" t="s">
        <v>75</v>
      </c>
      <c r="C586">
        <v>0.56000000000000005</v>
      </c>
      <c r="D586">
        <v>0.42499999999999999</v>
      </c>
      <c r="E586">
        <v>0.125</v>
      </c>
      <c r="F586">
        <v>0.93200000000000005</v>
      </c>
      <c r="G586">
        <v>0.36099999999999999</v>
      </c>
      <c r="H586">
        <v>0.21299999999999999</v>
      </c>
      <c r="I586">
        <v>0.33500000000000002</v>
      </c>
      <c r="J586">
        <v>9</v>
      </c>
      <c r="K586">
        <v>12</v>
      </c>
      <c r="L586" t="s">
        <v>58</v>
      </c>
      <c r="M586" t="s">
        <v>59</v>
      </c>
      <c r="N586" t="s">
        <v>45</v>
      </c>
      <c r="O586">
        <v>9</v>
      </c>
      <c r="P586" t="s">
        <v>9</v>
      </c>
      <c r="Q586">
        <v>1.9</v>
      </c>
    </row>
    <row r="587" spans="1:17">
      <c r="A587">
        <v>516</v>
      </c>
      <c r="B587" t="s">
        <v>75</v>
      </c>
      <c r="C587">
        <v>0.27</v>
      </c>
      <c r="D587">
        <v>0.19500000000000001</v>
      </c>
      <c r="E587">
        <v>0.08</v>
      </c>
      <c r="F587">
        <v>0.1</v>
      </c>
      <c r="G587">
        <v>3.85E-2</v>
      </c>
      <c r="H587">
        <v>1.95E-2</v>
      </c>
      <c r="I587">
        <v>0.03</v>
      </c>
      <c r="J587">
        <v>6</v>
      </c>
      <c r="K587">
        <v>9</v>
      </c>
      <c r="L587" t="s">
        <v>34</v>
      </c>
      <c r="M587" t="s">
        <v>35</v>
      </c>
      <c r="N587" t="s">
        <v>36</v>
      </c>
      <c r="O587">
        <v>3</v>
      </c>
      <c r="P587" t="s">
        <v>10</v>
      </c>
      <c r="Q587">
        <v>3.6</v>
      </c>
    </row>
    <row r="588" spans="1:17">
      <c r="A588">
        <v>3841</v>
      </c>
      <c r="B588" t="s">
        <v>75</v>
      </c>
      <c r="C588">
        <v>0.53</v>
      </c>
      <c r="D588">
        <v>0.41</v>
      </c>
      <c r="E588">
        <v>0.14499999999999999</v>
      </c>
      <c r="F588">
        <v>0.82550000000000001</v>
      </c>
      <c r="G588">
        <v>0.375</v>
      </c>
      <c r="H588">
        <v>0.20399999999999999</v>
      </c>
      <c r="I588">
        <v>0.245</v>
      </c>
      <c r="J588">
        <v>9</v>
      </c>
      <c r="K588">
        <v>3</v>
      </c>
      <c r="L588" t="s">
        <v>52</v>
      </c>
      <c r="M588" t="s">
        <v>53</v>
      </c>
      <c r="N588" t="s">
        <v>54</v>
      </c>
      <c r="O588">
        <v>1</v>
      </c>
      <c r="P588" t="s">
        <v>4</v>
      </c>
      <c r="Q588">
        <v>22.1</v>
      </c>
    </row>
    <row r="589" spans="1:17">
      <c r="A589">
        <v>2358</v>
      </c>
      <c r="B589" t="s">
        <v>75</v>
      </c>
      <c r="C589">
        <v>0.58499999999999996</v>
      </c>
      <c r="D589">
        <v>0.45500000000000002</v>
      </c>
      <c r="E589">
        <v>0.125</v>
      </c>
      <c r="F589">
        <v>1.0269999999999999</v>
      </c>
      <c r="G589">
        <v>0.39100000000000001</v>
      </c>
      <c r="H589">
        <v>0.21199999999999999</v>
      </c>
      <c r="I589">
        <v>0.25</v>
      </c>
      <c r="J589">
        <v>17</v>
      </c>
      <c r="K589">
        <v>1</v>
      </c>
      <c r="L589" t="s">
        <v>70</v>
      </c>
      <c r="M589" t="s">
        <v>71</v>
      </c>
      <c r="N589" t="s">
        <v>45</v>
      </c>
      <c r="O589">
        <v>1</v>
      </c>
      <c r="P589" t="s">
        <v>4</v>
      </c>
      <c r="Q589">
        <v>22.1</v>
      </c>
    </row>
    <row r="590" spans="1:17">
      <c r="A590">
        <v>3851</v>
      </c>
      <c r="B590" t="s">
        <v>75</v>
      </c>
      <c r="C590">
        <v>0.375</v>
      </c>
      <c r="D590">
        <v>0.29499999999999998</v>
      </c>
      <c r="E590">
        <v>0.11</v>
      </c>
      <c r="F590">
        <v>0.30049999999999999</v>
      </c>
      <c r="G590">
        <v>0.1255</v>
      </c>
      <c r="H590">
        <v>5.7500000000000002E-2</v>
      </c>
      <c r="I590">
        <v>0.10349999999999999</v>
      </c>
      <c r="J590">
        <v>7</v>
      </c>
      <c r="K590">
        <v>13</v>
      </c>
      <c r="L590" t="s">
        <v>43</v>
      </c>
      <c r="M590" t="s">
        <v>44</v>
      </c>
      <c r="N590" t="s">
        <v>45</v>
      </c>
      <c r="O590">
        <v>4</v>
      </c>
      <c r="P590" t="s">
        <v>8</v>
      </c>
      <c r="Q590">
        <v>6.1</v>
      </c>
    </row>
    <row r="591" spans="1:17">
      <c r="A591">
        <v>707</v>
      </c>
      <c r="B591" t="s">
        <v>75</v>
      </c>
      <c r="C591">
        <v>0.315</v>
      </c>
      <c r="D591">
        <v>0.25</v>
      </c>
      <c r="E591">
        <v>0.09</v>
      </c>
      <c r="F591">
        <v>0.20300000000000001</v>
      </c>
      <c r="G591">
        <v>6.1499999999999999E-2</v>
      </c>
      <c r="H591">
        <v>3.6999999999999998E-2</v>
      </c>
      <c r="I591">
        <v>7.9500000000000001E-2</v>
      </c>
      <c r="J591">
        <v>11</v>
      </c>
      <c r="K591">
        <v>9</v>
      </c>
      <c r="L591" t="s">
        <v>34</v>
      </c>
      <c r="M591" t="s">
        <v>35</v>
      </c>
      <c r="N591" t="s">
        <v>36</v>
      </c>
      <c r="O591">
        <v>8</v>
      </c>
      <c r="P591" t="s">
        <v>13</v>
      </c>
      <c r="Q591">
        <v>12.3</v>
      </c>
    </row>
    <row r="592" spans="1:17">
      <c r="A592">
        <v>3140</v>
      </c>
      <c r="B592" t="s">
        <v>75</v>
      </c>
      <c r="C592">
        <v>0.33500000000000002</v>
      </c>
      <c r="D592">
        <v>0.26</v>
      </c>
      <c r="E592">
        <v>0.09</v>
      </c>
      <c r="F592">
        <v>0.1835</v>
      </c>
      <c r="G592">
        <v>7.8E-2</v>
      </c>
      <c r="H592">
        <v>2.4E-2</v>
      </c>
      <c r="I592">
        <v>6.5000000000000002E-2</v>
      </c>
      <c r="J592">
        <v>11</v>
      </c>
      <c r="K592">
        <v>4</v>
      </c>
      <c r="L592" t="s">
        <v>40</v>
      </c>
      <c r="M592" t="s">
        <v>41</v>
      </c>
      <c r="N592" t="s">
        <v>42</v>
      </c>
      <c r="O592">
        <v>2</v>
      </c>
      <c r="P592" t="s">
        <v>5</v>
      </c>
      <c r="Q592">
        <v>18</v>
      </c>
    </row>
    <row r="593" spans="1:17">
      <c r="A593">
        <v>472</v>
      </c>
      <c r="B593" t="s">
        <v>75</v>
      </c>
      <c r="C593">
        <v>0.51500000000000001</v>
      </c>
      <c r="D593">
        <v>0.40500000000000003</v>
      </c>
      <c r="E593">
        <v>0.12</v>
      </c>
      <c r="F593">
        <v>0.64600000000000002</v>
      </c>
      <c r="G593">
        <v>0.28949999999999998</v>
      </c>
      <c r="H593">
        <v>0.14050000000000001</v>
      </c>
      <c r="I593">
        <v>0.17699999999999999</v>
      </c>
      <c r="J593">
        <v>10</v>
      </c>
      <c r="K593">
        <v>7</v>
      </c>
      <c r="L593" t="s">
        <v>62</v>
      </c>
      <c r="M593" t="s">
        <v>63</v>
      </c>
      <c r="N593" t="s">
        <v>64</v>
      </c>
      <c r="O593">
        <v>10</v>
      </c>
      <c r="P593" t="s">
        <v>11</v>
      </c>
      <c r="Q593">
        <v>24.1</v>
      </c>
    </row>
    <row r="594" spans="1:17">
      <c r="A594">
        <v>2277</v>
      </c>
      <c r="B594" t="s">
        <v>75</v>
      </c>
      <c r="C594">
        <v>0.62</v>
      </c>
      <c r="D594">
        <v>0.48</v>
      </c>
      <c r="E594">
        <v>0.23</v>
      </c>
      <c r="F594">
        <v>1.0934999999999999</v>
      </c>
      <c r="G594">
        <v>0.40300000000000002</v>
      </c>
      <c r="H594">
        <v>0.245</v>
      </c>
      <c r="I594">
        <v>0.35499999999999998</v>
      </c>
      <c r="J594">
        <v>14</v>
      </c>
      <c r="K594">
        <v>12</v>
      </c>
      <c r="L594" t="s">
        <v>58</v>
      </c>
      <c r="M594" t="s">
        <v>59</v>
      </c>
      <c r="N594" t="s">
        <v>45</v>
      </c>
      <c r="O594">
        <v>1</v>
      </c>
      <c r="P594" t="s">
        <v>4</v>
      </c>
      <c r="Q594">
        <v>22.1</v>
      </c>
    </row>
    <row r="595" spans="1:17">
      <c r="A595">
        <v>1159</v>
      </c>
      <c r="B595" t="s">
        <v>75</v>
      </c>
      <c r="C595">
        <v>0.60499999999999998</v>
      </c>
      <c r="D595">
        <v>0.47499999999999998</v>
      </c>
      <c r="E595">
        <v>0.14000000000000001</v>
      </c>
      <c r="F595">
        <v>1.1174999999999999</v>
      </c>
      <c r="G595">
        <v>0.55500000000000005</v>
      </c>
      <c r="H595">
        <v>0.25700000000000001</v>
      </c>
      <c r="I595">
        <v>0.27400000000000002</v>
      </c>
      <c r="J595">
        <v>9</v>
      </c>
      <c r="K595">
        <v>7</v>
      </c>
      <c r="L595" t="s">
        <v>62</v>
      </c>
      <c r="M595" t="s">
        <v>63</v>
      </c>
      <c r="N595" t="s">
        <v>64</v>
      </c>
      <c r="O595">
        <v>5</v>
      </c>
      <c r="P595" t="s">
        <v>12</v>
      </c>
      <c r="Q595">
        <v>12.8</v>
      </c>
    </row>
    <row r="596" spans="1:17">
      <c r="A596">
        <v>2111</v>
      </c>
      <c r="B596" t="s">
        <v>75</v>
      </c>
      <c r="C596">
        <v>0.32500000000000001</v>
      </c>
      <c r="D596">
        <v>0.25</v>
      </c>
      <c r="E596">
        <v>5.5E-2</v>
      </c>
      <c r="F596">
        <v>0.16600000000000001</v>
      </c>
      <c r="G596">
        <v>7.5999999999999998E-2</v>
      </c>
      <c r="H596">
        <v>5.0999999999999997E-2</v>
      </c>
      <c r="I596">
        <v>4.4999999999999998E-2</v>
      </c>
      <c r="J596">
        <v>5</v>
      </c>
      <c r="K596">
        <v>13</v>
      </c>
      <c r="L596" t="s">
        <v>43</v>
      </c>
      <c r="M596" t="s">
        <v>44</v>
      </c>
      <c r="N596" t="s">
        <v>45</v>
      </c>
      <c r="O596">
        <v>2</v>
      </c>
      <c r="P596" t="s">
        <v>5</v>
      </c>
      <c r="Q596">
        <v>18</v>
      </c>
    </row>
    <row r="597" spans="1:17">
      <c r="A597">
        <v>3541</v>
      </c>
      <c r="B597" t="s">
        <v>75</v>
      </c>
      <c r="C597">
        <v>0.44500000000000001</v>
      </c>
      <c r="D597">
        <v>0.35499999999999998</v>
      </c>
      <c r="E597">
        <v>9.5000000000000001E-2</v>
      </c>
      <c r="F597">
        <v>0.36149999999999999</v>
      </c>
      <c r="G597">
        <v>0.14149999999999999</v>
      </c>
      <c r="H597">
        <v>7.85E-2</v>
      </c>
      <c r="I597">
        <v>0.12</v>
      </c>
      <c r="J597">
        <v>8</v>
      </c>
      <c r="K597">
        <v>5</v>
      </c>
      <c r="L597" t="s">
        <v>67</v>
      </c>
      <c r="M597" t="s">
        <v>68</v>
      </c>
      <c r="N597" t="s">
        <v>69</v>
      </c>
      <c r="O597">
        <v>10</v>
      </c>
      <c r="P597" t="s">
        <v>11</v>
      </c>
      <c r="Q597">
        <v>24.1</v>
      </c>
    </row>
    <row r="598" spans="1:17">
      <c r="A598">
        <v>3354</v>
      </c>
      <c r="B598" t="s">
        <v>75</v>
      </c>
      <c r="C598">
        <v>0.47499999999999998</v>
      </c>
      <c r="D598">
        <v>0.36499999999999999</v>
      </c>
      <c r="E598">
        <v>0.14000000000000001</v>
      </c>
      <c r="F598">
        <v>0.45450000000000002</v>
      </c>
      <c r="G598">
        <v>0.17100000000000001</v>
      </c>
      <c r="H598">
        <v>0.11799999999999999</v>
      </c>
      <c r="I598">
        <v>0.158</v>
      </c>
      <c r="J598">
        <v>8</v>
      </c>
      <c r="K598">
        <v>14</v>
      </c>
      <c r="L598" t="s">
        <v>72</v>
      </c>
      <c r="M598" t="s">
        <v>73</v>
      </c>
      <c r="N598" t="s">
        <v>74</v>
      </c>
      <c r="O598">
        <v>6</v>
      </c>
      <c r="P598" t="s">
        <v>7</v>
      </c>
      <c r="Q598">
        <v>14.1</v>
      </c>
    </row>
    <row r="599" spans="1:17">
      <c r="A599">
        <v>931</v>
      </c>
      <c r="B599" t="s">
        <v>75</v>
      </c>
      <c r="C599">
        <v>0.44</v>
      </c>
      <c r="D599">
        <v>0.32500000000000001</v>
      </c>
      <c r="E599">
        <v>0.09</v>
      </c>
      <c r="F599">
        <v>0.35</v>
      </c>
      <c r="G599">
        <v>0.14799999999999999</v>
      </c>
      <c r="H599">
        <v>6.7000000000000004E-2</v>
      </c>
      <c r="I599">
        <v>0.105</v>
      </c>
      <c r="J599">
        <v>7</v>
      </c>
      <c r="K599">
        <v>15</v>
      </c>
      <c r="L599" t="s">
        <v>60</v>
      </c>
      <c r="M599" t="s">
        <v>61</v>
      </c>
      <c r="N599" t="s">
        <v>45</v>
      </c>
      <c r="O599">
        <v>7</v>
      </c>
      <c r="P599" t="s">
        <v>6</v>
      </c>
      <c r="Q599">
        <v>2.5</v>
      </c>
    </row>
    <row r="600" spans="1:17">
      <c r="A600">
        <v>2512</v>
      </c>
      <c r="B600" t="s">
        <v>75</v>
      </c>
      <c r="C600">
        <v>0.42499999999999999</v>
      </c>
      <c r="D600">
        <v>0.31</v>
      </c>
      <c r="E600">
        <v>0.105</v>
      </c>
      <c r="F600">
        <v>0.36499999999999999</v>
      </c>
      <c r="G600">
        <v>0.159</v>
      </c>
      <c r="H600">
        <v>8.2500000000000004E-2</v>
      </c>
      <c r="I600">
        <v>0.105</v>
      </c>
      <c r="J600">
        <v>6</v>
      </c>
      <c r="K600">
        <v>11</v>
      </c>
      <c r="L600" t="s">
        <v>65</v>
      </c>
      <c r="M600" t="s">
        <v>66</v>
      </c>
      <c r="N600" t="s">
        <v>45</v>
      </c>
      <c r="O600">
        <v>2</v>
      </c>
      <c r="P600" t="s">
        <v>5</v>
      </c>
      <c r="Q600">
        <v>18</v>
      </c>
    </row>
    <row r="601" spans="1:17">
      <c r="A601">
        <v>225</v>
      </c>
      <c r="B601" t="s">
        <v>75</v>
      </c>
      <c r="C601">
        <v>0.42499999999999999</v>
      </c>
      <c r="D601">
        <v>0.38</v>
      </c>
      <c r="E601">
        <v>0.105</v>
      </c>
      <c r="F601">
        <v>0.32650000000000001</v>
      </c>
      <c r="G601">
        <v>0.1285</v>
      </c>
      <c r="H601">
        <v>7.85E-2</v>
      </c>
      <c r="I601">
        <v>0.1</v>
      </c>
      <c r="J601">
        <v>10</v>
      </c>
      <c r="K601">
        <v>15</v>
      </c>
      <c r="L601" t="s">
        <v>60</v>
      </c>
      <c r="M601" t="s">
        <v>61</v>
      </c>
      <c r="N601" t="s">
        <v>45</v>
      </c>
      <c r="O601">
        <v>6</v>
      </c>
      <c r="P601" t="s">
        <v>7</v>
      </c>
      <c r="Q601">
        <v>14.1</v>
      </c>
    </row>
    <row r="602" spans="1:17">
      <c r="A602">
        <v>1541</v>
      </c>
      <c r="B602" t="s">
        <v>75</v>
      </c>
      <c r="C602">
        <v>0.36</v>
      </c>
      <c r="D602">
        <v>0.27</v>
      </c>
      <c r="E602">
        <v>9.5000000000000001E-2</v>
      </c>
      <c r="F602">
        <v>0.2</v>
      </c>
      <c r="G602">
        <v>7.2999999999999995E-2</v>
      </c>
      <c r="H602">
        <v>5.6000000000000001E-2</v>
      </c>
      <c r="I602">
        <v>6.0999999999999999E-2</v>
      </c>
      <c r="J602">
        <v>8</v>
      </c>
      <c r="K602">
        <v>14</v>
      </c>
      <c r="L602" t="s">
        <v>72</v>
      </c>
      <c r="M602" t="s">
        <v>73</v>
      </c>
      <c r="N602" t="s">
        <v>74</v>
      </c>
      <c r="O602">
        <v>3</v>
      </c>
      <c r="P602" t="s">
        <v>10</v>
      </c>
      <c r="Q602">
        <v>3.6</v>
      </c>
    </row>
    <row r="603" spans="1:17">
      <c r="A603">
        <v>3114</v>
      </c>
      <c r="B603" t="s">
        <v>75</v>
      </c>
      <c r="C603">
        <v>0.42499999999999999</v>
      </c>
      <c r="D603">
        <v>0.32500000000000001</v>
      </c>
      <c r="E603">
        <v>0.105</v>
      </c>
      <c r="F603">
        <v>0.39750000000000002</v>
      </c>
      <c r="G603">
        <v>0.18149999999999999</v>
      </c>
      <c r="H603">
        <v>8.1000000000000003E-2</v>
      </c>
      <c r="I603">
        <v>0.11749999999999999</v>
      </c>
      <c r="J603">
        <v>7</v>
      </c>
      <c r="K603">
        <v>12</v>
      </c>
      <c r="L603" t="s">
        <v>58</v>
      </c>
      <c r="M603" t="s">
        <v>59</v>
      </c>
      <c r="N603" t="s">
        <v>45</v>
      </c>
      <c r="O603">
        <v>5</v>
      </c>
      <c r="P603" t="s">
        <v>12</v>
      </c>
      <c r="Q603">
        <v>12.8</v>
      </c>
    </row>
    <row r="604" spans="1:17">
      <c r="A604">
        <v>3973</v>
      </c>
      <c r="B604" t="s">
        <v>75</v>
      </c>
      <c r="C604">
        <v>0.41499999999999998</v>
      </c>
      <c r="D604">
        <v>0.315</v>
      </c>
      <c r="E604">
        <v>0.12</v>
      </c>
      <c r="F604">
        <v>0.40150000000000002</v>
      </c>
      <c r="G604">
        <v>0.19900000000000001</v>
      </c>
      <c r="H604">
        <v>8.6999999999999994E-2</v>
      </c>
      <c r="I604">
        <v>9.7000000000000003E-2</v>
      </c>
      <c r="J604">
        <v>8</v>
      </c>
      <c r="K604">
        <v>2</v>
      </c>
      <c r="L604" t="s">
        <v>49</v>
      </c>
      <c r="M604" t="s">
        <v>50</v>
      </c>
      <c r="N604" t="s">
        <v>51</v>
      </c>
      <c r="O604">
        <v>9</v>
      </c>
      <c r="P604" t="s">
        <v>9</v>
      </c>
      <c r="Q604">
        <v>1.9</v>
      </c>
    </row>
    <row r="605" spans="1:17">
      <c r="A605">
        <v>348</v>
      </c>
      <c r="B605" t="s">
        <v>75</v>
      </c>
      <c r="C605">
        <v>0.34</v>
      </c>
      <c r="D605">
        <v>0.26</v>
      </c>
      <c r="E605">
        <v>0.08</v>
      </c>
      <c r="F605">
        <v>0.2</v>
      </c>
      <c r="G605">
        <v>0.08</v>
      </c>
      <c r="H605">
        <v>5.5500000000000001E-2</v>
      </c>
      <c r="I605">
        <v>5.5E-2</v>
      </c>
      <c r="J605">
        <v>6</v>
      </c>
      <c r="K605">
        <v>13</v>
      </c>
      <c r="L605" t="s">
        <v>43</v>
      </c>
      <c r="M605" t="s">
        <v>44</v>
      </c>
      <c r="N605" t="s">
        <v>45</v>
      </c>
      <c r="O605">
        <v>5</v>
      </c>
      <c r="P605" t="s">
        <v>12</v>
      </c>
      <c r="Q605">
        <v>12.8</v>
      </c>
    </row>
    <row r="606" spans="1:17">
      <c r="A606">
        <v>602</v>
      </c>
      <c r="B606" t="s">
        <v>75</v>
      </c>
      <c r="C606">
        <v>0.38500000000000001</v>
      </c>
      <c r="D606">
        <v>0.315</v>
      </c>
      <c r="E606">
        <v>0.11</v>
      </c>
      <c r="F606">
        <v>0.28599999999999998</v>
      </c>
      <c r="G606">
        <v>0.1225</v>
      </c>
      <c r="H606">
        <v>6.3500000000000001E-2</v>
      </c>
      <c r="I606">
        <v>8.3500000000000005E-2</v>
      </c>
      <c r="J606">
        <v>10</v>
      </c>
      <c r="K606">
        <v>15</v>
      </c>
      <c r="L606" t="s">
        <v>60</v>
      </c>
      <c r="M606" t="s">
        <v>61</v>
      </c>
      <c r="N606" t="s">
        <v>45</v>
      </c>
      <c r="O606">
        <v>8</v>
      </c>
      <c r="P606" t="s">
        <v>13</v>
      </c>
      <c r="Q606">
        <v>12.3</v>
      </c>
    </row>
    <row r="607" spans="1:17">
      <c r="A607">
        <v>1359</v>
      </c>
      <c r="B607" t="s">
        <v>75</v>
      </c>
      <c r="C607">
        <v>0.60499999999999998</v>
      </c>
      <c r="D607">
        <v>0.48499999999999999</v>
      </c>
      <c r="E607">
        <v>0.15</v>
      </c>
      <c r="F607">
        <v>1.238</v>
      </c>
      <c r="G607">
        <v>0.63149999999999995</v>
      </c>
      <c r="H607">
        <v>0.22600000000000001</v>
      </c>
      <c r="I607">
        <v>0.33</v>
      </c>
      <c r="J607">
        <v>11</v>
      </c>
      <c r="K607">
        <v>15</v>
      </c>
      <c r="L607" t="s">
        <v>60</v>
      </c>
      <c r="M607" t="s">
        <v>61</v>
      </c>
      <c r="N607" t="s">
        <v>45</v>
      </c>
      <c r="O607">
        <v>7</v>
      </c>
      <c r="P607" t="s">
        <v>6</v>
      </c>
      <c r="Q607">
        <v>2.5</v>
      </c>
    </row>
    <row r="608" spans="1:17">
      <c r="A608">
        <v>2564</v>
      </c>
      <c r="B608" t="s">
        <v>75</v>
      </c>
      <c r="C608">
        <v>0.44</v>
      </c>
      <c r="D608">
        <v>0.35499999999999998</v>
      </c>
      <c r="E608">
        <v>0.12</v>
      </c>
      <c r="F608">
        <v>0.495</v>
      </c>
      <c r="G608">
        <v>0.23100000000000001</v>
      </c>
      <c r="H608">
        <v>0.11</v>
      </c>
      <c r="I608">
        <v>0.125</v>
      </c>
      <c r="J608">
        <v>7</v>
      </c>
      <c r="K608">
        <v>4</v>
      </c>
      <c r="L608" t="s">
        <v>40</v>
      </c>
      <c r="M608" t="s">
        <v>41</v>
      </c>
      <c r="N608" t="s">
        <v>42</v>
      </c>
      <c r="O608">
        <v>9</v>
      </c>
      <c r="P608" t="s">
        <v>9</v>
      </c>
      <c r="Q608">
        <v>1.9</v>
      </c>
    </row>
    <row r="609" spans="1:17">
      <c r="A609">
        <v>1865</v>
      </c>
      <c r="B609" t="s">
        <v>75</v>
      </c>
      <c r="C609">
        <v>0.52</v>
      </c>
      <c r="D609">
        <v>0.39500000000000002</v>
      </c>
      <c r="E609">
        <v>0.125</v>
      </c>
      <c r="F609">
        <v>0.58050000000000002</v>
      </c>
      <c r="G609">
        <v>0.2445</v>
      </c>
      <c r="H609">
        <v>0.14599999999999999</v>
      </c>
      <c r="I609">
        <v>0.16500000000000001</v>
      </c>
      <c r="J609">
        <v>9</v>
      </c>
      <c r="K609">
        <v>2</v>
      </c>
      <c r="L609" t="s">
        <v>49</v>
      </c>
      <c r="M609" t="s">
        <v>50</v>
      </c>
      <c r="N609" t="s">
        <v>51</v>
      </c>
      <c r="O609">
        <v>1</v>
      </c>
      <c r="P609" t="s">
        <v>4</v>
      </c>
      <c r="Q609">
        <v>22.1</v>
      </c>
    </row>
    <row r="610" spans="1:17">
      <c r="A610">
        <v>2167</v>
      </c>
      <c r="B610" t="s">
        <v>75</v>
      </c>
      <c r="C610">
        <v>0.38</v>
      </c>
      <c r="D610">
        <v>0.28000000000000003</v>
      </c>
      <c r="E610">
        <v>8.5000000000000006E-2</v>
      </c>
      <c r="F610">
        <v>0.27350000000000002</v>
      </c>
      <c r="G610">
        <v>0.115</v>
      </c>
      <c r="H610">
        <v>6.0999999999999999E-2</v>
      </c>
      <c r="I610">
        <v>8.5000000000000006E-2</v>
      </c>
      <c r="J610">
        <v>6</v>
      </c>
      <c r="K610">
        <v>6</v>
      </c>
      <c r="L610" t="s">
        <v>46</v>
      </c>
      <c r="M610" t="s">
        <v>47</v>
      </c>
      <c r="N610" t="s">
        <v>48</v>
      </c>
      <c r="O610">
        <v>4</v>
      </c>
      <c r="P610" t="s">
        <v>8</v>
      </c>
      <c r="Q610">
        <v>6.1</v>
      </c>
    </row>
    <row r="611" spans="1:17">
      <c r="A611">
        <v>3636</v>
      </c>
      <c r="B611" t="s">
        <v>75</v>
      </c>
      <c r="C611">
        <v>0.37</v>
      </c>
      <c r="D611">
        <v>0.27500000000000002</v>
      </c>
      <c r="E611">
        <v>9.5000000000000001E-2</v>
      </c>
      <c r="F611">
        <v>0.25700000000000001</v>
      </c>
      <c r="G611">
        <v>0.10150000000000001</v>
      </c>
      <c r="H611">
        <v>5.5E-2</v>
      </c>
      <c r="I611">
        <v>8.2500000000000004E-2</v>
      </c>
      <c r="J611">
        <v>6</v>
      </c>
      <c r="K611">
        <v>12</v>
      </c>
      <c r="L611" t="s">
        <v>58</v>
      </c>
      <c r="M611" t="s">
        <v>59</v>
      </c>
      <c r="N611" t="s">
        <v>45</v>
      </c>
      <c r="O611">
        <v>2</v>
      </c>
      <c r="P611" t="s">
        <v>5</v>
      </c>
      <c r="Q611">
        <v>18</v>
      </c>
    </row>
    <row r="612" spans="1:17">
      <c r="A612">
        <v>3853</v>
      </c>
      <c r="B612" t="s">
        <v>75</v>
      </c>
      <c r="C612">
        <v>0.55000000000000004</v>
      </c>
      <c r="D612">
        <v>0.41</v>
      </c>
      <c r="E612">
        <v>0.15</v>
      </c>
      <c r="F612">
        <v>0.78500000000000003</v>
      </c>
      <c r="G612">
        <v>0.28199999999999997</v>
      </c>
      <c r="H612">
        <v>0.186</v>
      </c>
      <c r="I612">
        <v>0.27500000000000002</v>
      </c>
      <c r="J612">
        <v>12</v>
      </c>
      <c r="K612">
        <v>7</v>
      </c>
      <c r="L612" t="s">
        <v>62</v>
      </c>
      <c r="M612" t="s">
        <v>63</v>
      </c>
      <c r="N612" t="s">
        <v>64</v>
      </c>
      <c r="O612">
        <v>2</v>
      </c>
      <c r="P612" t="s">
        <v>5</v>
      </c>
      <c r="Q612">
        <v>18</v>
      </c>
    </row>
    <row r="613" spans="1:17">
      <c r="A613">
        <v>1624</v>
      </c>
      <c r="B613" t="s">
        <v>75</v>
      </c>
      <c r="C613">
        <v>0.56499999999999995</v>
      </c>
      <c r="D613">
        <v>0.44</v>
      </c>
      <c r="E613">
        <v>0.15</v>
      </c>
      <c r="F613">
        <v>0.86299999999999999</v>
      </c>
      <c r="G613">
        <v>0.435</v>
      </c>
      <c r="H613">
        <v>0.14899999999999999</v>
      </c>
      <c r="I613">
        <v>0.27</v>
      </c>
      <c r="J613">
        <v>9</v>
      </c>
      <c r="K613">
        <v>5</v>
      </c>
      <c r="L613" t="s">
        <v>67</v>
      </c>
      <c r="M613" t="s">
        <v>68</v>
      </c>
      <c r="N613" t="s">
        <v>69</v>
      </c>
      <c r="O613">
        <v>8</v>
      </c>
      <c r="P613" t="s">
        <v>13</v>
      </c>
      <c r="Q613">
        <v>12.3</v>
      </c>
    </row>
    <row r="614" spans="1:17">
      <c r="A614">
        <v>811</v>
      </c>
      <c r="B614" t="s">
        <v>75</v>
      </c>
      <c r="C614">
        <v>0.505</v>
      </c>
      <c r="D614">
        <v>0.40500000000000003</v>
      </c>
      <c r="E614">
        <v>0.14000000000000001</v>
      </c>
      <c r="F614">
        <v>0.875</v>
      </c>
      <c r="G614">
        <v>0.26650000000000001</v>
      </c>
      <c r="H614">
        <v>0.17399999999999999</v>
      </c>
      <c r="I614">
        <v>0.28499999999999998</v>
      </c>
      <c r="J614">
        <v>12</v>
      </c>
      <c r="K614">
        <v>4</v>
      </c>
      <c r="L614" t="s">
        <v>40</v>
      </c>
      <c r="M614" t="s">
        <v>41</v>
      </c>
      <c r="N614" t="s">
        <v>42</v>
      </c>
      <c r="O614">
        <v>3</v>
      </c>
      <c r="P614" t="s">
        <v>10</v>
      </c>
      <c r="Q614">
        <v>3.6</v>
      </c>
    </row>
    <row r="615" spans="1:17">
      <c r="A615">
        <v>1964</v>
      </c>
      <c r="B615" t="s">
        <v>75</v>
      </c>
      <c r="C615">
        <v>0.65500000000000003</v>
      </c>
      <c r="D615">
        <v>0.52</v>
      </c>
      <c r="E615">
        <v>0.17</v>
      </c>
      <c r="F615">
        <v>1.1445000000000001</v>
      </c>
      <c r="G615">
        <v>0.53</v>
      </c>
      <c r="H615">
        <v>0.223</v>
      </c>
      <c r="I615">
        <v>0.34799999999999998</v>
      </c>
      <c r="J615">
        <v>9</v>
      </c>
      <c r="K615">
        <v>2</v>
      </c>
      <c r="L615" t="s">
        <v>49</v>
      </c>
      <c r="M615" t="s">
        <v>50</v>
      </c>
      <c r="N615" t="s">
        <v>51</v>
      </c>
      <c r="O615">
        <v>3</v>
      </c>
      <c r="P615" t="s">
        <v>10</v>
      </c>
      <c r="Q615">
        <v>3.6</v>
      </c>
    </row>
    <row r="616" spans="1:17">
      <c r="A616">
        <v>3315</v>
      </c>
      <c r="B616" t="s">
        <v>75</v>
      </c>
      <c r="C616">
        <v>0.45</v>
      </c>
      <c r="D616">
        <v>0.35499999999999998</v>
      </c>
      <c r="E616">
        <v>0.115</v>
      </c>
      <c r="F616">
        <v>0.4385</v>
      </c>
      <c r="G616">
        <v>0.184</v>
      </c>
      <c r="H616">
        <v>0.108</v>
      </c>
      <c r="I616">
        <v>0.1125</v>
      </c>
      <c r="J616">
        <v>11</v>
      </c>
      <c r="K616">
        <v>4</v>
      </c>
      <c r="L616" t="s">
        <v>40</v>
      </c>
      <c r="M616" t="s">
        <v>41</v>
      </c>
      <c r="N616" t="s">
        <v>42</v>
      </c>
      <c r="O616">
        <v>9</v>
      </c>
      <c r="P616" t="s">
        <v>9</v>
      </c>
      <c r="Q616">
        <v>1.9</v>
      </c>
    </row>
    <row r="617" spans="1:17">
      <c r="A617">
        <v>1482</v>
      </c>
      <c r="B617" t="s">
        <v>75</v>
      </c>
      <c r="C617">
        <v>0.57999999999999996</v>
      </c>
      <c r="D617">
        <v>0.435</v>
      </c>
      <c r="E617">
        <v>0.14000000000000001</v>
      </c>
      <c r="F617">
        <v>0.95299999999999996</v>
      </c>
      <c r="G617">
        <v>0.47499999999999998</v>
      </c>
      <c r="H617">
        <v>0.2165</v>
      </c>
      <c r="I617">
        <v>0.20949999999999999</v>
      </c>
      <c r="J617">
        <v>9</v>
      </c>
      <c r="K617">
        <v>12</v>
      </c>
      <c r="L617" t="s">
        <v>58</v>
      </c>
      <c r="M617" t="s">
        <v>59</v>
      </c>
      <c r="N617" t="s">
        <v>45</v>
      </c>
      <c r="O617">
        <v>5</v>
      </c>
      <c r="P617" t="s">
        <v>12</v>
      </c>
      <c r="Q617">
        <v>12.8</v>
      </c>
    </row>
    <row r="618" spans="1:17">
      <c r="A618">
        <v>754</v>
      </c>
      <c r="B618" t="s">
        <v>75</v>
      </c>
      <c r="C618">
        <v>0.57999999999999996</v>
      </c>
      <c r="D618">
        <v>0.45500000000000002</v>
      </c>
      <c r="E618">
        <v>0.16500000000000001</v>
      </c>
      <c r="F618">
        <v>1.1365000000000001</v>
      </c>
      <c r="G618">
        <v>0.36899999999999999</v>
      </c>
      <c r="H618">
        <v>0.30049999999999999</v>
      </c>
      <c r="I618">
        <v>0.27500000000000002</v>
      </c>
      <c r="J618">
        <v>13</v>
      </c>
      <c r="K618">
        <v>9</v>
      </c>
      <c r="L618" t="s">
        <v>34</v>
      </c>
      <c r="M618" t="s">
        <v>35</v>
      </c>
      <c r="N618" t="s">
        <v>36</v>
      </c>
      <c r="O618">
        <v>6</v>
      </c>
      <c r="P618" t="s">
        <v>7</v>
      </c>
      <c r="Q618">
        <v>14.1</v>
      </c>
    </row>
    <row r="619" spans="1:17">
      <c r="A619">
        <v>1066</v>
      </c>
      <c r="B619" t="s">
        <v>75</v>
      </c>
      <c r="C619">
        <v>0.315</v>
      </c>
      <c r="D619">
        <v>0.23499999999999999</v>
      </c>
      <c r="E619">
        <v>5.5E-2</v>
      </c>
      <c r="F619">
        <v>0.151</v>
      </c>
      <c r="G619">
        <v>6.5000000000000002E-2</v>
      </c>
      <c r="H619">
        <v>2.7E-2</v>
      </c>
      <c r="I619">
        <v>3.9E-2</v>
      </c>
      <c r="J619">
        <v>6</v>
      </c>
      <c r="K619">
        <v>6</v>
      </c>
      <c r="L619" t="s">
        <v>46</v>
      </c>
      <c r="M619" t="s">
        <v>47</v>
      </c>
      <c r="N619" t="s">
        <v>48</v>
      </c>
      <c r="O619">
        <v>2</v>
      </c>
      <c r="P619" t="s">
        <v>5</v>
      </c>
      <c r="Q619">
        <v>18</v>
      </c>
    </row>
    <row r="620" spans="1:17">
      <c r="A620">
        <v>239</v>
      </c>
      <c r="B620" t="s">
        <v>75</v>
      </c>
      <c r="C620">
        <v>0.11</v>
      </c>
      <c r="D620">
        <v>0.09</v>
      </c>
      <c r="E620">
        <v>0.03</v>
      </c>
      <c r="F620">
        <v>8.0000000000000002E-3</v>
      </c>
      <c r="G620">
        <v>2.5000000000000001E-3</v>
      </c>
      <c r="H620">
        <v>2E-3</v>
      </c>
      <c r="I620">
        <v>3.0000000000000001E-3</v>
      </c>
      <c r="J620">
        <v>3</v>
      </c>
      <c r="K620">
        <v>4</v>
      </c>
      <c r="L620" t="s">
        <v>40</v>
      </c>
      <c r="M620" t="s">
        <v>41</v>
      </c>
      <c r="N620" t="s">
        <v>42</v>
      </c>
      <c r="O620">
        <v>6</v>
      </c>
      <c r="P620" t="s">
        <v>7</v>
      </c>
      <c r="Q620">
        <v>14.1</v>
      </c>
    </row>
    <row r="621" spans="1:17">
      <c r="A621">
        <v>3932</v>
      </c>
      <c r="B621" t="s">
        <v>75</v>
      </c>
      <c r="C621">
        <v>0.55000000000000004</v>
      </c>
      <c r="D621">
        <v>0.44</v>
      </c>
      <c r="E621">
        <v>0.16500000000000001</v>
      </c>
      <c r="F621">
        <v>0.86050000000000004</v>
      </c>
      <c r="G621">
        <v>0.312</v>
      </c>
      <c r="H621">
        <v>0.16900000000000001</v>
      </c>
      <c r="I621">
        <v>0.3</v>
      </c>
      <c r="J621">
        <v>17</v>
      </c>
      <c r="K621">
        <v>13</v>
      </c>
      <c r="L621" t="s">
        <v>43</v>
      </c>
      <c r="M621" t="s">
        <v>44</v>
      </c>
      <c r="N621" t="s">
        <v>45</v>
      </c>
      <c r="O621">
        <v>8</v>
      </c>
      <c r="P621" t="s">
        <v>13</v>
      </c>
      <c r="Q621">
        <v>12.3</v>
      </c>
    </row>
    <row r="622" spans="1:17">
      <c r="A622">
        <v>900</v>
      </c>
      <c r="B622" t="s">
        <v>75</v>
      </c>
      <c r="C622">
        <v>0.29499999999999998</v>
      </c>
      <c r="D622">
        <v>0.23</v>
      </c>
      <c r="E622">
        <v>0.08</v>
      </c>
      <c r="F622">
        <v>0.16250000000000001</v>
      </c>
      <c r="G622">
        <v>6.5000000000000002E-2</v>
      </c>
      <c r="H622">
        <v>0.05</v>
      </c>
      <c r="I622">
        <v>3.85E-2</v>
      </c>
      <c r="J622">
        <v>5</v>
      </c>
      <c r="K622">
        <v>3</v>
      </c>
      <c r="L622" t="s">
        <v>52</v>
      </c>
      <c r="M622" t="s">
        <v>53</v>
      </c>
      <c r="N622" t="s">
        <v>54</v>
      </c>
      <c r="O622">
        <v>2</v>
      </c>
      <c r="P622" t="s">
        <v>5</v>
      </c>
      <c r="Q622">
        <v>18</v>
      </c>
    </row>
    <row r="623" spans="1:17">
      <c r="A623">
        <v>711</v>
      </c>
      <c r="B623" t="s">
        <v>75</v>
      </c>
      <c r="C623">
        <v>0.32500000000000001</v>
      </c>
      <c r="D623">
        <v>0.25</v>
      </c>
      <c r="E623">
        <v>0.08</v>
      </c>
      <c r="F623">
        <v>0.17599999999999999</v>
      </c>
      <c r="G623">
        <v>5.9499999999999997E-2</v>
      </c>
      <c r="H623">
        <v>3.5499999999999997E-2</v>
      </c>
      <c r="I623">
        <v>6.3E-2</v>
      </c>
      <c r="J623">
        <v>7</v>
      </c>
      <c r="K623">
        <v>4</v>
      </c>
      <c r="L623" t="s">
        <v>40</v>
      </c>
      <c r="M623" t="s">
        <v>41</v>
      </c>
      <c r="N623" t="s">
        <v>42</v>
      </c>
      <c r="O623">
        <v>8</v>
      </c>
      <c r="P623" t="s">
        <v>13</v>
      </c>
      <c r="Q623">
        <v>12.3</v>
      </c>
    </row>
    <row r="624" spans="1:17">
      <c r="A624">
        <v>3100</v>
      </c>
      <c r="B624" t="s">
        <v>75</v>
      </c>
      <c r="C624">
        <v>0.57499999999999996</v>
      </c>
      <c r="D624">
        <v>0.48</v>
      </c>
      <c r="E624">
        <v>0.15</v>
      </c>
      <c r="F624">
        <v>0.94650000000000001</v>
      </c>
      <c r="G624">
        <v>0.4355</v>
      </c>
      <c r="H624">
        <v>0.26050000000000001</v>
      </c>
      <c r="I624">
        <v>0.2505</v>
      </c>
      <c r="J624">
        <v>9</v>
      </c>
      <c r="K624">
        <v>12</v>
      </c>
      <c r="L624" t="s">
        <v>58</v>
      </c>
      <c r="M624" t="s">
        <v>59</v>
      </c>
      <c r="N624" t="s">
        <v>45</v>
      </c>
      <c r="O624">
        <v>4</v>
      </c>
      <c r="P624" t="s">
        <v>8</v>
      </c>
      <c r="Q624">
        <v>6.1</v>
      </c>
    </row>
    <row r="625" spans="1:17">
      <c r="A625">
        <v>1918</v>
      </c>
      <c r="B625" t="s">
        <v>75</v>
      </c>
      <c r="C625">
        <v>0.6</v>
      </c>
      <c r="D625">
        <v>0.47499999999999998</v>
      </c>
      <c r="E625">
        <v>0.15</v>
      </c>
      <c r="F625">
        <v>0.99</v>
      </c>
      <c r="G625">
        <v>0.38600000000000001</v>
      </c>
      <c r="H625">
        <v>0.2195</v>
      </c>
      <c r="I625">
        <v>0.3105</v>
      </c>
      <c r="J625">
        <v>10</v>
      </c>
      <c r="K625">
        <v>9</v>
      </c>
      <c r="L625" t="s">
        <v>34</v>
      </c>
      <c r="M625" t="s">
        <v>35</v>
      </c>
      <c r="N625" t="s">
        <v>36</v>
      </c>
      <c r="O625">
        <v>5</v>
      </c>
      <c r="P625" t="s">
        <v>12</v>
      </c>
      <c r="Q625">
        <v>12.8</v>
      </c>
    </row>
    <row r="626" spans="1:17">
      <c r="A626">
        <v>781</v>
      </c>
      <c r="B626" t="s">
        <v>75</v>
      </c>
      <c r="C626">
        <v>0.56000000000000005</v>
      </c>
      <c r="D626">
        <v>0.41</v>
      </c>
      <c r="E626">
        <v>0.16500000000000001</v>
      </c>
      <c r="F626">
        <v>0.93</v>
      </c>
      <c r="G626">
        <v>0.35049999999999998</v>
      </c>
      <c r="H626">
        <v>0.23699999999999999</v>
      </c>
      <c r="I626">
        <v>0.3</v>
      </c>
      <c r="J626">
        <v>13</v>
      </c>
      <c r="K626">
        <v>12</v>
      </c>
      <c r="L626" t="s">
        <v>58</v>
      </c>
      <c r="M626" t="s">
        <v>59</v>
      </c>
      <c r="N626" t="s">
        <v>45</v>
      </c>
      <c r="O626">
        <v>1</v>
      </c>
      <c r="P626" t="s">
        <v>4</v>
      </c>
      <c r="Q626">
        <v>22.1</v>
      </c>
    </row>
    <row r="627" spans="1:17">
      <c r="A627">
        <v>2025</v>
      </c>
      <c r="B627" t="s">
        <v>75</v>
      </c>
      <c r="C627">
        <v>0.54500000000000004</v>
      </c>
      <c r="D627">
        <v>0.44</v>
      </c>
      <c r="E627">
        <v>0.14000000000000001</v>
      </c>
      <c r="F627">
        <v>0.83950000000000002</v>
      </c>
      <c r="G627">
        <v>0.35599999999999998</v>
      </c>
      <c r="H627">
        <v>0.1905</v>
      </c>
      <c r="I627">
        <v>0.23849999999999999</v>
      </c>
      <c r="J627">
        <v>11</v>
      </c>
      <c r="K627">
        <v>13</v>
      </c>
      <c r="L627" t="s">
        <v>43</v>
      </c>
      <c r="M627" t="s">
        <v>44</v>
      </c>
      <c r="N627" t="s">
        <v>45</v>
      </c>
      <c r="O627">
        <v>6</v>
      </c>
      <c r="P627" t="s">
        <v>7</v>
      </c>
      <c r="Q627">
        <v>14.1</v>
      </c>
    </row>
    <row r="628" spans="1:17">
      <c r="A628">
        <v>1173</v>
      </c>
      <c r="B628" t="s">
        <v>75</v>
      </c>
      <c r="C628">
        <v>0.63</v>
      </c>
      <c r="D628">
        <v>0.47</v>
      </c>
      <c r="E628">
        <v>0.155</v>
      </c>
      <c r="F628">
        <v>1.1325000000000001</v>
      </c>
      <c r="G628">
        <v>0.58899999999999997</v>
      </c>
      <c r="H628">
        <v>0.21099999999999999</v>
      </c>
      <c r="I628">
        <v>0.28699999999999998</v>
      </c>
      <c r="J628">
        <v>8</v>
      </c>
      <c r="K628">
        <v>3</v>
      </c>
      <c r="L628" t="s">
        <v>52</v>
      </c>
      <c r="M628" t="s">
        <v>53</v>
      </c>
      <c r="N628" t="s">
        <v>54</v>
      </c>
      <c r="O628">
        <v>7</v>
      </c>
      <c r="P628" t="s">
        <v>6</v>
      </c>
      <c r="Q628">
        <v>2.5</v>
      </c>
    </row>
    <row r="629" spans="1:17">
      <c r="A629">
        <v>1109</v>
      </c>
      <c r="B629" t="s">
        <v>75</v>
      </c>
      <c r="C629">
        <v>0.51500000000000001</v>
      </c>
      <c r="D629">
        <v>0.38500000000000001</v>
      </c>
      <c r="E629">
        <v>0.125</v>
      </c>
      <c r="F629">
        <v>0.61150000000000004</v>
      </c>
      <c r="G629">
        <v>0.3175</v>
      </c>
      <c r="H629">
        <v>0.1265</v>
      </c>
      <c r="I629">
        <v>0.15</v>
      </c>
      <c r="J629">
        <v>8</v>
      </c>
      <c r="K629">
        <v>12</v>
      </c>
      <c r="L629" t="s">
        <v>58</v>
      </c>
      <c r="M629" t="s">
        <v>59</v>
      </c>
      <c r="N629" t="s">
        <v>45</v>
      </c>
      <c r="O629">
        <v>9</v>
      </c>
      <c r="P629" t="s">
        <v>9</v>
      </c>
      <c r="Q629">
        <v>1.9</v>
      </c>
    </row>
    <row r="630" spans="1:17">
      <c r="A630">
        <v>655</v>
      </c>
      <c r="B630" t="s">
        <v>75</v>
      </c>
      <c r="C630">
        <v>0.37</v>
      </c>
      <c r="D630">
        <v>0.28000000000000003</v>
      </c>
      <c r="E630">
        <v>0.11</v>
      </c>
      <c r="F630">
        <v>0.23050000000000001</v>
      </c>
      <c r="G630">
        <v>9.4500000000000001E-2</v>
      </c>
      <c r="H630">
        <v>4.65E-2</v>
      </c>
      <c r="I630">
        <v>7.4999999999999997E-2</v>
      </c>
      <c r="J630">
        <v>10</v>
      </c>
      <c r="K630">
        <v>5</v>
      </c>
      <c r="L630" t="s">
        <v>67</v>
      </c>
      <c r="M630" t="s">
        <v>68</v>
      </c>
      <c r="N630" t="s">
        <v>69</v>
      </c>
      <c r="O630">
        <v>1</v>
      </c>
      <c r="P630" t="s">
        <v>4</v>
      </c>
      <c r="Q630">
        <v>22.1</v>
      </c>
    </row>
    <row r="631" spans="1:17">
      <c r="A631">
        <v>1240</v>
      </c>
      <c r="B631" t="s">
        <v>75</v>
      </c>
      <c r="C631">
        <v>0.375</v>
      </c>
      <c r="D631">
        <v>0.27</v>
      </c>
      <c r="E631">
        <v>8.5000000000000006E-2</v>
      </c>
      <c r="F631">
        <v>0.218</v>
      </c>
      <c r="G631">
        <v>9.4500000000000001E-2</v>
      </c>
      <c r="H631">
        <v>3.9E-2</v>
      </c>
      <c r="I631">
        <v>7.0000000000000007E-2</v>
      </c>
      <c r="J631">
        <v>7</v>
      </c>
      <c r="K631">
        <v>5</v>
      </c>
      <c r="L631" t="s">
        <v>67</v>
      </c>
      <c r="M631" t="s">
        <v>68</v>
      </c>
      <c r="N631" t="s">
        <v>69</v>
      </c>
      <c r="O631">
        <v>1</v>
      </c>
      <c r="P631" t="s">
        <v>4</v>
      </c>
      <c r="Q631">
        <v>22.1</v>
      </c>
    </row>
    <row r="632" spans="1:17">
      <c r="A632">
        <v>2479</v>
      </c>
      <c r="B632" t="s">
        <v>75</v>
      </c>
      <c r="C632">
        <v>0.47</v>
      </c>
      <c r="D632">
        <v>0.35499999999999998</v>
      </c>
      <c r="E632">
        <v>0.18</v>
      </c>
      <c r="F632">
        <v>0.441</v>
      </c>
      <c r="G632">
        <v>0.1525</v>
      </c>
      <c r="H632">
        <v>0.11650000000000001</v>
      </c>
      <c r="I632">
        <v>0.13500000000000001</v>
      </c>
      <c r="J632">
        <v>8</v>
      </c>
      <c r="K632">
        <v>9</v>
      </c>
      <c r="L632" t="s">
        <v>34</v>
      </c>
      <c r="M632" t="s">
        <v>35</v>
      </c>
      <c r="N632" t="s">
        <v>36</v>
      </c>
      <c r="O632">
        <v>10</v>
      </c>
      <c r="P632" t="s">
        <v>11</v>
      </c>
      <c r="Q632">
        <v>24.1</v>
      </c>
    </row>
    <row r="633" spans="1:17">
      <c r="A633">
        <v>1685</v>
      </c>
      <c r="B633" t="s">
        <v>75</v>
      </c>
      <c r="C633">
        <v>0.62</v>
      </c>
      <c r="D633">
        <v>0.47</v>
      </c>
      <c r="E633">
        <v>0.14000000000000001</v>
      </c>
      <c r="F633">
        <v>0.85650000000000004</v>
      </c>
      <c r="G633">
        <v>0.35949999999999999</v>
      </c>
      <c r="H633">
        <v>0.16</v>
      </c>
      <c r="I633">
        <v>0.29499999999999998</v>
      </c>
      <c r="J633">
        <v>9</v>
      </c>
      <c r="K633">
        <v>8</v>
      </c>
      <c r="L633" t="s">
        <v>55</v>
      </c>
      <c r="M633" t="s">
        <v>56</v>
      </c>
      <c r="N633" t="s">
        <v>57</v>
      </c>
      <c r="O633">
        <v>6</v>
      </c>
      <c r="P633" t="s">
        <v>7</v>
      </c>
      <c r="Q633">
        <v>14.1</v>
      </c>
    </row>
    <row r="634" spans="1:17">
      <c r="A634">
        <v>675</v>
      </c>
      <c r="B634" t="s">
        <v>75</v>
      </c>
      <c r="C634">
        <v>0.49</v>
      </c>
      <c r="D634">
        <v>0.38500000000000001</v>
      </c>
      <c r="E634">
        <v>0.15</v>
      </c>
      <c r="F634">
        <v>0.78649999999999998</v>
      </c>
      <c r="G634">
        <v>0.24099999999999999</v>
      </c>
      <c r="H634">
        <v>0.14000000000000001</v>
      </c>
      <c r="I634">
        <v>0.24</v>
      </c>
      <c r="J634">
        <v>23</v>
      </c>
      <c r="K634">
        <v>13</v>
      </c>
      <c r="L634" t="s">
        <v>43</v>
      </c>
      <c r="M634" t="s">
        <v>44</v>
      </c>
      <c r="N634" t="s">
        <v>45</v>
      </c>
      <c r="O634">
        <v>10</v>
      </c>
      <c r="P634" t="s">
        <v>11</v>
      </c>
      <c r="Q634">
        <v>24.1</v>
      </c>
    </row>
    <row r="635" spans="1:17">
      <c r="A635">
        <v>156</v>
      </c>
      <c r="B635" t="s">
        <v>75</v>
      </c>
      <c r="C635">
        <v>0.51500000000000001</v>
      </c>
      <c r="D635">
        <v>0.40500000000000003</v>
      </c>
      <c r="E635">
        <v>0.13</v>
      </c>
      <c r="F635">
        <v>0.72199999999999998</v>
      </c>
      <c r="G635">
        <v>0.32</v>
      </c>
      <c r="H635">
        <v>0.13100000000000001</v>
      </c>
      <c r="I635">
        <v>0.21</v>
      </c>
      <c r="J635">
        <v>10</v>
      </c>
      <c r="K635">
        <v>15</v>
      </c>
      <c r="L635" t="s">
        <v>60</v>
      </c>
      <c r="M635" t="s">
        <v>61</v>
      </c>
      <c r="N635" t="s">
        <v>45</v>
      </c>
      <c r="O635">
        <v>2</v>
      </c>
      <c r="P635" t="s">
        <v>5</v>
      </c>
      <c r="Q635">
        <v>18</v>
      </c>
    </row>
    <row r="636" spans="1:17">
      <c r="A636">
        <v>1153</v>
      </c>
      <c r="B636" t="s">
        <v>75</v>
      </c>
      <c r="C636">
        <v>0.59</v>
      </c>
      <c r="D636">
        <v>0.47</v>
      </c>
      <c r="E636">
        <v>0.15</v>
      </c>
      <c r="F636">
        <v>0.99550000000000005</v>
      </c>
      <c r="G636">
        <v>0.48099999999999998</v>
      </c>
      <c r="H636">
        <v>0.23200000000000001</v>
      </c>
      <c r="I636">
        <v>0.24</v>
      </c>
      <c r="J636">
        <v>8</v>
      </c>
      <c r="K636">
        <v>14</v>
      </c>
      <c r="L636" t="s">
        <v>72</v>
      </c>
      <c r="M636" t="s">
        <v>73</v>
      </c>
      <c r="N636" t="s">
        <v>74</v>
      </c>
      <c r="O636">
        <v>10</v>
      </c>
      <c r="P636" t="s">
        <v>11</v>
      </c>
      <c r="Q636">
        <v>24.1</v>
      </c>
    </row>
    <row r="637" spans="1:17">
      <c r="A637">
        <v>2519</v>
      </c>
      <c r="B637" t="s">
        <v>75</v>
      </c>
      <c r="C637">
        <v>0.5</v>
      </c>
      <c r="D637">
        <v>0.4</v>
      </c>
      <c r="E637">
        <v>0.13</v>
      </c>
      <c r="F637">
        <v>0.77149999999999996</v>
      </c>
      <c r="G637">
        <v>0.37</v>
      </c>
      <c r="H637">
        <v>0.16</v>
      </c>
      <c r="I637">
        <v>0.21099999999999999</v>
      </c>
      <c r="J637">
        <v>8</v>
      </c>
      <c r="K637">
        <v>10</v>
      </c>
      <c r="L637" t="s">
        <v>37</v>
      </c>
      <c r="M637" t="s">
        <v>38</v>
      </c>
      <c r="N637" t="s">
        <v>39</v>
      </c>
      <c r="O637">
        <v>7</v>
      </c>
      <c r="P637" t="s">
        <v>6</v>
      </c>
      <c r="Q637">
        <v>2.5</v>
      </c>
    </row>
    <row r="638" spans="1:17">
      <c r="A638">
        <v>3580</v>
      </c>
      <c r="B638" t="s">
        <v>75</v>
      </c>
      <c r="C638">
        <v>0.6</v>
      </c>
      <c r="D638">
        <v>0.48499999999999999</v>
      </c>
      <c r="E638">
        <v>0.14499999999999999</v>
      </c>
      <c r="F638">
        <v>0.77600000000000002</v>
      </c>
      <c r="G638">
        <v>0.35449999999999998</v>
      </c>
      <c r="H638">
        <v>0.1585</v>
      </c>
      <c r="I638">
        <v>0.23899999999999999</v>
      </c>
      <c r="J638">
        <v>9</v>
      </c>
      <c r="K638">
        <v>13</v>
      </c>
      <c r="L638" t="s">
        <v>43</v>
      </c>
      <c r="M638" t="s">
        <v>44</v>
      </c>
      <c r="N638" t="s">
        <v>45</v>
      </c>
      <c r="O638">
        <v>3</v>
      </c>
      <c r="P638" t="s">
        <v>10</v>
      </c>
      <c r="Q638">
        <v>3.6</v>
      </c>
    </row>
    <row r="639" spans="1:17">
      <c r="A639">
        <v>2898</v>
      </c>
      <c r="B639" t="s">
        <v>75</v>
      </c>
      <c r="C639">
        <v>0.54500000000000004</v>
      </c>
      <c r="D639">
        <v>0.43</v>
      </c>
      <c r="E639">
        <v>0.15</v>
      </c>
      <c r="F639">
        <v>0.74199999999999999</v>
      </c>
      <c r="G639">
        <v>0.35249999999999998</v>
      </c>
      <c r="H639">
        <v>0.158</v>
      </c>
      <c r="I639">
        <v>0.20799999999999999</v>
      </c>
      <c r="J639">
        <v>10</v>
      </c>
      <c r="K639">
        <v>12</v>
      </c>
      <c r="L639" t="s">
        <v>58</v>
      </c>
      <c r="M639" t="s">
        <v>59</v>
      </c>
      <c r="N639" t="s">
        <v>45</v>
      </c>
      <c r="O639">
        <v>7</v>
      </c>
      <c r="P639" t="s">
        <v>6</v>
      </c>
      <c r="Q639">
        <v>2.5</v>
      </c>
    </row>
    <row r="640" spans="1:17">
      <c r="A640">
        <v>1772</v>
      </c>
      <c r="B640" t="s">
        <v>75</v>
      </c>
      <c r="C640">
        <v>0.45500000000000002</v>
      </c>
      <c r="D640">
        <v>0.32500000000000001</v>
      </c>
      <c r="E640">
        <v>0.13500000000000001</v>
      </c>
      <c r="F640">
        <v>0.82</v>
      </c>
      <c r="G640">
        <v>0.40050000000000002</v>
      </c>
      <c r="H640">
        <v>0.17150000000000001</v>
      </c>
      <c r="I640">
        <v>0.21099999999999999</v>
      </c>
      <c r="J640">
        <v>8</v>
      </c>
      <c r="K640">
        <v>12</v>
      </c>
      <c r="L640" t="s">
        <v>58</v>
      </c>
      <c r="M640" t="s">
        <v>59</v>
      </c>
      <c r="N640" t="s">
        <v>45</v>
      </c>
      <c r="O640">
        <v>3</v>
      </c>
      <c r="P640" t="s">
        <v>10</v>
      </c>
      <c r="Q640">
        <v>3.6</v>
      </c>
    </row>
    <row r="641" spans="1:17">
      <c r="A641">
        <v>3899</v>
      </c>
      <c r="B641" t="s">
        <v>75</v>
      </c>
      <c r="C641">
        <v>0.56499999999999995</v>
      </c>
      <c r="D641">
        <v>0.46</v>
      </c>
      <c r="E641">
        <v>0.15</v>
      </c>
      <c r="F641">
        <v>0.87649999999999995</v>
      </c>
      <c r="G641">
        <v>0.34549999999999997</v>
      </c>
      <c r="H641">
        <v>0.1925</v>
      </c>
      <c r="I641">
        <v>0.27500000000000002</v>
      </c>
      <c r="J641">
        <v>10</v>
      </c>
      <c r="K641">
        <v>7</v>
      </c>
      <c r="L641" t="s">
        <v>62</v>
      </c>
      <c r="M641" t="s">
        <v>63</v>
      </c>
      <c r="N641" t="s">
        <v>64</v>
      </c>
      <c r="O641">
        <v>9</v>
      </c>
      <c r="P641" t="s">
        <v>9</v>
      </c>
      <c r="Q641">
        <v>1.9</v>
      </c>
    </row>
    <row r="642" spans="1:17">
      <c r="A642">
        <v>686</v>
      </c>
      <c r="B642" t="s">
        <v>75</v>
      </c>
      <c r="C642">
        <v>0.56499999999999995</v>
      </c>
      <c r="D642">
        <v>0.44</v>
      </c>
      <c r="E642">
        <v>0.185</v>
      </c>
      <c r="F642">
        <v>0.90900000000000003</v>
      </c>
      <c r="G642">
        <v>0.34399999999999997</v>
      </c>
      <c r="H642">
        <v>0.23250000000000001</v>
      </c>
      <c r="I642">
        <v>0.255</v>
      </c>
      <c r="J642">
        <v>15</v>
      </c>
      <c r="K642">
        <v>9</v>
      </c>
      <c r="L642" t="s">
        <v>34</v>
      </c>
      <c r="M642" t="s">
        <v>35</v>
      </c>
      <c r="N642" t="s">
        <v>36</v>
      </c>
      <c r="O642">
        <v>7</v>
      </c>
      <c r="P642" t="s">
        <v>6</v>
      </c>
      <c r="Q642">
        <v>2.5</v>
      </c>
    </row>
    <row r="643" spans="1:17">
      <c r="A643">
        <v>1316</v>
      </c>
      <c r="B643" t="s">
        <v>75</v>
      </c>
      <c r="C643">
        <v>0.55000000000000004</v>
      </c>
      <c r="D643">
        <v>0.42499999999999999</v>
      </c>
      <c r="E643">
        <v>0.13500000000000001</v>
      </c>
      <c r="F643">
        <v>0.73050000000000004</v>
      </c>
      <c r="G643">
        <v>0.33250000000000002</v>
      </c>
      <c r="H643">
        <v>0.1545</v>
      </c>
      <c r="I643">
        <v>0.215</v>
      </c>
      <c r="J643">
        <v>9</v>
      </c>
      <c r="K643">
        <v>4</v>
      </c>
      <c r="L643" t="s">
        <v>40</v>
      </c>
      <c r="M643" t="s">
        <v>41</v>
      </c>
      <c r="N643" t="s">
        <v>42</v>
      </c>
      <c r="O643">
        <v>8</v>
      </c>
      <c r="P643" t="s">
        <v>13</v>
      </c>
      <c r="Q643">
        <v>12.3</v>
      </c>
    </row>
    <row r="644" spans="1:17">
      <c r="A644">
        <v>3900</v>
      </c>
      <c r="B644" t="s">
        <v>75</v>
      </c>
      <c r="C644">
        <v>0.14000000000000001</v>
      </c>
      <c r="D644">
        <v>0.105</v>
      </c>
      <c r="E644">
        <v>3.5000000000000003E-2</v>
      </c>
      <c r="F644">
        <v>1.4500000000000001E-2</v>
      </c>
      <c r="G644">
        <v>5.0000000000000001E-3</v>
      </c>
      <c r="H644">
        <v>3.5000000000000001E-3</v>
      </c>
      <c r="I644">
        <v>5.0000000000000001E-3</v>
      </c>
      <c r="J644">
        <v>4</v>
      </c>
      <c r="K644">
        <v>12</v>
      </c>
      <c r="L644" t="s">
        <v>58</v>
      </c>
      <c r="M644" t="s">
        <v>59</v>
      </c>
      <c r="N644" t="s">
        <v>45</v>
      </c>
      <c r="O644">
        <v>5</v>
      </c>
      <c r="P644" t="s">
        <v>12</v>
      </c>
      <c r="Q644">
        <v>12.8</v>
      </c>
    </row>
    <row r="645" spans="1:17">
      <c r="A645">
        <v>2550</v>
      </c>
      <c r="B645" t="s">
        <v>75</v>
      </c>
      <c r="C645">
        <v>0.28000000000000003</v>
      </c>
      <c r="D645">
        <v>0.21</v>
      </c>
      <c r="E645">
        <v>5.5E-2</v>
      </c>
      <c r="F645">
        <v>0.106</v>
      </c>
      <c r="G645">
        <v>4.1500000000000002E-2</v>
      </c>
      <c r="H645">
        <v>2.6499999999999999E-2</v>
      </c>
      <c r="I645">
        <v>3.1E-2</v>
      </c>
      <c r="J645">
        <v>5</v>
      </c>
      <c r="K645">
        <v>6</v>
      </c>
      <c r="L645" t="s">
        <v>46</v>
      </c>
      <c r="M645" t="s">
        <v>47</v>
      </c>
      <c r="N645" t="s">
        <v>48</v>
      </c>
      <c r="O645">
        <v>6</v>
      </c>
      <c r="P645" t="s">
        <v>7</v>
      </c>
      <c r="Q645">
        <v>14.1</v>
      </c>
    </row>
    <row r="646" spans="1:17">
      <c r="A646">
        <v>1128</v>
      </c>
      <c r="B646" t="s">
        <v>75</v>
      </c>
      <c r="C646">
        <v>0.56000000000000005</v>
      </c>
      <c r="D646">
        <v>0.44500000000000001</v>
      </c>
      <c r="E646">
        <v>0.16</v>
      </c>
      <c r="F646">
        <v>0.89649999999999996</v>
      </c>
      <c r="G646">
        <v>0.42</v>
      </c>
      <c r="H646">
        <v>0.2175</v>
      </c>
      <c r="I646">
        <v>0.2215</v>
      </c>
      <c r="J646">
        <v>8</v>
      </c>
      <c r="K646">
        <v>11</v>
      </c>
      <c r="L646" t="s">
        <v>65</v>
      </c>
      <c r="M646" t="s">
        <v>66</v>
      </c>
      <c r="N646" t="s">
        <v>45</v>
      </c>
      <c r="O646">
        <v>3</v>
      </c>
      <c r="P646" t="s">
        <v>10</v>
      </c>
      <c r="Q646">
        <v>3.6</v>
      </c>
    </row>
    <row r="647" spans="1:17">
      <c r="A647">
        <v>1264</v>
      </c>
      <c r="B647" t="s">
        <v>75</v>
      </c>
      <c r="C647">
        <v>0.45500000000000002</v>
      </c>
      <c r="D647">
        <v>0.36499999999999999</v>
      </c>
      <c r="E647">
        <v>0.115</v>
      </c>
      <c r="F647">
        <v>0.43049999999999999</v>
      </c>
      <c r="G647">
        <v>0.184</v>
      </c>
      <c r="H647">
        <v>0.108</v>
      </c>
      <c r="I647">
        <v>0.1245</v>
      </c>
      <c r="J647">
        <v>8</v>
      </c>
      <c r="K647">
        <v>3</v>
      </c>
      <c r="L647" t="s">
        <v>52</v>
      </c>
      <c r="M647" t="s">
        <v>53</v>
      </c>
      <c r="N647" t="s">
        <v>54</v>
      </c>
      <c r="O647">
        <v>1</v>
      </c>
      <c r="P647" t="s">
        <v>4</v>
      </c>
      <c r="Q647">
        <v>22.1</v>
      </c>
    </row>
    <row r="648" spans="1:17">
      <c r="A648">
        <v>506</v>
      </c>
      <c r="B648" t="s">
        <v>75</v>
      </c>
      <c r="C648">
        <v>0.6</v>
      </c>
      <c r="D648">
        <v>0.47</v>
      </c>
      <c r="E648">
        <v>0.17499999999999999</v>
      </c>
      <c r="F648">
        <v>1.105</v>
      </c>
      <c r="G648">
        <v>0.48649999999999999</v>
      </c>
      <c r="H648">
        <v>0.247</v>
      </c>
      <c r="I648">
        <v>0.315</v>
      </c>
      <c r="J648">
        <v>15</v>
      </c>
      <c r="K648">
        <v>2</v>
      </c>
      <c r="L648" t="s">
        <v>49</v>
      </c>
      <c r="M648" t="s">
        <v>50</v>
      </c>
      <c r="N648" t="s">
        <v>51</v>
      </c>
      <c r="O648">
        <v>1</v>
      </c>
      <c r="P648" t="s">
        <v>4</v>
      </c>
      <c r="Q648">
        <v>22.1</v>
      </c>
    </row>
    <row r="649" spans="1:17">
      <c r="A649">
        <v>2174</v>
      </c>
      <c r="B649" t="s">
        <v>75</v>
      </c>
      <c r="C649">
        <v>0.59499999999999997</v>
      </c>
      <c r="D649">
        <v>0.46500000000000002</v>
      </c>
      <c r="E649">
        <v>0.125</v>
      </c>
      <c r="F649">
        <v>0.79900000000000004</v>
      </c>
      <c r="G649">
        <v>0.32450000000000001</v>
      </c>
      <c r="H649">
        <v>0.2</v>
      </c>
      <c r="I649">
        <v>0.23</v>
      </c>
      <c r="J649">
        <v>10</v>
      </c>
      <c r="K649">
        <v>8</v>
      </c>
      <c r="L649" t="s">
        <v>55</v>
      </c>
      <c r="M649" t="s">
        <v>56</v>
      </c>
      <c r="N649" t="s">
        <v>57</v>
      </c>
      <c r="O649">
        <v>9</v>
      </c>
      <c r="P649" t="s">
        <v>9</v>
      </c>
      <c r="Q649">
        <v>1.9</v>
      </c>
    </row>
    <row r="650" spans="1:17">
      <c r="A650">
        <v>438</v>
      </c>
      <c r="B650" t="s">
        <v>75</v>
      </c>
      <c r="C650">
        <v>0.38500000000000001</v>
      </c>
      <c r="D650">
        <v>0.30499999999999999</v>
      </c>
      <c r="E650">
        <v>9.5000000000000001E-2</v>
      </c>
      <c r="F650">
        <v>0.252</v>
      </c>
      <c r="G650">
        <v>9.1499999999999998E-2</v>
      </c>
      <c r="H650">
        <v>5.5E-2</v>
      </c>
      <c r="I650">
        <v>0.09</v>
      </c>
      <c r="J650">
        <v>14</v>
      </c>
      <c r="K650">
        <v>2</v>
      </c>
      <c r="L650" t="s">
        <v>49</v>
      </c>
      <c r="M650" t="s">
        <v>50</v>
      </c>
      <c r="N650" t="s">
        <v>51</v>
      </c>
      <c r="O650">
        <v>6</v>
      </c>
      <c r="P650" t="s">
        <v>7</v>
      </c>
      <c r="Q650">
        <v>14.1</v>
      </c>
    </row>
    <row r="651" spans="1:17">
      <c r="A651">
        <v>3321</v>
      </c>
      <c r="B651" t="s">
        <v>75</v>
      </c>
      <c r="C651">
        <v>0.53500000000000003</v>
      </c>
      <c r="D651">
        <v>0.42499999999999999</v>
      </c>
      <c r="E651">
        <v>0.155</v>
      </c>
      <c r="F651">
        <v>0.77649999999999997</v>
      </c>
      <c r="G651">
        <v>0.30199999999999999</v>
      </c>
      <c r="H651">
        <v>0.1565</v>
      </c>
      <c r="I651">
        <v>0.25</v>
      </c>
      <c r="J651">
        <v>16</v>
      </c>
      <c r="K651">
        <v>7</v>
      </c>
      <c r="L651" t="s">
        <v>62</v>
      </c>
      <c r="M651" t="s">
        <v>63</v>
      </c>
      <c r="N651" t="s">
        <v>64</v>
      </c>
      <c r="O651">
        <v>9</v>
      </c>
      <c r="P651" t="s">
        <v>9</v>
      </c>
      <c r="Q651">
        <v>1.9</v>
      </c>
    </row>
    <row r="652" spans="1:17">
      <c r="A652">
        <v>2005</v>
      </c>
      <c r="B652" t="s">
        <v>75</v>
      </c>
      <c r="C652">
        <v>0.375</v>
      </c>
      <c r="D652">
        <v>0.27500000000000002</v>
      </c>
      <c r="E652">
        <v>8.5000000000000006E-2</v>
      </c>
      <c r="F652">
        <v>0.22</v>
      </c>
      <c r="G652">
        <v>0.109</v>
      </c>
      <c r="H652">
        <v>0.05</v>
      </c>
      <c r="I652">
        <v>6.0499999999999998E-2</v>
      </c>
      <c r="J652">
        <v>7</v>
      </c>
      <c r="K652">
        <v>15</v>
      </c>
      <c r="L652" t="s">
        <v>60</v>
      </c>
      <c r="M652" t="s">
        <v>61</v>
      </c>
      <c r="N652" t="s">
        <v>45</v>
      </c>
      <c r="O652">
        <v>9</v>
      </c>
      <c r="P652" t="s">
        <v>9</v>
      </c>
      <c r="Q652">
        <v>1.9</v>
      </c>
    </row>
    <row r="653" spans="1:17">
      <c r="A653">
        <v>1288</v>
      </c>
      <c r="B653" t="s">
        <v>75</v>
      </c>
      <c r="C653">
        <v>0.505</v>
      </c>
      <c r="D653">
        <v>0.40500000000000003</v>
      </c>
      <c r="E653">
        <v>0.13</v>
      </c>
      <c r="F653">
        <v>0.60150000000000003</v>
      </c>
      <c r="G653">
        <v>0.30149999999999999</v>
      </c>
      <c r="H653">
        <v>0.11</v>
      </c>
      <c r="I653">
        <v>0.18</v>
      </c>
      <c r="J653">
        <v>8</v>
      </c>
      <c r="K653">
        <v>4</v>
      </c>
      <c r="L653" t="s">
        <v>40</v>
      </c>
      <c r="M653" t="s">
        <v>41</v>
      </c>
      <c r="N653" t="s">
        <v>42</v>
      </c>
      <c r="O653">
        <v>5</v>
      </c>
      <c r="P653" t="s">
        <v>12</v>
      </c>
      <c r="Q653">
        <v>12.8</v>
      </c>
    </row>
    <row r="654" spans="1:17">
      <c r="A654">
        <v>1224</v>
      </c>
      <c r="B654" t="s">
        <v>75</v>
      </c>
      <c r="C654">
        <v>0.34</v>
      </c>
      <c r="D654">
        <v>0.25</v>
      </c>
      <c r="E654">
        <v>0.09</v>
      </c>
      <c r="F654">
        <v>0.17899999999999999</v>
      </c>
      <c r="G654">
        <v>7.7499999999999999E-2</v>
      </c>
      <c r="H654">
        <v>3.3000000000000002E-2</v>
      </c>
      <c r="I654">
        <v>5.5E-2</v>
      </c>
      <c r="J654">
        <v>6</v>
      </c>
      <c r="K654">
        <v>14</v>
      </c>
      <c r="L654" t="s">
        <v>72</v>
      </c>
      <c r="M654" t="s">
        <v>73</v>
      </c>
      <c r="N654" t="s">
        <v>74</v>
      </c>
      <c r="O654">
        <v>8</v>
      </c>
      <c r="P654" t="s">
        <v>13</v>
      </c>
      <c r="Q654">
        <v>12.3</v>
      </c>
    </row>
    <row r="655" spans="1:17">
      <c r="A655">
        <v>3868</v>
      </c>
      <c r="B655" t="s">
        <v>75</v>
      </c>
      <c r="C655">
        <v>0.5</v>
      </c>
      <c r="D655">
        <v>0.39</v>
      </c>
      <c r="E655">
        <v>0.13</v>
      </c>
      <c r="F655">
        <v>0.63549999999999995</v>
      </c>
      <c r="G655">
        <v>0.2505</v>
      </c>
      <c r="H655">
        <v>0.16350000000000001</v>
      </c>
      <c r="I655">
        <v>0.19500000000000001</v>
      </c>
      <c r="J655">
        <v>15</v>
      </c>
      <c r="K655">
        <v>6</v>
      </c>
      <c r="L655" t="s">
        <v>46</v>
      </c>
      <c r="M655" t="s">
        <v>47</v>
      </c>
      <c r="N655" t="s">
        <v>48</v>
      </c>
      <c r="O655">
        <v>10</v>
      </c>
      <c r="P655" t="s">
        <v>11</v>
      </c>
      <c r="Q655">
        <v>24.1</v>
      </c>
    </row>
    <row r="656" spans="1:17">
      <c r="A656">
        <v>301</v>
      </c>
      <c r="B656" t="s">
        <v>75</v>
      </c>
      <c r="C656">
        <v>0.40500000000000003</v>
      </c>
      <c r="D656">
        <v>0.30499999999999999</v>
      </c>
      <c r="E656">
        <v>9.5000000000000001E-2</v>
      </c>
      <c r="F656">
        <v>0.34849999999999998</v>
      </c>
      <c r="G656">
        <v>0.14549999999999999</v>
      </c>
      <c r="H656">
        <v>8.9499999999999996E-2</v>
      </c>
      <c r="I656">
        <v>0.1</v>
      </c>
      <c r="J656">
        <v>9</v>
      </c>
      <c r="K656">
        <v>1</v>
      </c>
      <c r="L656" t="s">
        <v>70</v>
      </c>
      <c r="M656" t="s">
        <v>71</v>
      </c>
      <c r="N656" t="s">
        <v>45</v>
      </c>
      <c r="O656">
        <v>5</v>
      </c>
      <c r="P656" t="s">
        <v>12</v>
      </c>
      <c r="Q656">
        <v>12.8</v>
      </c>
    </row>
    <row r="657" spans="1:17">
      <c r="A657">
        <v>3038</v>
      </c>
      <c r="B657" t="s">
        <v>75</v>
      </c>
      <c r="C657">
        <v>0.56000000000000005</v>
      </c>
      <c r="D657">
        <v>0.45</v>
      </c>
      <c r="E657">
        <v>0.14499999999999999</v>
      </c>
      <c r="F657">
        <v>0.89400000000000002</v>
      </c>
      <c r="G657">
        <v>0.38850000000000001</v>
      </c>
      <c r="H657">
        <v>0.20949999999999999</v>
      </c>
      <c r="I657">
        <v>0.26400000000000001</v>
      </c>
      <c r="J657">
        <v>9</v>
      </c>
      <c r="K657">
        <v>8</v>
      </c>
      <c r="L657" t="s">
        <v>55</v>
      </c>
      <c r="M657" t="s">
        <v>56</v>
      </c>
      <c r="N657" t="s">
        <v>57</v>
      </c>
      <c r="O657">
        <v>4</v>
      </c>
      <c r="P657" t="s">
        <v>8</v>
      </c>
      <c r="Q657">
        <v>6.1</v>
      </c>
    </row>
    <row r="658" spans="1:17">
      <c r="A658">
        <v>38</v>
      </c>
      <c r="B658" t="s">
        <v>75</v>
      </c>
      <c r="C658">
        <v>0.45</v>
      </c>
      <c r="D658">
        <v>0.35499999999999998</v>
      </c>
      <c r="E658">
        <v>0.105</v>
      </c>
      <c r="F658">
        <v>0.52249999999999996</v>
      </c>
      <c r="G658">
        <v>0.23699999999999999</v>
      </c>
      <c r="H658">
        <v>0.11650000000000001</v>
      </c>
      <c r="I658">
        <v>0.14499999999999999</v>
      </c>
      <c r="J658">
        <v>8</v>
      </c>
      <c r="K658">
        <v>13</v>
      </c>
      <c r="L658" t="s">
        <v>43</v>
      </c>
      <c r="M658" t="s">
        <v>44</v>
      </c>
      <c r="N658" t="s">
        <v>45</v>
      </c>
      <c r="O658">
        <v>5</v>
      </c>
      <c r="P658" t="s">
        <v>12</v>
      </c>
      <c r="Q658">
        <v>12.8</v>
      </c>
    </row>
    <row r="659" spans="1:17">
      <c r="A659">
        <v>80</v>
      </c>
      <c r="B659" t="s">
        <v>75</v>
      </c>
      <c r="C659">
        <v>0.61499999999999999</v>
      </c>
      <c r="D659">
        <v>0.47499999999999998</v>
      </c>
      <c r="E659">
        <v>0.17</v>
      </c>
      <c r="F659">
        <v>1.1025</v>
      </c>
      <c r="G659">
        <v>0.46949999999999997</v>
      </c>
      <c r="H659">
        <v>0.23549999999999999</v>
      </c>
      <c r="I659">
        <v>0.34499999999999997</v>
      </c>
      <c r="J659">
        <v>14</v>
      </c>
      <c r="K659">
        <v>15</v>
      </c>
      <c r="L659" t="s">
        <v>60</v>
      </c>
      <c r="M659" t="s">
        <v>61</v>
      </c>
      <c r="N659" t="s">
        <v>45</v>
      </c>
      <c r="O659">
        <v>8</v>
      </c>
      <c r="P659" t="s">
        <v>13</v>
      </c>
      <c r="Q659">
        <v>12.3</v>
      </c>
    </row>
    <row r="660" spans="1:17">
      <c r="A660">
        <v>3811</v>
      </c>
      <c r="B660" t="s">
        <v>75</v>
      </c>
      <c r="C660">
        <v>0.52500000000000002</v>
      </c>
      <c r="D660">
        <v>0.4</v>
      </c>
      <c r="E660">
        <v>0.125</v>
      </c>
      <c r="F660">
        <v>0.5655</v>
      </c>
      <c r="G660">
        <v>0.24349999999999999</v>
      </c>
      <c r="H660">
        <v>0.11899999999999999</v>
      </c>
      <c r="I660">
        <v>0.17499999999999999</v>
      </c>
      <c r="J660">
        <v>8</v>
      </c>
      <c r="K660">
        <v>1</v>
      </c>
      <c r="L660" t="s">
        <v>70</v>
      </c>
      <c r="M660" t="s">
        <v>71</v>
      </c>
      <c r="N660" t="s">
        <v>45</v>
      </c>
      <c r="O660">
        <v>8</v>
      </c>
      <c r="P660" t="s">
        <v>13</v>
      </c>
      <c r="Q660">
        <v>12.3</v>
      </c>
    </row>
    <row r="661" spans="1:17">
      <c r="A661">
        <v>1582</v>
      </c>
      <c r="B661" t="s">
        <v>75</v>
      </c>
      <c r="C661">
        <v>0.5</v>
      </c>
      <c r="D661">
        <v>0.39</v>
      </c>
      <c r="E661">
        <v>0.12</v>
      </c>
      <c r="F661">
        <v>0.59550000000000003</v>
      </c>
      <c r="G661">
        <v>0.2455</v>
      </c>
      <c r="H661">
        <v>0.14699999999999999</v>
      </c>
      <c r="I661">
        <v>0.17299999999999999</v>
      </c>
      <c r="J661">
        <v>8</v>
      </c>
      <c r="K661">
        <v>2</v>
      </c>
      <c r="L661" t="s">
        <v>49</v>
      </c>
      <c r="M661" t="s">
        <v>50</v>
      </c>
      <c r="N661" t="s">
        <v>51</v>
      </c>
      <c r="O661">
        <v>9</v>
      </c>
      <c r="P661" t="s">
        <v>9</v>
      </c>
      <c r="Q661">
        <v>1.9</v>
      </c>
    </row>
    <row r="662" spans="1:17">
      <c r="A662">
        <v>1092</v>
      </c>
      <c r="B662" t="s">
        <v>75</v>
      </c>
      <c r="C662">
        <v>0.45</v>
      </c>
      <c r="D662">
        <v>0.33</v>
      </c>
      <c r="E662">
        <v>0.11</v>
      </c>
      <c r="F662">
        <v>0.36849999999999999</v>
      </c>
      <c r="G662">
        <v>0.16</v>
      </c>
      <c r="H662">
        <v>8.8499999999999995E-2</v>
      </c>
      <c r="I662">
        <v>0.10199999999999999</v>
      </c>
      <c r="J662">
        <v>6</v>
      </c>
      <c r="K662">
        <v>2</v>
      </c>
      <c r="L662" t="s">
        <v>49</v>
      </c>
      <c r="M662" t="s">
        <v>50</v>
      </c>
      <c r="N662" t="s">
        <v>51</v>
      </c>
      <c r="O662">
        <v>3</v>
      </c>
      <c r="P662" t="s">
        <v>10</v>
      </c>
      <c r="Q662">
        <v>3.6</v>
      </c>
    </row>
    <row r="663" spans="1:17">
      <c r="A663">
        <v>4130</v>
      </c>
      <c r="B663" t="s">
        <v>75</v>
      </c>
      <c r="C663">
        <v>0.56999999999999995</v>
      </c>
      <c r="D663">
        <v>0.42499999999999999</v>
      </c>
      <c r="E663">
        <v>0.14000000000000001</v>
      </c>
      <c r="F663">
        <v>0.76549999999999996</v>
      </c>
      <c r="G663">
        <v>0.33100000000000002</v>
      </c>
      <c r="H663">
        <v>0.14000000000000001</v>
      </c>
      <c r="I663">
        <v>0.24</v>
      </c>
      <c r="J663">
        <v>10</v>
      </c>
      <c r="K663">
        <v>5</v>
      </c>
      <c r="L663" t="s">
        <v>67</v>
      </c>
      <c r="M663" t="s">
        <v>68</v>
      </c>
      <c r="N663" t="s">
        <v>69</v>
      </c>
      <c r="O663">
        <v>3</v>
      </c>
      <c r="P663" t="s">
        <v>10</v>
      </c>
      <c r="Q663">
        <v>3.6</v>
      </c>
    </row>
    <row r="664" spans="1:17">
      <c r="A664">
        <v>2237</v>
      </c>
      <c r="B664" t="s">
        <v>75</v>
      </c>
      <c r="C664">
        <v>0.56000000000000005</v>
      </c>
      <c r="D664">
        <v>0.435</v>
      </c>
      <c r="E664">
        <v>0.185</v>
      </c>
      <c r="F664">
        <v>1.1060000000000001</v>
      </c>
      <c r="G664">
        <v>0.42199999999999999</v>
      </c>
      <c r="H664">
        <v>0.24349999999999999</v>
      </c>
      <c r="I664">
        <v>0.33</v>
      </c>
      <c r="J664">
        <v>15</v>
      </c>
      <c r="K664">
        <v>6</v>
      </c>
      <c r="L664" t="s">
        <v>46</v>
      </c>
      <c r="M664" t="s">
        <v>47</v>
      </c>
      <c r="N664" t="s">
        <v>48</v>
      </c>
      <c r="O664">
        <v>6</v>
      </c>
      <c r="P664" t="s">
        <v>7</v>
      </c>
      <c r="Q664">
        <v>14.1</v>
      </c>
    </row>
    <row r="665" spans="1:17">
      <c r="A665">
        <v>2135</v>
      </c>
      <c r="B665" t="s">
        <v>75</v>
      </c>
      <c r="C665">
        <v>0.44</v>
      </c>
      <c r="D665">
        <v>0.33</v>
      </c>
      <c r="E665">
        <v>0.115</v>
      </c>
      <c r="F665">
        <v>0.40050000000000002</v>
      </c>
      <c r="G665">
        <v>0.14299999999999999</v>
      </c>
      <c r="H665">
        <v>0.113</v>
      </c>
      <c r="I665">
        <v>0.12</v>
      </c>
      <c r="J665">
        <v>8</v>
      </c>
      <c r="K665">
        <v>2</v>
      </c>
      <c r="L665" t="s">
        <v>49</v>
      </c>
      <c r="M665" t="s">
        <v>50</v>
      </c>
      <c r="N665" t="s">
        <v>51</v>
      </c>
      <c r="O665">
        <v>1</v>
      </c>
      <c r="P665" t="s">
        <v>4</v>
      </c>
      <c r="Q665">
        <v>22.1</v>
      </c>
    </row>
    <row r="666" spans="1:17">
      <c r="A666">
        <v>3439</v>
      </c>
      <c r="B666" t="s">
        <v>75</v>
      </c>
      <c r="C666">
        <v>0.43</v>
      </c>
      <c r="D666">
        <v>0.33500000000000002</v>
      </c>
      <c r="E666">
        <v>0.105</v>
      </c>
      <c r="F666">
        <v>0.378</v>
      </c>
      <c r="G666">
        <v>0.188</v>
      </c>
      <c r="H666">
        <v>7.85E-2</v>
      </c>
      <c r="I666">
        <v>0.09</v>
      </c>
      <c r="J666">
        <v>6</v>
      </c>
      <c r="K666">
        <v>4</v>
      </c>
      <c r="L666" t="s">
        <v>40</v>
      </c>
      <c r="M666" t="s">
        <v>41</v>
      </c>
      <c r="N666" t="s">
        <v>42</v>
      </c>
      <c r="O666">
        <v>8</v>
      </c>
      <c r="P666" t="s">
        <v>13</v>
      </c>
      <c r="Q666">
        <v>12.3</v>
      </c>
    </row>
    <row r="667" spans="1:17">
      <c r="A667">
        <v>703</v>
      </c>
      <c r="B667" t="s">
        <v>75</v>
      </c>
      <c r="C667">
        <v>0.44500000000000001</v>
      </c>
      <c r="D667">
        <v>0.33</v>
      </c>
      <c r="E667">
        <v>0.105</v>
      </c>
      <c r="F667">
        <v>0.45250000000000001</v>
      </c>
      <c r="G667">
        <v>0.18</v>
      </c>
      <c r="H667">
        <v>0.10299999999999999</v>
      </c>
      <c r="I667">
        <v>0.123</v>
      </c>
      <c r="J667">
        <v>9</v>
      </c>
      <c r="K667">
        <v>9</v>
      </c>
      <c r="L667" t="s">
        <v>34</v>
      </c>
      <c r="M667" t="s">
        <v>35</v>
      </c>
      <c r="N667" t="s">
        <v>36</v>
      </c>
      <c r="O667">
        <v>7</v>
      </c>
      <c r="P667" t="s">
        <v>6</v>
      </c>
      <c r="Q667">
        <v>2.5</v>
      </c>
    </row>
    <row r="668" spans="1:17">
      <c r="A668">
        <v>2362</v>
      </c>
      <c r="B668" t="s">
        <v>75</v>
      </c>
      <c r="C668">
        <v>0.55000000000000004</v>
      </c>
      <c r="D668">
        <v>0.45</v>
      </c>
      <c r="E668">
        <v>0.155</v>
      </c>
      <c r="F668">
        <v>0.78949999999999998</v>
      </c>
      <c r="G668">
        <v>0.34300000000000003</v>
      </c>
      <c r="H668">
        <v>0.159</v>
      </c>
      <c r="I668">
        <v>0.25</v>
      </c>
      <c r="J668">
        <v>12</v>
      </c>
      <c r="K668">
        <v>4</v>
      </c>
      <c r="L668" t="s">
        <v>40</v>
      </c>
      <c r="M668" t="s">
        <v>41</v>
      </c>
      <c r="N668" t="s">
        <v>42</v>
      </c>
      <c r="O668">
        <v>8</v>
      </c>
      <c r="P668" t="s">
        <v>13</v>
      </c>
      <c r="Q668">
        <v>12.3</v>
      </c>
    </row>
    <row r="669" spans="1:17">
      <c r="A669">
        <v>337</v>
      </c>
      <c r="B669" t="s">
        <v>75</v>
      </c>
      <c r="C669">
        <v>0.6</v>
      </c>
      <c r="D669">
        <v>0.47499999999999998</v>
      </c>
      <c r="E669">
        <v>0.19</v>
      </c>
      <c r="F669">
        <v>1.0874999999999999</v>
      </c>
      <c r="G669">
        <v>0.40300000000000002</v>
      </c>
      <c r="H669">
        <v>0.26550000000000001</v>
      </c>
      <c r="I669">
        <v>0.32500000000000001</v>
      </c>
      <c r="J669">
        <v>14</v>
      </c>
      <c r="K669">
        <v>3</v>
      </c>
      <c r="L669" t="s">
        <v>52</v>
      </c>
      <c r="M669" t="s">
        <v>53</v>
      </c>
      <c r="N669" t="s">
        <v>54</v>
      </c>
      <c r="O669">
        <v>3</v>
      </c>
      <c r="P669" t="s">
        <v>10</v>
      </c>
      <c r="Q669">
        <v>3.6</v>
      </c>
    </row>
    <row r="670" spans="1:17">
      <c r="A670">
        <v>2000</v>
      </c>
      <c r="B670" t="s">
        <v>76</v>
      </c>
      <c r="C670">
        <v>0.35</v>
      </c>
      <c r="D670">
        <v>0.25</v>
      </c>
      <c r="E670">
        <v>7.0000000000000007E-2</v>
      </c>
      <c r="F670">
        <v>0.1605</v>
      </c>
      <c r="G670">
        <v>7.1499999999999994E-2</v>
      </c>
      <c r="H670">
        <v>3.3500000000000002E-2</v>
      </c>
      <c r="I670">
        <v>4.5999999999999999E-2</v>
      </c>
      <c r="J670">
        <v>6</v>
      </c>
      <c r="K670">
        <v>1</v>
      </c>
      <c r="L670" t="s">
        <v>70</v>
      </c>
      <c r="M670" t="s">
        <v>71</v>
      </c>
      <c r="N670" t="s">
        <v>45</v>
      </c>
      <c r="O670">
        <v>5</v>
      </c>
      <c r="P670" t="s">
        <v>12</v>
      </c>
      <c r="Q670">
        <v>12.8</v>
      </c>
    </row>
    <row r="671" spans="1:17">
      <c r="A671">
        <v>419</v>
      </c>
      <c r="B671" t="s">
        <v>76</v>
      </c>
      <c r="C671">
        <v>0.63</v>
      </c>
      <c r="D671">
        <v>0.5</v>
      </c>
      <c r="E671">
        <v>0.155</v>
      </c>
      <c r="F671">
        <v>1.0049999999999999</v>
      </c>
      <c r="G671">
        <v>0.36699999999999999</v>
      </c>
      <c r="H671">
        <v>0.19900000000000001</v>
      </c>
      <c r="I671">
        <v>0.36</v>
      </c>
      <c r="J671">
        <v>16</v>
      </c>
      <c r="K671">
        <v>1</v>
      </c>
      <c r="L671" t="s">
        <v>70</v>
      </c>
      <c r="M671" t="s">
        <v>71</v>
      </c>
      <c r="N671" t="s">
        <v>45</v>
      </c>
      <c r="O671">
        <v>10</v>
      </c>
      <c r="P671" t="s">
        <v>11</v>
      </c>
      <c r="Q671">
        <v>24.1</v>
      </c>
    </row>
    <row r="672" spans="1:17">
      <c r="A672">
        <v>176</v>
      </c>
      <c r="B672" t="s">
        <v>76</v>
      </c>
      <c r="C672">
        <v>0.36</v>
      </c>
      <c r="D672">
        <v>0.26</v>
      </c>
      <c r="E672">
        <v>0.09</v>
      </c>
      <c r="F672">
        <v>0.17849999999999999</v>
      </c>
      <c r="G672">
        <v>6.4500000000000002E-2</v>
      </c>
      <c r="H672">
        <v>3.6999999999999998E-2</v>
      </c>
      <c r="I672">
        <v>7.4999999999999997E-2</v>
      </c>
      <c r="J672">
        <v>7</v>
      </c>
      <c r="K672">
        <v>9</v>
      </c>
      <c r="L672" t="s">
        <v>34</v>
      </c>
      <c r="M672" t="s">
        <v>35</v>
      </c>
      <c r="N672" t="s">
        <v>36</v>
      </c>
      <c r="O672">
        <v>5</v>
      </c>
      <c r="P672" t="s">
        <v>12</v>
      </c>
      <c r="Q672">
        <v>12.8</v>
      </c>
    </row>
    <row r="673" spans="1:17">
      <c r="A673">
        <v>3207</v>
      </c>
      <c r="B673" t="s">
        <v>76</v>
      </c>
      <c r="C673">
        <v>0.29499999999999998</v>
      </c>
      <c r="D673">
        <v>0.215</v>
      </c>
      <c r="E673">
        <v>7.4999999999999997E-2</v>
      </c>
      <c r="F673">
        <v>0.11600000000000001</v>
      </c>
      <c r="G673">
        <v>3.6999999999999998E-2</v>
      </c>
      <c r="H673">
        <v>2.9499999999999998E-2</v>
      </c>
      <c r="I673">
        <v>0.04</v>
      </c>
      <c r="J673">
        <v>8</v>
      </c>
      <c r="K673">
        <v>14</v>
      </c>
      <c r="L673" t="s">
        <v>72</v>
      </c>
      <c r="M673" t="s">
        <v>73</v>
      </c>
      <c r="N673" t="s">
        <v>74</v>
      </c>
      <c r="O673">
        <v>3</v>
      </c>
      <c r="P673" t="s">
        <v>10</v>
      </c>
      <c r="Q673">
        <v>3.6</v>
      </c>
    </row>
    <row r="674" spans="1:17">
      <c r="A674">
        <v>2421</v>
      </c>
      <c r="B674" t="s">
        <v>76</v>
      </c>
      <c r="C674">
        <v>0.35</v>
      </c>
      <c r="D674">
        <v>0.255</v>
      </c>
      <c r="E674">
        <v>8.5000000000000006E-2</v>
      </c>
      <c r="F674">
        <v>0.2145</v>
      </c>
      <c r="G674">
        <v>0.1</v>
      </c>
      <c r="H674">
        <v>4.65E-2</v>
      </c>
      <c r="I674">
        <v>0.06</v>
      </c>
      <c r="J674">
        <v>13</v>
      </c>
      <c r="K674">
        <v>12</v>
      </c>
      <c r="L674" t="s">
        <v>58</v>
      </c>
      <c r="M674" t="s">
        <v>59</v>
      </c>
      <c r="N674" t="s">
        <v>45</v>
      </c>
      <c r="O674">
        <v>6</v>
      </c>
      <c r="P674" t="s">
        <v>7</v>
      </c>
      <c r="Q674">
        <v>14.1</v>
      </c>
    </row>
    <row r="675" spans="1:17">
      <c r="A675">
        <v>29</v>
      </c>
      <c r="B675" t="s">
        <v>76</v>
      </c>
      <c r="C675">
        <v>0.60499999999999998</v>
      </c>
      <c r="D675">
        <v>0.47499999999999998</v>
      </c>
      <c r="E675">
        <v>0.18</v>
      </c>
      <c r="F675">
        <v>0.9365</v>
      </c>
      <c r="G675">
        <v>0.39400000000000002</v>
      </c>
      <c r="H675">
        <v>0.219</v>
      </c>
      <c r="I675">
        <v>0.29499999999999998</v>
      </c>
      <c r="J675">
        <v>15</v>
      </c>
      <c r="K675">
        <v>5</v>
      </c>
      <c r="L675" t="s">
        <v>67</v>
      </c>
      <c r="M675" t="s">
        <v>68</v>
      </c>
      <c r="N675" t="s">
        <v>69</v>
      </c>
      <c r="O675">
        <v>3</v>
      </c>
      <c r="P675" t="s">
        <v>10</v>
      </c>
      <c r="Q675">
        <v>3.6</v>
      </c>
    </row>
    <row r="676" spans="1:17">
      <c r="A676">
        <v>474</v>
      </c>
      <c r="B676" t="s">
        <v>76</v>
      </c>
      <c r="C676">
        <v>0.52</v>
      </c>
      <c r="D676">
        <v>0.40500000000000003</v>
      </c>
      <c r="E676">
        <v>0.12</v>
      </c>
      <c r="F676">
        <v>0.627</v>
      </c>
      <c r="G676">
        <v>0.26450000000000001</v>
      </c>
      <c r="H676">
        <v>0.14149999999999999</v>
      </c>
      <c r="I676">
        <v>0.18099999999999999</v>
      </c>
      <c r="J676">
        <v>11</v>
      </c>
      <c r="K676">
        <v>4</v>
      </c>
      <c r="L676" t="s">
        <v>40</v>
      </c>
      <c r="M676" t="s">
        <v>41</v>
      </c>
      <c r="N676" t="s">
        <v>42</v>
      </c>
      <c r="O676">
        <v>9</v>
      </c>
      <c r="P676" t="s">
        <v>9</v>
      </c>
      <c r="Q676">
        <v>1.9</v>
      </c>
    </row>
    <row r="677" spans="1:17">
      <c r="A677">
        <v>1175</v>
      </c>
      <c r="B677" t="s">
        <v>76</v>
      </c>
      <c r="C677">
        <v>0.63500000000000001</v>
      </c>
      <c r="D677">
        <v>0.495</v>
      </c>
      <c r="E677">
        <v>1.4999999999999999E-2</v>
      </c>
      <c r="F677">
        <v>1.1565000000000001</v>
      </c>
      <c r="G677">
        <v>0.51149999999999995</v>
      </c>
      <c r="H677">
        <v>0.308</v>
      </c>
      <c r="I677">
        <v>0.28849999999999998</v>
      </c>
      <c r="J677">
        <v>9</v>
      </c>
      <c r="K677">
        <v>12</v>
      </c>
      <c r="L677" t="s">
        <v>58</v>
      </c>
      <c r="M677" t="s">
        <v>59</v>
      </c>
      <c r="N677" t="s">
        <v>45</v>
      </c>
      <c r="O677">
        <v>10</v>
      </c>
      <c r="P677" t="s">
        <v>11</v>
      </c>
      <c r="Q677">
        <v>24.1</v>
      </c>
    </row>
    <row r="678" spans="1:17">
      <c r="A678">
        <v>490</v>
      </c>
      <c r="B678" t="s">
        <v>76</v>
      </c>
      <c r="C678">
        <v>0.56999999999999995</v>
      </c>
      <c r="D678">
        <v>0.45500000000000002</v>
      </c>
      <c r="E678">
        <v>0.16500000000000001</v>
      </c>
      <c r="F678">
        <v>1.0595000000000001</v>
      </c>
      <c r="G678">
        <v>0.44</v>
      </c>
      <c r="H678">
        <v>0.2195</v>
      </c>
      <c r="I678">
        <v>0.28499999999999998</v>
      </c>
      <c r="J678">
        <v>14</v>
      </c>
      <c r="K678">
        <v>8</v>
      </c>
      <c r="L678" t="s">
        <v>55</v>
      </c>
      <c r="M678" t="s">
        <v>56</v>
      </c>
      <c r="N678" t="s">
        <v>57</v>
      </c>
      <c r="O678">
        <v>6</v>
      </c>
      <c r="P678" t="s">
        <v>7</v>
      </c>
      <c r="Q678">
        <v>14.1</v>
      </c>
    </row>
    <row r="679" spans="1:17">
      <c r="A679">
        <v>1442</v>
      </c>
      <c r="B679" t="s">
        <v>76</v>
      </c>
      <c r="C679">
        <v>0.40500000000000003</v>
      </c>
      <c r="D679">
        <v>0.3</v>
      </c>
      <c r="E679">
        <v>0.105</v>
      </c>
      <c r="F679">
        <v>0.30399999999999999</v>
      </c>
      <c r="G679">
        <v>0.14549999999999999</v>
      </c>
      <c r="H679">
        <v>6.0999999999999999E-2</v>
      </c>
      <c r="I679">
        <v>8.0500000000000002E-2</v>
      </c>
      <c r="J679">
        <v>6</v>
      </c>
      <c r="K679">
        <v>1</v>
      </c>
      <c r="L679" t="s">
        <v>70</v>
      </c>
      <c r="M679" t="s">
        <v>71</v>
      </c>
      <c r="N679" t="s">
        <v>45</v>
      </c>
      <c r="O679">
        <v>6</v>
      </c>
      <c r="P679" t="s">
        <v>7</v>
      </c>
      <c r="Q679">
        <v>14.1</v>
      </c>
    </row>
    <row r="680" spans="1:17">
      <c r="A680">
        <v>3610</v>
      </c>
      <c r="B680" t="s">
        <v>76</v>
      </c>
      <c r="C680">
        <v>0.55500000000000005</v>
      </c>
      <c r="D680">
        <v>0.40500000000000003</v>
      </c>
      <c r="E680">
        <v>0.12</v>
      </c>
      <c r="F680">
        <v>0.91300000000000003</v>
      </c>
      <c r="G680">
        <v>0.45850000000000002</v>
      </c>
      <c r="H680">
        <v>0.19600000000000001</v>
      </c>
      <c r="I680">
        <v>0.20649999999999999</v>
      </c>
      <c r="J680">
        <v>9</v>
      </c>
      <c r="K680">
        <v>15</v>
      </c>
      <c r="L680" t="s">
        <v>60</v>
      </c>
      <c r="M680" t="s">
        <v>61</v>
      </c>
      <c r="N680" t="s">
        <v>45</v>
      </c>
      <c r="O680">
        <v>6</v>
      </c>
      <c r="P680" t="s">
        <v>7</v>
      </c>
      <c r="Q680">
        <v>14.1</v>
      </c>
    </row>
    <row r="681" spans="1:17">
      <c r="A681">
        <v>826</v>
      </c>
      <c r="B681" t="s">
        <v>76</v>
      </c>
      <c r="C681">
        <v>0.39500000000000002</v>
      </c>
      <c r="D681">
        <v>0.28999999999999998</v>
      </c>
      <c r="E681">
        <v>9.5000000000000001E-2</v>
      </c>
      <c r="F681">
        <v>0.31900000000000001</v>
      </c>
      <c r="G681">
        <v>0.13800000000000001</v>
      </c>
      <c r="H681">
        <v>0.08</v>
      </c>
      <c r="I681">
        <v>8.2000000000000003E-2</v>
      </c>
      <c r="J681">
        <v>7</v>
      </c>
      <c r="K681">
        <v>13</v>
      </c>
      <c r="L681" t="s">
        <v>43</v>
      </c>
      <c r="M681" t="s">
        <v>44</v>
      </c>
      <c r="N681" t="s">
        <v>45</v>
      </c>
      <c r="O681">
        <v>3</v>
      </c>
      <c r="P681" t="s">
        <v>10</v>
      </c>
      <c r="Q681">
        <v>3.6</v>
      </c>
    </row>
    <row r="682" spans="1:17">
      <c r="A682">
        <v>11</v>
      </c>
      <c r="B682" t="s">
        <v>76</v>
      </c>
      <c r="C682">
        <v>0.52500000000000002</v>
      </c>
      <c r="D682">
        <v>0.38</v>
      </c>
      <c r="E682">
        <v>0.14000000000000001</v>
      </c>
      <c r="F682">
        <v>0.60650000000000004</v>
      </c>
      <c r="G682">
        <v>0.19400000000000001</v>
      </c>
      <c r="H682">
        <v>0.14749999999999999</v>
      </c>
      <c r="I682">
        <v>0.21</v>
      </c>
      <c r="J682">
        <v>14</v>
      </c>
      <c r="K682">
        <v>5</v>
      </c>
      <c r="L682" t="s">
        <v>67</v>
      </c>
      <c r="M682" t="s">
        <v>68</v>
      </c>
      <c r="N682" t="s">
        <v>69</v>
      </c>
      <c r="O682">
        <v>9</v>
      </c>
      <c r="P682" t="s">
        <v>9</v>
      </c>
      <c r="Q682">
        <v>1.9</v>
      </c>
    </row>
    <row r="683" spans="1:17">
      <c r="A683">
        <v>3525</v>
      </c>
      <c r="B683" t="s">
        <v>76</v>
      </c>
      <c r="C683">
        <v>0.32</v>
      </c>
      <c r="D683">
        <v>0.24</v>
      </c>
      <c r="E683">
        <v>8.5000000000000006E-2</v>
      </c>
      <c r="F683">
        <v>0.13100000000000001</v>
      </c>
      <c r="G683">
        <v>6.1499999999999999E-2</v>
      </c>
      <c r="H683">
        <v>2.6499999999999999E-2</v>
      </c>
      <c r="I683">
        <v>3.7999999999999999E-2</v>
      </c>
      <c r="J683">
        <v>6</v>
      </c>
      <c r="K683">
        <v>10</v>
      </c>
      <c r="L683" t="s">
        <v>37</v>
      </c>
      <c r="M683" t="s">
        <v>38</v>
      </c>
      <c r="N683" t="s">
        <v>39</v>
      </c>
      <c r="O683">
        <v>8</v>
      </c>
      <c r="P683" t="s">
        <v>13</v>
      </c>
      <c r="Q683">
        <v>12.3</v>
      </c>
    </row>
    <row r="684" spans="1:17">
      <c r="A684">
        <v>690</v>
      </c>
      <c r="B684" t="s">
        <v>76</v>
      </c>
      <c r="C684">
        <v>0.59</v>
      </c>
      <c r="D684">
        <v>0.44</v>
      </c>
      <c r="E684">
        <v>0.15</v>
      </c>
      <c r="F684">
        <v>0.95550000000000002</v>
      </c>
      <c r="G684">
        <v>0.36599999999999999</v>
      </c>
      <c r="H684">
        <v>0.24249999999999999</v>
      </c>
      <c r="I684">
        <v>0.29499999999999998</v>
      </c>
      <c r="J684">
        <v>11</v>
      </c>
      <c r="K684">
        <v>1</v>
      </c>
      <c r="L684" t="s">
        <v>70</v>
      </c>
      <c r="M684" t="s">
        <v>71</v>
      </c>
      <c r="N684" t="s">
        <v>45</v>
      </c>
      <c r="O684">
        <v>6</v>
      </c>
      <c r="P684" t="s">
        <v>7</v>
      </c>
      <c r="Q684">
        <v>14.1</v>
      </c>
    </row>
    <row r="685" spans="1:17">
      <c r="A685">
        <v>1787</v>
      </c>
      <c r="B685" t="s">
        <v>76</v>
      </c>
      <c r="C685">
        <v>0.53500000000000003</v>
      </c>
      <c r="D685">
        <v>0.38500000000000001</v>
      </c>
      <c r="E685">
        <v>0.18</v>
      </c>
      <c r="F685">
        <v>1.0834999999999999</v>
      </c>
      <c r="G685">
        <v>0.4955</v>
      </c>
      <c r="H685">
        <v>0.22950000000000001</v>
      </c>
      <c r="I685">
        <v>0.30399999999999999</v>
      </c>
      <c r="J685">
        <v>8</v>
      </c>
      <c r="K685">
        <v>7</v>
      </c>
      <c r="L685" t="s">
        <v>62</v>
      </c>
      <c r="M685" t="s">
        <v>63</v>
      </c>
      <c r="N685" t="s">
        <v>64</v>
      </c>
      <c r="O685">
        <v>5</v>
      </c>
      <c r="P685" t="s">
        <v>12</v>
      </c>
      <c r="Q685">
        <v>12.8</v>
      </c>
    </row>
    <row r="686" spans="1:17">
      <c r="A686">
        <v>87</v>
      </c>
      <c r="B686" t="s">
        <v>76</v>
      </c>
      <c r="C686">
        <v>0.625</v>
      </c>
      <c r="D686">
        <v>0.46500000000000002</v>
      </c>
      <c r="E686">
        <v>0.14000000000000001</v>
      </c>
      <c r="F686">
        <v>1.1950000000000001</v>
      </c>
      <c r="G686">
        <v>0.48249999999999998</v>
      </c>
      <c r="H686">
        <v>0.20499999999999999</v>
      </c>
      <c r="I686">
        <v>0.4</v>
      </c>
      <c r="J686">
        <v>13</v>
      </c>
      <c r="K686">
        <v>7</v>
      </c>
      <c r="L686" t="s">
        <v>62</v>
      </c>
      <c r="M686" t="s">
        <v>63</v>
      </c>
      <c r="N686" t="s">
        <v>64</v>
      </c>
      <c r="O686">
        <v>3</v>
      </c>
      <c r="P686" t="s">
        <v>10</v>
      </c>
      <c r="Q686">
        <v>3.6</v>
      </c>
    </row>
    <row r="687" spans="1:17">
      <c r="A687">
        <v>3601</v>
      </c>
      <c r="B687" t="s">
        <v>76</v>
      </c>
      <c r="C687">
        <v>0.17499999999999999</v>
      </c>
      <c r="D687">
        <v>0.125</v>
      </c>
      <c r="E687">
        <v>0.04</v>
      </c>
      <c r="F687">
        <v>2.8000000000000001E-2</v>
      </c>
      <c r="G687">
        <v>9.4999999999999998E-3</v>
      </c>
      <c r="H687">
        <v>8.0000000000000002E-3</v>
      </c>
      <c r="I687">
        <v>8.9999999999999993E-3</v>
      </c>
      <c r="J687">
        <v>4</v>
      </c>
      <c r="K687">
        <v>7</v>
      </c>
      <c r="L687" t="s">
        <v>62</v>
      </c>
      <c r="M687" t="s">
        <v>63</v>
      </c>
      <c r="N687" t="s">
        <v>64</v>
      </c>
      <c r="O687">
        <v>2</v>
      </c>
      <c r="P687" t="s">
        <v>5</v>
      </c>
      <c r="Q687">
        <v>18</v>
      </c>
    </row>
    <row r="688" spans="1:17">
      <c r="A688">
        <v>1279</v>
      </c>
      <c r="B688" t="s">
        <v>76</v>
      </c>
      <c r="C688">
        <v>0.495</v>
      </c>
      <c r="D688">
        <v>0.35499999999999998</v>
      </c>
      <c r="E688">
        <v>0.12</v>
      </c>
      <c r="F688">
        <v>0.4965</v>
      </c>
      <c r="G688">
        <v>0.214</v>
      </c>
      <c r="H688">
        <v>0.1045</v>
      </c>
      <c r="I688">
        <v>0.14949999999999999</v>
      </c>
      <c r="J688">
        <v>8</v>
      </c>
      <c r="K688">
        <v>8</v>
      </c>
      <c r="L688" t="s">
        <v>55</v>
      </c>
      <c r="M688" t="s">
        <v>56</v>
      </c>
      <c r="N688" t="s">
        <v>57</v>
      </c>
      <c r="O688">
        <v>3</v>
      </c>
      <c r="P688" t="s">
        <v>10</v>
      </c>
      <c r="Q688">
        <v>3.6</v>
      </c>
    </row>
    <row r="689" spans="1:17">
      <c r="A689">
        <v>2933</v>
      </c>
      <c r="B689" t="s">
        <v>76</v>
      </c>
      <c r="C689">
        <v>0.61499999999999999</v>
      </c>
      <c r="D689">
        <v>0.45500000000000002</v>
      </c>
      <c r="E689">
        <v>0.15</v>
      </c>
      <c r="F689">
        <v>0.9335</v>
      </c>
      <c r="G689">
        <v>0.38200000000000001</v>
      </c>
      <c r="H689">
        <v>0.247</v>
      </c>
      <c r="I689">
        <v>0.26150000000000001</v>
      </c>
      <c r="J689">
        <v>10</v>
      </c>
      <c r="K689">
        <v>8</v>
      </c>
      <c r="L689" t="s">
        <v>55</v>
      </c>
      <c r="M689" t="s">
        <v>56</v>
      </c>
      <c r="N689" t="s">
        <v>57</v>
      </c>
      <c r="O689">
        <v>10</v>
      </c>
      <c r="P689" t="s">
        <v>11</v>
      </c>
      <c r="Q689">
        <v>24.1</v>
      </c>
    </row>
    <row r="690" spans="1:17">
      <c r="A690">
        <v>2995</v>
      </c>
      <c r="B690" t="s">
        <v>76</v>
      </c>
      <c r="C690">
        <v>0.61</v>
      </c>
      <c r="D690">
        <v>0.47499999999999998</v>
      </c>
      <c r="E690">
        <v>0.17499999999999999</v>
      </c>
      <c r="F690">
        <v>1.024</v>
      </c>
      <c r="G690">
        <v>0.40899999999999997</v>
      </c>
      <c r="H690">
        <v>0.26100000000000001</v>
      </c>
      <c r="I690">
        <v>0.32200000000000001</v>
      </c>
      <c r="J690">
        <v>9</v>
      </c>
      <c r="K690">
        <v>8</v>
      </c>
      <c r="L690" t="s">
        <v>55</v>
      </c>
      <c r="M690" t="s">
        <v>56</v>
      </c>
      <c r="N690" t="s">
        <v>57</v>
      </c>
      <c r="O690">
        <v>10</v>
      </c>
      <c r="P690" t="s">
        <v>11</v>
      </c>
      <c r="Q690">
        <v>24.1</v>
      </c>
    </row>
    <row r="691" spans="1:17">
      <c r="A691">
        <v>929</v>
      </c>
      <c r="B691" t="s">
        <v>76</v>
      </c>
      <c r="C691">
        <v>0.435</v>
      </c>
      <c r="D691">
        <v>0.34</v>
      </c>
      <c r="E691">
        <v>0.115</v>
      </c>
      <c r="F691">
        <v>0.39250000000000002</v>
      </c>
      <c r="G691">
        <v>0.1825</v>
      </c>
      <c r="H691">
        <v>7.8E-2</v>
      </c>
      <c r="I691">
        <v>0.1145</v>
      </c>
      <c r="J691">
        <v>6</v>
      </c>
      <c r="K691">
        <v>9</v>
      </c>
      <c r="L691" t="s">
        <v>34</v>
      </c>
      <c r="M691" t="s">
        <v>35</v>
      </c>
      <c r="N691" t="s">
        <v>36</v>
      </c>
      <c r="O691">
        <v>6</v>
      </c>
      <c r="P691" t="s">
        <v>7</v>
      </c>
      <c r="Q691">
        <v>14.1</v>
      </c>
    </row>
    <row r="692" spans="1:17">
      <c r="A692">
        <v>2690</v>
      </c>
      <c r="B692" t="s">
        <v>76</v>
      </c>
      <c r="C692">
        <v>0.64500000000000002</v>
      </c>
      <c r="D692">
        <v>0.51500000000000001</v>
      </c>
      <c r="E692">
        <v>0.16</v>
      </c>
      <c r="F692">
        <v>1.1845000000000001</v>
      </c>
      <c r="G692">
        <v>0.50600000000000001</v>
      </c>
      <c r="H692">
        <v>0.311</v>
      </c>
      <c r="I692">
        <v>0.33500000000000002</v>
      </c>
      <c r="J692">
        <v>9</v>
      </c>
      <c r="K692">
        <v>2</v>
      </c>
      <c r="L692" t="s">
        <v>49</v>
      </c>
      <c r="M692" t="s">
        <v>50</v>
      </c>
      <c r="N692" t="s">
        <v>51</v>
      </c>
      <c r="O692">
        <v>3</v>
      </c>
      <c r="P692" t="s">
        <v>10</v>
      </c>
      <c r="Q692">
        <v>3.6</v>
      </c>
    </row>
    <row r="693" spans="1:17">
      <c r="A693">
        <v>3199</v>
      </c>
      <c r="B693" t="s">
        <v>76</v>
      </c>
      <c r="C693">
        <v>0.45</v>
      </c>
      <c r="D693">
        <v>0.33500000000000002</v>
      </c>
      <c r="E693">
        <v>0.14000000000000001</v>
      </c>
      <c r="F693">
        <v>0.47799999999999998</v>
      </c>
      <c r="G693">
        <v>0.1865</v>
      </c>
      <c r="H693">
        <v>0.115</v>
      </c>
      <c r="I693">
        <v>0.16</v>
      </c>
      <c r="J693">
        <v>11</v>
      </c>
      <c r="K693">
        <v>13</v>
      </c>
      <c r="L693" t="s">
        <v>43</v>
      </c>
      <c r="M693" t="s">
        <v>44</v>
      </c>
      <c r="N693" t="s">
        <v>45</v>
      </c>
      <c r="O693">
        <v>9</v>
      </c>
      <c r="P693" t="s">
        <v>9</v>
      </c>
      <c r="Q693">
        <v>1.9</v>
      </c>
    </row>
    <row r="694" spans="1:17">
      <c r="A694">
        <v>3978</v>
      </c>
      <c r="B694" t="s">
        <v>76</v>
      </c>
      <c r="C694">
        <v>0.47499999999999998</v>
      </c>
      <c r="D694">
        <v>0.35</v>
      </c>
      <c r="E694">
        <v>0.12</v>
      </c>
      <c r="F694">
        <v>0.49049999999999999</v>
      </c>
      <c r="G694">
        <v>0.20349999999999999</v>
      </c>
      <c r="H694">
        <v>0.13</v>
      </c>
      <c r="I694">
        <v>0.13500000000000001</v>
      </c>
      <c r="J694">
        <v>7</v>
      </c>
      <c r="K694">
        <v>15</v>
      </c>
      <c r="L694" t="s">
        <v>60</v>
      </c>
      <c r="M694" t="s">
        <v>61</v>
      </c>
      <c r="N694" t="s">
        <v>45</v>
      </c>
      <c r="O694">
        <v>2</v>
      </c>
      <c r="P694" t="s">
        <v>5</v>
      </c>
      <c r="Q694">
        <v>18</v>
      </c>
    </row>
    <row r="695" spans="1:17">
      <c r="A695">
        <v>1261</v>
      </c>
      <c r="B695" t="s">
        <v>76</v>
      </c>
      <c r="C695">
        <v>0.44</v>
      </c>
      <c r="D695">
        <v>0.34</v>
      </c>
      <c r="E695">
        <v>0.12</v>
      </c>
      <c r="F695">
        <v>0.438</v>
      </c>
      <c r="G695">
        <v>0.21149999999999999</v>
      </c>
      <c r="H695">
        <v>8.3000000000000004E-2</v>
      </c>
      <c r="I695">
        <v>0.12</v>
      </c>
      <c r="J695">
        <v>9</v>
      </c>
      <c r="K695">
        <v>1</v>
      </c>
      <c r="L695" t="s">
        <v>70</v>
      </c>
      <c r="M695" t="s">
        <v>71</v>
      </c>
      <c r="N695" t="s">
        <v>45</v>
      </c>
      <c r="O695">
        <v>6</v>
      </c>
      <c r="P695" t="s">
        <v>7</v>
      </c>
      <c r="Q695">
        <v>14.1</v>
      </c>
    </row>
    <row r="696" spans="1:17">
      <c r="A696">
        <v>1912</v>
      </c>
      <c r="B696" t="s">
        <v>76</v>
      </c>
      <c r="C696">
        <v>0.57999999999999996</v>
      </c>
      <c r="D696">
        <v>0.44</v>
      </c>
      <c r="E696">
        <v>0.15</v>
      </c>
      <c r="F696">
        <v>1.0465</v>
      </c>
      <c r="G696">
        <v>0.51800000000000002</v>
      </c>
      <c r="H696">
        <v>0.2185</v>
      </c>
      <c r="I696">
        <v>0.27950000000000003</v>
      </c>
      <c r="J696">
        <v>10</v>
      </c>
      <c r="K696">
        <v>13</v>
      </c>
      <c r="L696" t="s">
        <v>43</v>
      </c>
      <c r="M696" t="s">
        <v>44</v>
      </c>
      <c r="N696" t="s">
        <v>45</v>
      </c>
      <c r="O696">
        <v>1</v>
      </c>
      <c r="P696" t="s">
        <v>4</v>
      </c>
      <c r="Q696">
        <v>22.1</v>
      </c>
    </row>
    <row r="697" spans="1:17">
      <c r="A697">
        <v>674</v>
      </c>
      <c r="B697" t="s">
        <v>76</v>
      </c>
      <c r="C697">
        <v>0.49</v>
      </c>
      <c r="D697">
        <v>0.39</v>
      </c>
      <c r="E697">
        <v>0.15</v>
      </c>
      <c r="F697">
        <v>0.57299999999999995</v>
      </c>
      <c r="G697">
        <v>0.22500000000000001</v>
      </c>
      <c r="H697">
        <v>0.124</v>
      </c>
      <c r="I697">
        <v>0.17</v>
      </c>
      <c r="J697">
        <v>21</v>
      </c>
      <c r="K697">
        <v>10</v>
      </c>
      <c r="L697" t="s">
        <v>37</v>
      </c>
      <c r="M697" t="s">
        <v>38</v>
      </c>
      <c r="N697" t="s">
        <v>39</v>
      </c>
      <c r="O697">
        <v>7</v>
      </c>
      <c r="P697" t="s">
        <v>6</v>
      </c>
      <c r="Q697">
        <v>2.5</v>
      </c>
    </row>
    <row r="698" spans="1:17">
      <c r="A698">
        <v>968</v>
      </c>
      <c r="B698" t="s">
        <v>76</v>
      </c>
      <c r="C698">
        <v>0.51</v>
      </c>
      <c r="D698">
        <v>0.40500000000000003</v>
      </c>
      <c r="E698">
        <v>0.13500000000000001</v>
      </c>
      <c r="F698">
        <v>0.76900000000000002</v>
      </c>
      <c r="G698">
        <v>0.36549999999999999</v>
      </c>
      <c r="H698">
        <v>0.1585</v>
      </c>
      <c r="I698">
        <v>0.18</v>
      </c>
      <c r="J698">
        <v>7</v>
      </c>
      <c r="K698">
        <v>15</v>
      </c>
      <c r="L698" t="s">
        <v>60</v>
      </c>
      <c r="M698" t="s">
        <v>61</v>
      </c>
      <c r="N698" t="s">
        <v>45</v>
      </c>
      <c r="O698">
        <v>7</v>
      </c>
      <c r="P698" t="s">
        <v>6</v>
      </c>
      <c r="Q698">
        <v>2.5</v>
      </c>
    </row>
    <row r="699" spans="1:17">
      <c r="A699">
        <v>533</v>
      </c>
      <c r="B699" t="s">
        <v>76</v>
      </c>
      <c r="C699">
        <v>0.47</v>
      </c>
      <c r="D699">
        <v>0.37</v>
      </c>
      <c r="E699">
        <v>0.12</v>
      </c>
      <c r="F699">
        <v>0.47049999999999997</v>
      </c>
      <c r="G699">
        <v>0.1845</v>
      </c>
      <c r="H699">
        <v>0.1055</v>
      </c>
      <c r="I699">
        <v>0.155</v>
      </c>
      <c r="J699">
        <v>12</v>
      </c>
      <c r="K699">
        <v>12</v>
      </c>
      <c r="L699" t="s">
        <v>58</v>
      </c>
      <c r="M699" t="s">
        <v>59</v>
      </c>
      <c r="N699" t="s">
        <v>45</v>
      </c>
      <c r="O699">
        <v>3</v>
      </c>
      <c r="P699" t="s">
        <v>10</v>
      </c>
      <c r="Q699">
        <v>3.6</v>
      </c>
    </row>
    <row r="700" spans="1:17">
      <c r="A700">
        <v>898</v>
      </c>
      <c r="B700" t="s">
        <v>76</v>
      </c>
      <c r="C700">
        <v>0.26500000000000001</v>
      </c>
      <c r="D700">
        <v>0.19500000000000001</v>
      </c>
      <c r="E700">
        <v>0.06</v>
      </c>
      <c r="F700">
        <v>9.1999999999999998E-2</v>
      </c>
      <c r="G700">
        <v>3.4500000000000003E-2</v>
      </c>
      <c r="H700">
        <v>2.5000000000000001E-2</v>
      </c>
      <c r="I700">
        <v>2.4500000000000001E-2</v>
      </c>
      <c r="J700">
        <v>6</v>
      </c>
      <c r="K700">
        <v>6</v>
      </c>
      <c r="L700" t="s">
        <v>46</v>
      </c>
      <c r="M700" t="s">
        <v>47</v>
      </c>
      <c r="N700" t="s">
        <v>48</v>
      </c>
      <c r="O700">
        <v>10</v>
      </c>
      <c r="P700" t="s">
        <v>11</v>
      </c>
      <c r="Q700">
        <v>24.1</v>
      </c>
    </row>
    <row r="701" spans="1:17">
      <c r="A701">
        <v>1884</v>
      </c>
      <c r="B701" t="s">
        <v>76</v>
      </c>
      <c r="C701">
        <v>0.55500000000000005</v>
      </c>
      <c r="D701">
        <v>0.41</v>
      </c>
      <c r="E701">
        <v>0.125</v>
      </c>
      <c r="F701">
        <v>0.59899999999999998</v>
      </c>
      <c r="G701">
        <v>0.23449999999999999</v>
      </c>
      <c r="H701">
        <v>0.14649999999999999</v>
      </c>
      <c r="I701">
        <v>0.19400000000000001</v>
      </c>
      <c r="J701">
        <v>8</v>
      </c>
      <c r="K701">
        <v>12</v>
      </c>
      <c r="L701" t="s">
        <v>58</v>
      </c>
      <c r="M701" t="s">
        <v>59</v>
      </c>
      <c r="N701" t="s">
        <v>45</v>
      </c>
      <c r="O701">
        <v>5</v>
      </c>
      <c r="P701" t="s">
        <v>12</v>
      </c>
      <c r="Q701">
        <v>12.8</v>
      </c>
    </row>
    <row r="702" spans="1:17">
      <c r="A702">
        <v>687</v>
      </c>
      <c r="B702" t="s">
        <v>76</v>
      </c>
      <c r="C702">
        <v>0.53500000000000003</v>
      </c>
      <c r="D702">
        <v>0.4</v>
      </c>
      <c r="E702">
        <v>0.15</v>
      </c>
      <c r="F702">
        <v>0.80449999999999999</v>
      </c>
      <c r="G702">
        <v>0.33450000000000002</v>
      </c>
      <c r="H702">
        <v>0.21249999999999999</v>
      </c>
      <c r="I702">
        <v>0.21</v>
      </c>
      <c r="J702">
        <v>13</v>
      </c>
      <c r="K702">
        <v>13</v>
      </c>
      <c r="L702" t="s">
        <v>43</v>
      </c>
      <c r="M702" t="s">
        <v>44</v>
      </c>
      <c r="N702" t="s">
        <v>45</v>
      </c>
      <c r="O702">
        <v>7</v>
      </c>
      <c r="P702" t="s">
        <v>6</v>
      </c>
      <c r="Q702">
        <v>2.5</v>
      </c>
    </row>
    <row r="703" spans="1:17">
      <c r="A703">
        <v>83</v>
      </c>
      <c r="B703" t="s">
        <v>76</v>
      </c>
      <c r="C703">
        <v>0.52</v>
      </c>
      <c r="D703">
        <v>0.42499999999999999</v>
      </c>
      <c r="E703">
        <v>0.16500000000000001</v>
      </c>
      <c r="F703">
        <v>0.98850000000000005</v>
      </c>
      <c r="G703">
        <v>0.39600000000000002</v>
      </c>
      <c r="H703">
        <v>0.22500000000000001</v>
      </c>
      <c r="I703">
        <v>0.32</v>
      </c>
      <c r="J703">
        <v>16</v>
      </c>
      <c r="K703">
        <v>6</v>
      </c>
      <c r="L703" t="s">
        <v>46</v>
      </c>
      <c r="M703" t="s">
        <v>47</v>
      </c>
      <c r="N703" t="s">
        <v>48</v>
      </c>
      <c r="O703">
        <v>2</v>
      </c>
      <c r="P703" t="s">
        <v>5</v>
      </c>
      <c r="Q703">
        <v>18</v>
      </c>
    </row>
    <row r="704" spans="1:17">
      <c r="A704">
        <v>648</v>
      </c>
      <c r="B704" t="s">
        <v>76</v>
      </c>
      <c r="C704">
        <v>0.48</v>
      </c>
      <c r="D704">
        <v>0.375</v>
      </c>
      <c r="E704">
        <v>0.14499999999999999</v>
      </c>
      <c r="F704">
        <v>0.77700000000000002</v>
      </c>
      <c r="G704">
        <v>0.216</v>
      </c>
      <c r="H704">
        <v>0.13</v>
      </c>
      <c r="I704">
        <v>0.17</v>
      </c>
      <c r="J704">
        <v>9</v>
      </c>
      <c r="K704">
        <v>13</v>
      </c>
      <c r="L704" t="s">
        <v>43</v>
      </c>
      <c r="M704" t="s">
        <v>44</v>
      </c>
      <c r="N704" t="s">
        <v>45</v>
      </c>
      <c r="O704">
        <v>1</v>
      </c>
      <c r="P704" t="s">
        <v>4</v>
      </c>
      <c r="Q704">
        <v>22.1</v>
      </c>
    </row>
    <row r="705" spans="1:17">
      <c r="A705">
        <v>2287</v>
      </c>
      <c r="B705" t="s">
        <v>76</v>
      </c>
      <c r="C705">
        <v>0.5</v>
      </c>
      <c r="D705">
        <v>0.39500000000000002</v>
      </c>
      <c r="E705">
        <v>0.15</v>
      </c>
      <c r="F705">
        <v>0.71450000000000002</v>
      </c>
      <c r="G705">
        <v>0.32350000000000001</v>
      </c>
      <c r="H705">
        <v>0.17299999999999999</v>
      </c>
      <c r="I705">
        <v>0.19500000000000001</v>
      </c>
      <c r="J705">
        <v>9</v>
      </c>
      <c r="K705">
        <v>9</v>
      </c>
      <c r="L705" t="s">
        <v>34</v>
      </c>
      <c r="M705" t="s">
        <v>35</v>
      </c>
      <c r="N705" t="s">
        <v>36</v>
      </c>
      <c r="O705">
        <v>4</v>
      </c>
      <c r="P705" t="s">
        <v>8</v>
      </c>
      <c r="Q705">
        <v>6.1</v>
      </c>
    </row>
    <row r="706" spans="1:17">
      <c r="A706">
        <v>2489</v>
      </c>
      <c r="B706" t="s">
        <v>76</v>
      </c>
      <c r="C706">
        <v>0.5</v>
      </c>
      <c r="D706">
        <v>0.38500000000000001</v>
      </c>
      <c r="E706">
        <v>0.14499999999999999</v>
      </c>
      <c r="F706">
        <v>0.76149999999999995</v>
      </c>
      <c r="G706">
        <v>0.246</v>
      </c>
      <c r="H706">
        <v>0.19500000000000001</v>
      </c>
      <c r="I706">
        <v>0.20399999999999999</v>
      </c>
      <c r="J706">
        <v>14</v>
      </c>
      <c r="K706">
        <v>11</v>
      </c>
      <c r="L706" t="s">
        <v>65</v>
      </c>
      <c r="M706" t="s">
        <v>66</v>
      </c>
      <c r="N706" t="s">
        <v>45</v>
      </c>
      <c r="O706">
        <v>10</v>
      </c>
      <c r="P706" t="s">
        <v>11</v>
      </c>
      <c r="Q706">
        <v>24.1</v>
      </c>
    </row>
    <row r="707" spans="1:17">
      <c r="A707">
        <v>2985</v>
      </c>
      <c r="B707" t="s">
        <v>76</v>
      </c>
      <c r="C707">
        <v>0.53500000000000003</v>
      </c>
      <c r="D707">
        <v>0.4</v>
      </c>
      <c r="E707">
        <v>0.15</v>
      </c>
      <c r="F707">
        <v>1.224</v>
      </c>
      <c r="G707">
        <v>0.61799999999999999</v>
      </c>
      <c r="H707">
        <v>0.27500000000000002</v>
      </c>
      <c r="I707">
        <v>0.28749999999999998</v>
      </c>
      <c r="J707">
        <v>10</v>
      </c>
      <c r="K707">
        <v>11</v>
      </c>
      <c r="L707" t="s">
        <v>65</v>
      </c>
      <c r="M707" t="s">
        <v>66</v>
      </c>
      <c r="N707" t="s">
        <v>45</v>
      </c>
      <c r="O707">
        <v>2</v>
      </c>
      <c r="P707" t="s">
        <v>5</v>
      </c>
      <c r="Q707">
        <v>18</v>
      </c>
    </row>
    <row r="708" spans="1:17">
      <c r="A708">
        <v>1368</v>
      </c>
      <c r="B708" t="s">
        <v>76</v>
      </c>
      <c r="C708">
        <v>0.61</v>
      </c>
      <c r="D708">
        <v>0.48</v>
      </c>
      <c r="E708">
        <v>0.17</v>
      </c>
      <c r="F708">
        <v>1.137</v>
      </c>
      <c r="G708">
        <v>0.45650000000000002</v>
      </c>
      <c r="H708">
        <v>0.28999999999999998</v>
      </c>
      <c r="I708">
        <v>0.34699999999999998</v>
      </c>
      <c r="J708">
        <v>10</v>
      </c>
      <c r="K708">
        <v>6</v>
      </c>
      <c r="L708" t="s">
        <v>46</v>
      </c>
      <c r="M708" t="s">
        <v>47</v>
      </c>
      <c r="N708" t="s">
        <v>48</v>
      </c>
      <c r="O708">
        <v>10</v>
      </c>
      <c r="P708" t="s">
        <v>11</v>
      </c>
      <c r="Q708">
        <v>24.1</v>
      </c>
    </row>
    <row r="709" spans="1:17">
      <c r="A709">
        <v>1925</v>
      </c>
      <c r="B709" t="s">
        <v>76</v>
      </c>
      <c r="C709">
        <v>0.61</v>
      </c>
      <c r="D709">
        <v>0.46</v>
      </c>
      <c r="E709">
        <v>0.155</v>
      </c>
      <c r="F709">
        <v>0.95699999999999996</v>
      </c>
      <c r="G709">
        <v>0.42549999999999999</v>
      </c>
      <c r="H709">
        <v>0.19750000000000001</v>
      </c>
      <c r="I709">
        <v>0.26500000000000001</v>
      </c>
      <c r="J709">
        <v>8</v>
      </c>
      <c r="K709">
        <v>2</v>
      </c>
      <c r="L709" t="s">
        <v>49</v>
      </c>
      <c r="M709" t="s">
        <v>50</v>
      </c>
      <c r="N709" t="s">
        <v>51</v>
      </c>
      <c r="O709">
        <v>1</v>
      </c>
      <c r="P709" t="s">
        <v>4</v>
      </c>
      <c r="Q709">
        <v>22.1</v>
      </c>
    </row>
    <row r="710" spans="1:17">
      <c r="A710">
        <v>3445</v>
      </c>
      <c r="B710" t="s">
        <v>76</v>
      </c>
      <c r="C710">
        <v>0.49</v>
      </c>
      <c r="D710">
        <v>0.4</v>
      </c>
      <c r="E710">
        <v>0.115</v>
      </c>
      <c r="F710">
        <v>0.56899999999999995</v>
      </c>
      <c r="G710">
        <v>0.25600000000000001</v>
      </c>
      <c r="H710">
        <v>0.13250000000000001</v>
      </c>
      <c r="I710">
        <v>0.14499999999999999</v>
      </c>
      <c r="J710">
        <v>9</v>
      </c>
      <c r="K710">
        <v>10</v>
      </c>
      <c r="L710" t="s">
        <v>37</v>
      </c>
      <c r="M710" t="s">
        <v>38</v>
      </c>
      <c r="N710" t="s">
        <v>39</v>
      </c>
      <c r="O710">
        <v>9</v>
      </c>
      <c r="P710" t="s">
        <v>9</v>
      </c>
      <c r="Q710">
        <v>1.9</v>
      </c>
    </row>
    <row r="711" spans="1:17">
      <c r="A711">
        <v>923</v>
      </c>
      <c r="B711" t="s">
        <v>76</v>
      </c>
      <c r="C711">
        <v>0.42</v>
      </c>
      <c r="D711">
        <v>0.315</v>
      </c>
      <c r="E711">
        <v>0.1</v>
      </c>
      <c r="F711">
        <v>0.34350000000000003</v>
      </c>
      <c r="G711">
        <v>0.157</v>
      </c>
      <c r="H711">
        <v>7.9500000000000001E-2</v>
      </c>
      <c r="I711">
        <v>0.09</v>
      </c>
      <c r="J711">
        <v>6</v>
      </c>
      <c r="K711">
        <v>3</v>
      </c>
      <c r="L711" t="s">
        <v>52</v>
      </c>
      <c r="M711" t="s">
        <v>53</v>
      </c>
      <c r="N711" t="s">
        <v>54</v>
      </c>
      <c r="O711">
        <v>8</v>
      </c>
      <c r="P711" t="s">
        <v>13</v>
      </c>
      <c r="Q711">
        <v>12.3</v>
      </c>
    </row>
    <row r="712" spans="1:17">
      <c r="A712">
        <v>3213</v>
      </c>
      <c r="B712" t="s">
        <v>76</v>
      </c>
      <c r="C712">
        <v>0.58499999999999996</v>
      </c>
      <c r="D712">
        <v>0.46</v>
      </c>
      <c r="E712">
        <v>0.17</v>
      </c>
      <c r="F712">
        <v>1.0834999999999999</v>
      </c>
      <c r="G712">
        <v>0.3745</v>
      </c>
      <c r="H712">
        <v>0.32600000000000001</v>
      </c>
      <c r="I712">
        <v>0.32500000000000001</v>
      </c>
      <c r="J712">
        <v>14</v>
      </c>
      <c r="K712">
        <v>3</v>
      </c>
      <c r="L712" t="s">
        <v>52</v>
      </c>
      <c r="M712" t="s">
        <v>53</v>
      </c>
      <c r="N712" t="s">
        <v>54</v>
      </c>
      <c r="O712">
        <v>1</v>
      </c>
      <c r="P712" t="s">
        <v>4</v>
      </c>
      <c r="Q712">
        <v>22.1</v>
      </c>
    </row>
    <row r="713" spans="1:17">
      <c r="A713">
        <v>2062</v>
      </c>
      <c r="B713" t="s">
        <v>76</v>
      </c>
      <c r="C713">
        <v>0.5</v>
      </c>
      <c r="D713">
        <v>0.38</v>
      </c>
      <c r="E713">
        <v>0.14000000000000001</v>
      </c>
      <c r="F713">
        <v>0.63549999999999995</v>
      </c>
      <c r="G713">
        <v>0.27700000000000002</v>
      </c>
      <c r="H713">
        <v>0.14299999999999999</v>
      </c>
      <c r="I713">
        <v>0.17849999999999999</v>
      </c>
      <c r="J713">
        <v>8</v>
      </c>
      <c r="K713">
        <v>13</v>
      </c>
      <c r="L713" t="s">
        <v>43</v>
      </c>
      <c r="M713" t="s">
        <v>44</v>
      </c>
      <c r="N713" t="s">
        <v>45</v>
      </c>
      <c r="O713">
        <v>1</v>
      </c>
      <c r="P713" t="s">
        <v>4</v>
      </c>
      <c r="Q713">
        <v>22.1</v>
      </c>
    </row>
    <row r="714" spans="1:17">
      <c r="A714">
        <v>2194</v>
      </c>
      <c r="B714" t="s">
        <v>76</v>
      </c>
      <c r="C714">
        <v>0.215</v>
      </c>
      <c r="D714">
        <v>0.17</v>
      </c>
      <c r="E714">
        <v>5.5E-2</v>
      </c>
      <c r="F714">
        <v>6.0499999999999998E-2</v>
      </c>
      <c r="G714">
        <v>2.0500000000000001E-2</v>
      </c>
      <c r="H714">
        <v>1.4E-2</v>
      </c>
      <c r="I714">
        <v>0.02</v>
      </c>
      <c r="J714">
        <v>6</v>
      </c>
      <c r="K714">
        <v>3</v>
      </c>
      <c r="L714" t="s">
        <v>52</v>
      </c>
      <c r="M714" t="s">
        <v>53</v>
      </c>
      <c r="N714" t="s">
        <v>54</v>
      </c>
      <c r="O714">
        <v>9</v>
      </c>
      <c r="P714" t="s">
        <v>9</v>
      </c>
      <c r="Q714">
        <v>1.9</v>
      </c>
    </row>
    <row r="715" spans="1:17">
      <c r="A715">
        <v>1860</v>
      </c>
      <c r="B715" t="s">
        <v>76</v>
      </c>
      <c r="C715">
        <v>0.51500000000000001</v>
      </c>
      <c r="D715">
        <v>0.41499999999999998</v>
      </c>
      <c r="E715">
        <v>0.13500000000000001</v>
      </c>
      <c r="F715">
        <v>0.71250000000000002</v>
      </c>
      <c r="G715">
        <v>0.28499999999999998</v>
      </c>
      <c r="H715">
        <v>0.152</v>
      </c>
      <c r="I715">
        <v>0.245</v>
      </c>
      <c r="J715">
        <v>10</v>
      </c>
      <c r="K715">
        <v>11</v>
      </c>
      <c r="L715" t="s">
        <v>65</v>
      </c>
      <c r="M715" t="s">
        <v>66</v>
      </c>
      <c r="N715" t="s">
        <v>45</v>
      </c>
      <c r="O715">
        <v>5</v>
      </c>
      <c r="P715" t="s">
        <v>12</v>
      </c>
      <c r="Q715">
        <v>12.8</v>
      </c>
    </row>
    <row r="716" spans="1:17">
      <c r="A716">
        <v>938</v>
      </c>
      <c r="B716" t="s">
        <v>76</v>
      </c>
      <c r="C716">
        <v>0.45500000000000002</v>
      </c>
      <c r="D716">
        <v>0.35499999999999998</v>
      </c>
      <c r="E716">
        <v>0.125</v>
      </c>
      <c r="F716">
        <v>0.53249999999999997</v>
      </c>
      <c r="G716">
        <v>0.22500000000000001</v>
      </c>
      <c r="H716">
        <v>0.126</v>
      </c>
      <c r="I716">
        <v>0.14649999999999999</v>
      </c>
      <c r="J716">
        <v>7</v>
      </c>
      <c r="K716">
        <v>14</v>
      </c>
      <c r="L716" t="s">
        <v>72</v>
      </c>
      <c r="M716" t="s">
        <v>73</v>
      </c>
      <c r="N716" t="s">
        <v>74</v>
      </c>
      <c r="O716">
        <v>6</v>
      </c>
      <c r="P716" t="s">
        <v>7</v>
      </c>
      <c r="Q716">
        <v>14.1</v>
      </c>
    </row>
    <row r="717" spans="1:17">
      <c r="A717">
        <v>3172</v>
      </c>
      <c r="B717" t="s">
        <v>76</v>
      </c>
      <c r="C717">
        <v>0.52500000000000002</v>
      </c>
      <c r="D717">
        <v>0.40500000000000003</v>
      </c>
      <c r="E717">
        <v>0.16</v>
      </c>
      <c r="F717">
        <v>0.79200000000000004</v>
      </c>
      <c r="G717">
        <v>0.316</v>
      </c>
      <c r="H717">
        <v>0.14549999999999999</v>
      </c>
      <c r="I717">
        <v>0.28000000000000003</v>
      </c>
      <c r="J717">
        <v>13</v>
      </c>
      <c r="K717">
        <v>10</v>
      </c>
      <c r="L717" t="s">
        <v>37</v>
      </c>
      <c r="M717" t="s">
        <v>38</v>
      </c>
      <c r="N717" t="s">
        <v>39</v>
      </c>
      <c r="O717">
        <v>8</v>
      </c>
      <c r="P717" t="s">
        <v>13</v>
      </c>
      <c r="Q717">
        <v>12.3</v>
      </c>
    </row>
    <row r="718" spans="1:17">
      <c r="A718">
        <v>2300</v>
      </c>
      <c r="B718" t="s">
        <v>76</v>
      </c>
      <c r="C718">
        <v>0.495</v>
      </c>
      <c r="D718">
        <v>0.38500000000000001</v>
      </c>
      <c r="E718">
        <v>0.125</v>
      </c>
      <c r="F718">
        <v>0.58499999999999996</v>
      </c>
      <c r="G718">
        <v>0.27550000000000002</v>
      </c>
      <c r="H718">
        <v>0.1235</v>
      </c>
      <c r="I718">
        <v>0.16500000000000001</v>
      </c>
      <c r="J718">
        <v>8</v>
      </c>
      <c r="K718">
        <v>3</v>
      </c>
      <c r="L718" t="s">
        <v>52</v>
      </c>
      <c r="M718" t="s">
        <v>53</v>
      </c>
      <c r="N718" t="s">
        <v>54</v>
      </c>
      <c r="O718">
        <v>8</v>
      </c>
      <c r="P718" t="s">
        <v>13</v>
      </c>
      <c r="Q718">
        <v>12.3</v>
      </c>
    </row>
    <row r="719" spans="1:17">
      <c r="A719">
        <v>203</v>
      </c>
      <c r="B719" t="s">
        <v>76</v>
      </c>
      <c r="C719">
        <v>0.5</v>
      </c>
      <c r="D719">
        <v>0.4</v>
      </c>
      <c r="E719">
        <v>0.14499999999999999</v>
      </c>
      <c r="F719">
        <v>0.63</v>
      </c>
      <c r="G719">
        <v>0.23400000000000001</v>
      </c>
      <c r="H719">
        <v>0.14649999999999999</v>
      </c>
      <c r="I719">
        <v>0.23</v>
      </c>
      <c r="J719">
        <v>12</v>
      </c>
      <c r="K719">
        <v>12</v>
      </c>
      <c r="L719" t="s">
        <v>58</v>
      </c>
      <c r="M719" t="s">
        <v>59</v>
      </c>
      <c r="N719" t="s">
        <v>45</v>
      </c>
      <c r="O719">
        <v>2</v>
      </c>
      <c r="P719" t="s">
        <v>5</v>
      </c>
      <c r="Q719">
        <v>18</v>
      </c>
    </row>
    <row r="720" spans="1:17">
      <c r="A720">
        <v>3918</v>
      </c>
      <c r="B720" t="s">
        <v>76</v>
      </c>
      <c r="C720">
        <v>0.61499999999999999</v>
      </c>
      <c r="D720">
        <v>0.46</v>
      </c>
      <c r="E720">
        <v>0.19</v>
      </c>
      <c r="F720">
        <v>1.0660000000000001</v>
      </c>
      <c r="G720">
        <v>0.4335</v>
      </c>
      <c r="H720">
        <v>0.22600000000000001</v>
      </c>
      <c r="I720">
        <v>0.33</v>
      </c>
      <c r="J720">
        <v>13</v>
      </c>
      <c r="K720">
        <v>1</v>
      </c>
      <c r="L720" t="s">
        <v>70</v>
      </c>
      <c r="M720" t="s">
        <v>71</v>
      </c>
      <c r="N720" t="s">
        <v>45</v>
      </c>
      <c r="O720">
        <v>4</v>
      </c>
      <c r="P720" t="s">
        <v>8</v>
      </c>
      <c r="Q720">
        <v>6.1</v>
      </c>
    </row>
    <row r="721" spans="1:17">
      <c r="A721">
        <v>2982</v>
      </c>
      <c r="B721" t="s">
        <v>76</v>
      </c>
      <c r="C721">
        <v>0.505</v>
      </c>
      <c r="D721">
        <v>0.38</v>
      </c>
      <c r="E721">
        <v>0.13</v>
      </c>
      <c r="F721">
        <v>0.69299999999999995</v>
      </c>
      <c r="G721">
        <v>0.39100000000000001</v>
      </c>
      <c r="H721">
        <v>0.1195</v>
      </c>
      <c r="I721">
        <v>0.1515</v>
      </c>
      <c r="J721">
        <v>8</v>
      </c>
      <c r="K721">
        <v>13</v>
      </c>
      <c r="L721" t="s">
        <v>43</v>
      </c>
      <c r="M721" t="s">
        <v>44</v>
      </c>
      <c r="N721" t="s">
        <v>45</v>
      </c>
      <c r="O721">
        <v>2</v>
      </c>
      <c r="P721" t="s">
        <v>5</v>
      </c>
      <c r="Q721">
        <v>18</v>
      </c>
    </row>
    <row r="722" spans="1:17">
      <c r="A722">
        <v>4034</v>
      </c>
      <c r="B722" t="s">
        <v>76</v>
      </c>
      <c r="C722">
        <v>0.495</v>
      </c>
      <c r="D722">
        <v>0.38500000000000001</v>
      </c>
      <c r="E722">
        <v>0.125</v>
      </c>
      <c r="F722">
        <v>0.51249999999999996</v>
      </c>
      <c r="G722">
        <v>0.20749999999999999</v>
      </c>
      <c r="H722">
        <v>0.11550000000000001</v>
      </c>
      <c r="I722">
        <v>0.17199999999999999</v>
      </c>
      <c r="J722">
        <v>10</v>
      </c>
      <c r="K722">
        <v>7</v>
      </c>
      <c r="L722" t="s">
        <v>62</v>
      </c>
      <c r="M722" t="s">
        <v>63</v>
      </c>
      <c r="N722" t="s">
        <v>64</v>
      </c>
      <c r="O722">
        <v>2</v>
      </c>
      <c r="P722" t="s">
        <v>5</v>
      </c>
      <c r="Q722">
        <v>18</v>
      </c>
    </row>
    <row r="723" spans="1:17">
      <c r="A723">
        <v>384</v>
      </c>
      <c r="B723" t="s">
        <v>76</v>
      </c>
      <c r="C723">
        <v>0.47</v>
      </c>
      <c r="D723">
        <v>0.375</v>
      </c>
      <c r="E723">
        <v>0.12</v>
      </c>
      <c r="F723">
        <v>0.55649999999999999</v>
      </c>
      <c r="G723">
        <v>0.22600000000000001</v>
      </c>
      <c r="H723">
        <v>0.122</v>
      </c>
      <c r="I723">
        <v>0.19500000000000001</v>
      </c>
      <c r="J723">
        <v>12</v>
      </c>
      <c r="K723">
        <v>15</v>
      </c>
      <c r="L723" t="s">
        <v>60</v>
      </c>
      <c r="M723" t="s">
        <v>61</v>
      </c>
      <c r="N723" t="s">
        <v>45</v>
      </c>
      <c r="O723">
        <v>6</v>
      </c>
      <c r="P723" t="s">
        <v>7</v>
      </c>
      <c r="Q723">
        <v>14.1</v>
      </c>
    </row>
    <row r="724" spans="1:17">
      <c r="A724">
        <v>449</v>
      </c>
      <c r="B724" t="s">
        <v>76</v>
      </c>
      <c r="C724">
        <v>0.60499999999999998</v>
      </c>
      <c r="D724">
        <v>0.5</v>
      </c>
      <c r="E724">
        <v>0.17499999999999999</v>
      </c>
      <c r="F724">
        <v>1.0980000000000001</v>
      </c>
      <c r="G724">
        <v>0.47649999999999998</v>
      </c>
      <c r="H724">
        <v>0.23200000000000001</v>
      </c>
      <c r="I724">
        <v>0.375</v>
      </c>
      <c r="J724">
        <v>12</v>
      </c>
      <c r="K724">
        <v>10</v>
      </c>
      <c r="L724" t="s">
        <v>37</v>
      </c>
      <c r="M724" t="s">
        <v>38</v>
      </c>
      <c r="N724" t="s">
        <v>39</v>
      </c>
      <c r="O724">
        <v>8</v>
      </c>
      <c r="P724" t="s">
        <v>13</v>
      </c>
      <c r="Q724">
        <v>12.3</v>
      </c>
    </row>
    <row r="725" spans="1:17">
      <c r="A725">
        <v>1845</v>
      </c>
      <c r="B725" t="s">
        <v>76</v>
      </c>
      <c r="C725">
        <v>0.435</v>
      </c>
      <c r="D725">
        <v>0.34499999999999997</v>
      </c>
      <c r="E725">
        <v>0.12</v>
      </c>
      <c r="F725">
        <v>0.32150000000000001</v>
      </c>
      <c r="G725">
        <v>0.13</v>
      </c>
      <c r="H725">
        <v>5.6000000000000001E-2</v>
      </c>
      <c r="I725">
        <v>0.11849999999999999</v>
      </c>
      <c r="J725">
        <v>7</v>
      </c>
      <c r="K725">
        <v>2</v>
      </c>
      <c r="L725" t="s">
        <v>49</v>
      </c>
      <c r="M725" t="s">
        <v>50</v>
      </c>
      <c r="N725" t="s">
        <v>51</v>
      </c>
      <c r="O725">
        <v>1</v>
      </c>
      <c r="P725" t="s">
        <v>4</v>
      </c>
      <c r="Q725">
        <v>22.1</v>
      </c>
    </row>
    <row r="726" spans="1:17">
      <c r="A726">
        <v>1369</v>
      </c>
      <c r="B726" t="s">
        <v>76</v>
      </c>
      <c r="C726">
        <v>0.61</v>
      </c>
      <c r="D726">
        <v>0.46</v>
      </c>
      <c r="E726">
        <v>0.16</v>
      </c>
      <c r="F726">
        <v>1</v>
      </c>
      <c r="G726">
        <v>0.49399999999999999</v>
      </c>
      <c r="H726">
        <v>0.19700000000000001</v>
      </c>
      <c r="I726">
        <v>0.27500000000000002</v>
      </c>
      <c r="J726">
        <v>10</v>
      </c>
      <c r="K726">
        <v>7</v>
      </c>
      <c r="L726" t="s">
        <v>62</v>
      </c>
      <c r="M726" t="s">
        <v>63</v>
      </c>
      <c r="N726" t="s">
        <v>64</v>
      </c>
      <c r="O726">
        <v>10</v>
      </c>
      <c r="P726" t="s">
        <v>11</v>
      </c>
      <c r="Q726">
        <v>24.1</v>
      </c>
    </row>
    <row r="727" spans="1:17">
      <c r="A727">
        <v>369</v>
      </c>
      <c r="B727" t="s">
        <v>76</v>
      </c>
      <c r="C727">
        <v>0.63</v>
      </c>
      <c r="D727">
        <v>0.49</v>
      </c>
      <c r="E727">
        <v>0.18</v>
      </c>
      <c r="F727">
        <v>1.1299999999999999</v>
      </c>
      <c r="G727">
        <v>0.45800000000000002</v>
      </c>
      <c r="H727">
        <v>0.27650000000000002</v>
      </c>
      <c r="I727">
        <v>0.315</v>
      </c>
      <c r="J727">
        <v>12</v>
      </c>
      <c r="K727">
        <v>12</v>
      </c>
      <c r="L727" t="s">
        <v>58</v>
      </c>
      <c r="M727" t="s">
        <v>59</v>
      </c>
      <c r="N727" t="s">
        <v>45</v>
      </c>
      <c r="O727">
        <v>10</v>
      </c>
      <c r="P727" t="s">
        <v>11</v>
      </c>
      <c r="Q727">
        <v>24.1</v>
      </c>
    </row>
    <row r="728" spans="1:17">
      <c r="A728">
        <v>3585</v>
      </c>
      <c r="B728" t="s">
        <v>76</v>
      </c>
      <c r="C728">
        <v>0.625</v>
      </c>
      <c r="D728">
        <v>0.49</v>
      </c>
      <c r="E728">
        <v>0.16500000000000001</v>
      </c>
      <c r="F728">
        <v>1.1835</v>
      </c>
      <c r="G728">
        <v>0.51700000000000002</v>
      </c>
      <c r="H728">
        <v>0.23749999999999999</v>
      </c>
      <c r="I728">
        <v>0.39</v>
      </c>
      <c r="J728">
        <v>11</v>
      </c>
      <c r="K728">
        <v>14</v>
      </c>
      <c r="L728" t="s">
        <v>72</v>
      </c>
      <c r="M728" t="s">
        <v>73</v>
      </c>
      <c r="N728" t="s">
        <v>74</v>
      </c>
      <c r="O728">
        <v>1</v>
      </c>
      <c r="P728" t="s">
        <v>4</v>
      </c>
      <c r="Q728">
        <v>22.1</v>
      </c>
    </row>
    <row r="729" spans="1:17">
      <c r="A729">
        <v>2760</v>
      </c>
      <c r="B729" t="s">
        <v>76</v>
      </c>
      <c r="C729">
        <v>0.54500000000000004</v>
      </c>
      <c r="D729">
        <v>0.44</v>
      </c>
      <c r="E729">
        <v>0.15</v>
      </c>
      <c r="F729">
        <v>0.94750000000000001</v>
      </c>
      <c r="G729">
        <v>0.36599999999999999</v>
      </c>
      <c r="H729">
        <v>0.23899999999999999</v>
      </c>
      <c r="I729">
        <v>0.27500000000000002</v>
      </c>
      <c r="J729">
        <v>8</v>
      </c>
      <c r="K729">
        <v>3</v>
      </c>
      <c r="L729" t="s">
        <v>52</v>
      </c>
      <c r="M729" t="s">
        <v>53</v>
      </c>
      <c r="N729" t="s">
        <v>54</v>
      </c>
      <c r="O729">
        <v>4</v>
      </c>
      <c r="P729" t="s">
        <v>8</v>
      </c>
      <c r="Q729">
        <v>6.1</v>
      </c>
    </row>
    <row r="730" spans="1:17">
      <c r="A730">
        <v>550</v>
      </c>
      <c r="B730" t="s">
        <v>76</v>
      </c>
      <c r="C730">
        <v>0.55500000000000005</v>
      </c>
      <c r="D730">
        <v>0.42499999999999999</v>
      </c>
      <c r="E730">
        <v>0.18</v>
      </c>
      <c r="F730">
        <v>0.875</v>
      </c>
      <c r="G730">
        <v>0.3695</v>
      </c>
      <c r="H730">
        <v>0.20050000000000001</v>
      </c>
      <c r="I730">
        <v>0.255</v>
      </c>
      <c r="J730">
        <v>11</v>
      </c>
      <c r="K730">
        <v>5</v>
      </c>
      <c r="L730" t="s">
        <v>67</v>
      </c>
      <c r="M730" t="s">
        <v>68</v>
      </c>
      <c r="N730" t="s">
        <v>69</v>
      </c>
      <c r="O730">
        <v>8</v>
      </c>
      <c r="P730" t="s">
        <v>13</v>
      </c>
      <c r="Q730">
        <v>12.3</v>
      </c>
    </row>
    <row r="731" spans="1:17">
      <c r="A731">
        <v>269</v>
      </c>
      <c r="B731" t="s">
        <v>76</v>
      </c>
      <c r="C731">
        <v>0.47</v>
      </c>
      <c r="D731">
        <v>0.39</v>
      </c>
      <c r="E731">
        <v>0.15</v>
      </c>
      <c r="F731">
        <v>0.63549999999999995</v>
      </c>
      <c r="G731">
        <v>0.2185</v>
      </c>
      <c r="H731">
        <v>8.8499999999999995E-2</v>
      </c>
      <c r="I731">
        <v>0.255</v>
      </c>
      <c r="J731">
        <v>9</v>
      </c>
      <c r="K731">
        <v>11</v>
      </c>
      <c r="L731" t="s">
        <v>65</v>
      </c>
      <c r="M731" t="s">
        <v>66</v>
      </c>
      <c r="N731" t="s">
        <v>45</v>
      </c>
      <c r="O731">
        <v>5</v>
      </c>
      <c r="P731" t="s">
        <v>12</v>
      </c>
      <c r="Q731">
        <v>12.8</v>
      </c>
    </row>
    <row r="732" spans="1:17">
      <c r="A732">
        <v>3906</v>
      </c>
      <c r="B732" t="s">
        <v>76</v>
      </c>
      <c r="C732">
        <v>0.38</v>
      </c>
      <c r="D732">
        <v>0.27</v>
      </c>
      <c r="E732">
        <v>9.5000000000000001E-2</v>
      </c>
      <c r="F732">
        <v>0.219</v>
      </c>
      <c r="G732">
        <v>8.3500000000000005E-2</v>
      </c>
      <c r="H732">
        <v>5.1499999999999997E-2</v>
      </c>
      <c r="I732">
        <v>7.0000000000000007E-2</v>
      </c>
      <c r="J732">
        <v>6</v>
      </c>
      <c r="K732">
        <v>8</v>
      </c>
      <c r="L732" t="s">
        <v>55</v>
      </c>
      <c r="M732" t="s">
        <v>56</v>
      </c>
      <c r="N732" t="s">
        <v>57</v>
      </c>
      <c r="O732">
        <v>4</v>
      </c>
      <c r="P732" t="s">
        <v>8</v>
      </c>
      <c r="Q732">
        <v>6.1</v>
      </c>
    </row>
    <row r="733" spans="1:17">
      <c r="A733">
        <v>293</v>
      </c>
      <c r="B733" t="s">
        <v>76</v>
      </c>
      <c r="C733">
        <v>0.61</v>
      </c>
      <c r="D733">
        <v>0.47499999999999998</v>
      </c>
      <c r="E733">
        <v>0.16500000000000001</v>
      </c>
      <c r="F733">
        <v>1.1160000000000001</v>
      </c>
      <c r="G733">
        <v>0.42799999999999999</v>
      </c>
      <c r="H733">
        <v>0.2205</v>
      </c>
      <c r="I733">
        <v>0.315</v>
      </c>
      <c r="J733">
        <v>15</v>
      </c>
      <c r="K733">
        <v>14</v>
      </c>
      <c r="L733" t="s">
        <v>72</v>
      </c>
      <c r="M733" t="s">
        <v>73</v>
      </c>
      <c r="N733" t="s">
        <v>74</v>
      </c>
      <c r="O733">
        <v>5</v>
      </c>
      <c r="P733" t="s">
        <v>12</v>
      </c>
      <c r="Q733">
        <v>12.8</v>
      </c>
    </row>
    <row r="734" spans="1:17">
      <c r="A734">
        <v>429</v>
      </c>
      <c r="B734" t="s">
        <v>76</v>
      </c>
      <c r="C734">
        <v>0.56000000000000005</v>
      </c>
      <c r="D734">
        <v>0.45500000000000002</v>
      </c>
      <c r="E734">
        <v>0.125</v>
      </c>
      <c r="F734">
        <v>0.94299999999999995</v>
      </c>
      <c r="G734">
        <v>0.34399999999999997</v>
      </c>
      <c r="H734">
        <v>0.129</v>
      </c>
      <c r="I734">
        <v>0.375</v>
      </c>
      <c r="J734">
        <v>21</v>
      </c>
      <c r="K734">
        <v>12</v>
      </c>
      <c r="L734" t="s">
        <v>58</v>
      </c>
      <c r="M734" t="s">
        <v>59</v>
      </c>
      <c r="N734" t="s">
        <v>45</v>
      </c>
      <c r="O734">
        <v>9</v>
      </c>
      <c r="P734" t="s">
        <v>9</v>
      </c>
      <c r="Q734">
        <v>1.9</v>
      </c>
    </row>
    <row r="735" spans="1:17">
      <c r="A735">
        <v>3997</v>
      </c>
      <c r="B735" t="s">
        <v>76</v>
      </c>
      <c r="C735">
        <v>0.315</v>
      </c>
      <c r="D735">
        <v>0.23</v>
      </c>
      <c r="E735">
        <v>0</v>
      </c>
      <c r="F735">
        <v>0.13400000000000001</v>
      </c>
      <c r="G735">
        <v>5.7500000000000002E-2</v>
      </c>
      <c r="H735">
        <v>2.8500000000000001E-2</v>
      </c>
      <c r="I735">
        <v>0.35049999999999998</v>
      </c>
      <c r="J735">
        <v>6</v>
      </c>
      <c r="K735">
        <v>9</v>
      </c>
      <c r="L735" t="s">
        <v>34</v>
      </c>
      <c r="M735" t="s">
        <v>35</v>
      </c>
      <c r="N735" t="s">
        <v>36</v>
      </c>
      <c r="O735">
        <v>5</v>
      </c>
      <c r="P735" t="s">
        <v>12</v>
      </c>
      <c r="Q735">
        <v>12.8</v>
      </c>
    </row>
    <row r="736" spans="1:17">
      <c r="A736">
        <v>962</v>
      </c>
      <c r="B736" t="s">
        <v>76</v>
      </c>
      <c r="C736">
        <v>0.505</v>
      </c>
      <c r="D736">
        <v>0.39</v>
      </c>
      <c r="E736">
        <v>0.13</v>
      </c>
      <c r="F736">
        <v>0.67400000000000004</v>
      </c>
      <c r="G736">
        <v>0.3165</v>
      </c>
      <c r="H736">
        <v>0.14099999999999999</v>
      </c>
      <c r="I736">
        <v>0.17849999999999999</v>
      </c>
      <c r="J736">
        <v>9</v>
      </c>
      <c r="K736">
        <v>6</v>
      </c>
      <c r="L736" t="s">
        <v>46</v>
      </c>
      <c r="M736" t="s">
        <v>47</v>
      </c>
      <c r="N736" t="s">
        <v>48</v>
      </c>
      <c r="O736">
        <v>10</v>
      </c>
      <c r="P736" t="s">
        <v>11</v>
      </c>
      <c r="Q736">
        <v>24.1</v>
      </c>
    </row>
    <row r="737" spans="1:17">
      <c r="A737">
        <v>3803</v>
      </c>
      <c r="B737" t="s">
        <v>76</v>
      </c>
      <c r="C737">
        <v>0.30499999999999999</v>
      </c>
      <c r="D737">
        <v>0.23</v>
      </c>
      <c r="E737">
        <v>7.4999999999999997E-2</v>
      </c>
      <c r="F737">
        <v>0.14549999999999999</v>
      </c>
      <c r="G737">
        <v>5.9499999999999997E-2</v>
      </c>
      <c r="H737">
        <v>3.0499999999999999E-2</v>
      </c>
      <c r="I737">
        <v>0.05</v>
      </c>
      <c r="J737">
        <v>6</v>
      </c>
      <c r="K737">
        <v>5</v>
      </c>
      <c r="L737" t="s">
        <v>67</v>
      </c>
      <c r="M737" t="s">
        <v>68</v>
      </c>
      <c r="N737" t="s">
        <v>69</v>
      </c>
      <c r="O737">
        <v>1</v>
      </c>
      <c r="P737" t="s">
        <v>4</v>
      </c>
      <c r="Q737">
        <v>22.1</v>
      </c>
    </row>
    <row r="738" spans="1:17">
      <c r="A738">
        <v>300</v>
      </c>
      <c r="B738" t="s">
        <v>76</v>
      </c>
      <c r="C738">
        <v>0.37</v>
      </c>
      <c r="D738">
        <v>0.28000000000000003</v>
      </c>
      <c r="E738">
        <v>0.105</v>
      </c>
      <c r="F738">
        <v>0.23400000000000001</v>
      </c>
      <c r="G738">
        <v>9.0499999999999997E-2</v>
      </c>
      <c r="H738">
        <v>5.8500000000000003E-2</v>
      </c>
      <c r="I738">
        <v>7.4999999999999997E-2</v>
      </c>
      <c r="J738">
        <v>9</v>
      </c>
      <c r="K738">
        <v>9</v>
      </c>
      <c r="L738" t="s">
        <v>34</v>
      </c>
      <c r="M738" t="s">
        <v>35</v>
      </c>
      <c r="N738" t="s">
        <v>36</v>
      </c>
      <c r="O738">
        <v>9</v>
      </c>
      <c r="P738" t="s">
        <v>9</v>
      </c>
      <c r="Q738">
        <v>1.9</v>
      </c>
    </row>
    <row r="739" spans="1:17">
      <c r="A739">
        <v>3019</v>
      </c>
      <c r="B739" t="s">
        <v>76</v>
      </c>
      <c r="C739">
        <v>0.44</v>
      </c>
      <c r="D739">
        <v>0.32</v>
      </c>
      <c r="E739">
        <v>0.105</v>
      </c>
      <c r="F739">
        <v>0.38750000000000001</v>
      </c>
      <c r="G739">
        <v>0.17549999999999999</v>
      </c>
      <c r="H739">
        <v>7.3999999999999996E-2</v>
      </c>
      <c r="I739">
        <v>0.12</v>
      </c>
      <c r="J739">
        <v>9</v>
      </c>
      <c r="K739">
        <v>1</v>
      </c>
      <c r="L739" t="s">
        <v>70</v>
      </c>
      <c r="M739" t="s">
        <v>71</v>
      </c>
      <c r="N739" t="s">
        <v>45</v>
      </c>
      <c r="O739">
        <v>3</v>
      </c>
      <c r="P739" t="s">
        <v>10</v>
      </c>
      <c r="Q739">
        <v>3.6</v>
      </c>
    </row>
    <row r="740" spans="1:17">
      <c r="A740">
        <v>2225</v>
      </c>
      <c r="B740" t="s">
        <v>76</v>
      </c>
      <c r="C740">
        <v>0.55000000000000004</v>
      </c>
      <c r="D740">
        <v>0.42499999999999999</v>
      </c>
      <c r="E740">
        <v>0.14499999999999999</v>
      </c>
      <c r="F740">
        <v>0.79700000000000004</v>
      </c>
      <c r="G740">
        <v>0.29699999999999999</v>
      </c>
      <c r="H740">
        <v>0.15</v>
      </c>
      <c r="I740">
        <v>0.26500000000000001</v>
      </c>
      <c r="J740">
        <v>9</v>
      </c>
      <c r="K740">
        <v>5</v>
      </c>
      <c r="L740" t="s">
        <v>67</v>
      </c>
      <c r="M740" t="s">
        <v>68</v>
      </c>
      <c r="N740" t="s">
        <v>69</v>
      </c>
      <c r="O740">
        <v>2</v>
      </c>
      <c r="P740" t="s">
        <v>5</v>
      </c>
      <c r="Q740">
        <v>18</v>
      </c>
    </row>
    <row r="741" spans="1:17">
      <c r="A741">
        <v>3491</v>
      </c>
      <c r="B741" t="s">
        <v>76</v>
      </c>
      <c r="C741">
        <v>0.53500000000000003</v>
      </c>
      <c r="D741">
        <v>0.42</v>
      </c>
      <c r="E741">
        <v>0.16</v>
      </c>
      <c r="F741">
        <v>0.74650000000000005</v>
      </c>
      <c r="G741">
        <v>0.34799999999999998</v>
      </c>
      <c r="H741">
        <v>0.1515</v>
      </c>
      <c r="I741">
        <v>0.2185</v>
      </c>
      <c r="J741">
        <v>10</v>
      </c>
      <c r="K741">
        <v>10</v>
      </c>
      <c r="L741" t="s">
        <v>37</v>
      </c>
      <c r="M741" t="s">
        <v>38</v>
      </c>
      <c r="N741" t="s">
        <v>39</v>
      </c>
      <c r="O741">
        <v>2</v>
      </c>
      <c r="P741" t="s">
        <v>5</v>
      </c>
      <c r="Q741">
        <v>18</v>
      </c>
    </row>
    <row r="742" spans="1:17">
      <c r="A742">
        <v>1243</v>
      </c>
      <c r="B742" t="s">
        <v>76</v>
      </c>
      <c r="C742">
        <v>0.38500000000000001</v>
      </c>
      <c r="D742">
        <v>0.28999999999999998</v>
      </c>
      <c r="E742">
        <v>0.09</v>
      </c>
      <c r="F742">
        <v>0.26150000000000001</v>
      </c>
      <c r="G742">
        <v>0.111</v>
      </c>
      <c r="H742">
        <v>5.9499999999999997E-2</v>
      </c>
      <c r="I742">
        <v>7.4499999999999997E-2</v>
      </c>
      <c r="J742">
        <v>9</v>
      </c>
      <c r="K742">
        <v>8</v>
      </c>
      <c r="L742" t="s">
        <v>55</v>
      </c>
      <c r="M742" t="s">
        <v>56</v>
      </c>
      <c r="N742" t="s">
        <v>57</v>
      </c>
      <c r="O742">
        <v>10</v>
      </c>
      <c r="P742" t="s">
        <v>11</v>
      </c>
      <c r="Q742">
        <v>24.1</v>
      </c>
    </row>
    <row r="743" spans="1:17">
      <c r="A743">
        <v>2940</v>
      </c>
      <c r="B743" t="s">
        <v>76</v>
      </c>
      <c r="C743">
        <v>0.625</v>
      </c>
      <c r="D743">
        <v>0.49</v>
      </c>
      <c r="E743">
        <v>0.14499999999999999</v>
      </c>
      <c r="F743">
        <v>0.92</v>
      </c>
      <c r="G743">
        <v>0.437</v>
      </c>
      <c r="H743">
        <v>0.17349999999999999</v>
      </c>
      <c r="I743">
        <v>0.28000000000000003</v>
      </c>
      <c r="J743">
        <v>10</v>
      </c>
      <c r="K743">
        <v>7</v>
      </c>
      <c r="L743" t="s">
        <v>62</v>
      </c>
      <c r="M743" t="s">
        <v>63</v>
      </c>
      <c r="N743" t="s">
        <v>64</v>
      </c>
      <c r="O743">
        <v>1</v>
      </c>
      <c r="P743" t="s">
        <v>4</v>
      </c>
      <c r="Q743">
        <v>22.1</v>
      </c>
    </row>
    <row r="744" spans="1:17">
      <c r="A744">
        <v>304</v>
      </c>
      <c r="B744" t="s">
        <v>76</v>
      </c>
      <c r="C744">
        <v>0.36</v>
      </c>
      <c r="D744">
        <v>0.27</v>
      </c>
      <c r="E744">
        <v>0.1</v>
      </c>
      <c r="F744">
        <v>0.217</v>
      </c>
      <c r="G744">
        <v>8.8499999999999995E-2</v>
      </c>
      <c r="H744">
        <v>4.9500000000000002E-2</v>
      </c>
      <c r="I744">
        <v>7.1499999999999994E-2</v>
      </c>
      <c r="J744">
        <v>6</v>
      </c>
      <c r="K744">
        <v>7</v>
      </c>
      <c r="L744" t="s">
        <v>62</v>
      </c>
      <c r="M744" t="s">
        <v>63</v>
      </c>
      <c r="N744" t="s">
        <v>64</v>
      </c>
      <c r="O744">
        <v>5</v>
      </c>
      <c r="P744" t="s">
        <v>12</v>
      </c>
      <c r="Q744">
        <v>12.8</v>
      </c>
    </row>
    <row r="745" spans="1:17">
      <c r="A745">
        <v>3316</v>
      </c>
      <c r="B745" t="s">
        <v>76</v>
      </c>
      <c r="C745">
        <v>0.35</v>
      </c>
      <c r="D745">
        <v>0.26</v>
      </c>
      <c r="E745">
        <v>0.09</v>
      </c>
      <c r="F745">
        <v>0.19500000000000001</v>
      </c>
      <c r="G745">
        <v>7.4499999999999997E-2</v>
      </c>
      <c r="H745">
        <v>4.1000000000000002E-2</v>
      </c>
      <c r="I745">
        <v>6.5500000000000003E-2</v>
      </c>
      <c r="J745">
        <v>9</v>
      </c>
      <c r="K745">
        <v>10</v>
      </c>
      <c r="L745" t="s">
        <v>37</v>
      </c>
      <c r="M745" t="s">
        <v>38</v>
      </c>
      <c r="N745" t="s">
        <v>39</v>
      </c>
      <c r="O745">
        <v>10</v>
      </c>
      <c r="P745" t="s">
        <v>11</v>
      </c>
      <c r="Q745">
        <v>24.1</v>
      </c>
    </row>
    <row r="746" spans="1:17">
      <c r="A746">
        <v>3869</v>
      </c>
      <c r="B746" t="s">
        <v>76</v>
      </c>
      <c r="C746">
        <v>0.44</v>
      </c>
      <c r="D746">
        <v>0.34</v>
      </c>
      <c r="E746">
        <v>0.13500000000000001</v>
      </c>
      <c r="F746">
        <v>0.39750000000000002</v>
      </c>
      <c r="G746">
        <v>0.15049999999999999</v>
      </c>
      <c r="H746">
        <v>9.4500000000000001E-2</v>
      </c>
      <c r="I746">
        <v>0.13500000000000001</v>
      </c>
      <c r="J746">
        <v>8</v>
      </c>
      <c r="K746">
        <v>4</v>
      </c>
      <c r="L746" t="s">
        <v>40</v>
      </c>
      <c r="M746" t="s">
        <v>41</v>
      </c>
      <c r="N746" t="s">
        <v>42</v>
      </c>
      <c r="O746">
        <v>8</v>
      </c>
      <c r="P746" t="s">
        <v>13</v>
      </c>
      <c r="Q746">
        <v>12.3</v>
      </c>
    </row>
    <row r="747" spans="1:17">
      <c r="A747">
        <v>818</v>
      </c>
      <c r="B747" t="s">
        <v>76</v>
      </c>
      <c r="C747">
        <v>0.35</v>
      </c>
      <c r="D747">
        <v>0.27</v>
      </c>
      <c r="E747">
        <v>0.09</v>
      </c>
      <c r="F747">
        <v>0.20549999999999999</v>
      </c>
      <c r="G747">
        <v>7.4999999999999997E-2</v>
      </c>
      <c r="H747">
        <v>5.7500000000000002E-2</v>
      </c>
      <c r="I747">
        <v>6.2E-2</v>
      </c>
      <c r="J747">
        <v>6</v>
      </c>
      <c r="K747">
        <v>7</v>
      </c>
      <c r="L747" t="s">
        <v>62</v>
      </c>
      <c r="M747" t="s">
        <v>63</v>
      </c>
      <c r="N747" t="s">
        <v>64</v>
      </c>
      <c r="O747">
        <v>1</v>
      </c>
      <c r="P747" t="s">
        <v>4</v>
      </c>
      <c r="Q747">
        <v>22.1</v>
      </c>
    </row>
    <row r="748" spans="1:17">
      <c r="A748">
        <v>3668</v>
      </c>
      <c r="B748" t="s">
        <v>76</v>
      </c>
      <c r="C748">
        <v>0.58499999999999996</v>
      </c>
      <c r="D748">
        <v>0.42</v>
      </c>
      <c r="E748">
        <v>0.155</v>
      </c>
      <c r="F748">
        <v>1.034</v>
      </c>
      <c r="G748">
        <v>0.437</v>
      </c>
      <c r="H748">
        <v>0.2225</v>
      </c>
      <c r="I748">
        <v>0.32</v>
      </c>
      <c r="J748">
        <v>11</v>
      </c>
      <c r="K748">
        <v>15</v>
      </c>
      <c r="L748" t="s">
        <v>60</v>
      </c>
      <c r="M748" t="s">
        <v>61</v>
      </c>
      <c r="N748" t="s">
        <v>45</v>
      </c>
      <c r="O748">
        <v>3</v>
      </c>
      <c r="P748" t="s">
        <v>10</v>
      </c>
      <c r="Q748">
        <v>3.6</v>
      </c>
    </row>
    <row r="749" spans="1:17">
      <c r="A749">
        <v>3728</v>
      </c>
      <c r="B749" t="s">
        <v>76</v>
      </c>
      <c r="C749">
        <v>0.505</v>
      </c>
      <c r="D749">
        <v>0.4</v>
      </c>
      <c r="E749">
        <v>0.15</v>
      </c>
      <c r="F749">
        <v>0.77500000000000002</v>
      </c>
      <c r="G749">
        <v>0.34449999999999997</v>
      </c>
      <c r="H749">
        <v>0.157</v>
      </c>
      <c r="I749">
        <v>0.185</v>
      </c>
      <c r="J749">
        <v>7</v>
      </c>
      <c r="K749">
        <v>13</v>
      </c>
      <c r="L749" t="s">
        <v>43</v>
      </c>
      <c r="M749" t="s">
        <v>44</v>
      </c>
      <c r="N749" t="s">
        <v>45</v>
      </c>
      <c r="O749">
        <v>6</v>
      </c>
      <c r="P749" t="s">
        <v>7</v>
      </c>
      <c r="Q749">
        <v>14.1</v>
      </c>
    </row>
    <row r="750" spans="1:17">
      <c r="A750">
        <v>1157</v>
      </c>
      <c r="B750" t="s">
        <v>76</v>
      </c>
      <c r="C750">
        <v>0.6</v>
      </c>
      <c r="D750">
        <v>0.46500000000000002</v>
      </c>
      <c r="E750">
        <v>0.155</v>
      </c>
      <c r="F750">
        <v>1.0165</v>
      </c>
      <c r="G750">
        <v>0.51200000000000001</v>
      </c>
      <c r="H750">
        <v>0.2465</v>
      </c>
      <c r="I750">
        <v>0.22500000000000001</v>
      </c>
      <c r="J750">
        <v>10</v>
      </c>
      <c r="K750">
        <v>5</v>
      </c>
      <c r="L750" t="s">
        <v>67</v>
      </c>
      <c r="M750" t="s">
        <v>68</v>
      </c>
      <c r="N750" t="s">
        <v>69</v>
      </c>
      <c r="O750">
        <v>7</v>
      </c>
      <c r="P750" t="s">
        <v>6</v>
      </c>
      <c r="Q750">
        <v>2.5</v>
      </c>
    </row>
    <row r="751" spans="1:17">
      <c r="A751">
        <v>3784</v>
      </c>
      <c r="B751" t="s">
        <v>76</v>
      </c>
      <c r="C751">
        <v>0.62</v>
      </c>
      <c r="D751">
        <v>0.48</v>
      </c>
      <c r="E751">
        <v>0.18</v>
      </c>
      <c r="F751">
        <v>1.1305000000000001</v>
      </c>
      <c r="G751">
        <v>0.52849999999999997</v>
      </c>
      <c r="H751">
        <v>0.26550000000000001</v>
      </c>
      <c r="I751">
        <v>0.30599999999999999</v>
      </c>
      <c r="J751">
        <v>12</v>
      </c>
      <c r="K751">
        <v>14</v>
      </c>
      <c r="L751" t="s">
        <v>72</v>
      </c>
      <c r="M751" t="s">
        <v>73</v>
      </c>
      <c r="N751" t="s">
        <v>74</v>
      </c>
      <c r="O751">
        <v>9</v>
      </c>
      <c r="P751" t="s">
        <v>9</v>
      </c>
      <c r="Q751">
        <v>1.9</v>
      </c>
    </row>
    <row r="752" spans="1:17">
      <c r="A752">
        <v>641</v>
      </c>
      <c r="B752" t="s">
        <v>76</v>
      </c>
      <c r="C752">
        <v>0.32500000000000001</v>
      </c>
      <c r="D752">
        <v>0.24</v>
      </c>
      <c r="E752">
        <v>8.5000000000000006E-2</v>
      </c>
      <c r="F752">
        <v>0.17299999999999999</v>
      </c>
      <c r="G752">
        <v>7.9500000000000001E-2</v>
      </c>
      <c r="H752">
        <v>3.7999999999999999E-2</v>
      </c>
      <c r="I752">
        <v>0.05</v>
      </c>
      <c r="J752">
        <v>7</v>
      </c>
      <c r="K752">
        <v>14</v>
      </c>
      <c r="L752" t="s">
        <v>72</v>
      </c>
      <c r="M752" t="s">
        <v>73</v>
      </c>
      <c r="N752" t="s">
        <v>74</v>
      </c>
      <c r="O752">
        <v>7</v>
      </c>
      <c r="P752" t="s">
        <v>6</v>
      </c>
      <c r="Q752">
        <v>2.5</v>
      </c>
    </row>
    <row r="753" spans="1:17">
      <c r="A753">
        <v>1255</v>
      </c>
      <c r="B753" t="s">
        <v>76</v>
      </c>
      <c r="C753">
        <v>0.42499999999999999</v>
      </c>
      <c r="D753">
        <v>0.32500000000000001</v>
      </c>
      <c r="E753">
        <v>0.11</v>
      </c>
      <c r="F753">
        <v>0.33350000000000002</v>
      </c>
      <c r="G753">
        <v>0.17299999999999999</v>
      </c>
      <c r="H753">
        <v>4.4999999999999998E-2</v>
      </c>
      <c r="I753">
        <v>0.1</v>
      </c>
      <c r="J753">
        <v>7</v>
      </c>
      <c r="K753">
        <v>14</v>
      </c>
      <c r="L753" t="s">
        <v>72</v>
      </c>
      <c r="M753" t="s">
        <v>73</v>
      </c>
      <c r="N753" t="s">
        <v>74</v>
      </c>
      <c r="O753">
        <v>8</v>
      </c>
      <c r="P753" t="s">
        <v>13</v>
      </c>
      <c r="Q753">
        <v>12.3</v>
      </c>
    </row>
    <row r="754" spans="1:17">
      <c r="A754">
        <v>132</v>
      </c>
      <c r="B754" t="s">
        <v>76</v>
      </c>
      <c r="C754">
        <v>0.44</v>
      </c>
      <c r="D754">
        <v>0.35</v>
      </c>
      <c r="E754">
        <v>0.125</v>
      </c>
      <c r="F754">
        <v>0.40350000000000003</v>
      </c>
      <c r="G754">
        <v>0.17499999999999999</v>
      </c>
      <c r="H754">
        <v>6.3E-2</v>
      </c>
      <c r="I754">
        <v>0.129</v>
      </c>
      <c r="J754">
        <v>9</v>
      </c>
      <c r="K754">
        <v>8</v>
      </c>
      <c r="L754" t="s">
        <v>55</v>
      </c>
      <c r="M754" t="s">
        <v>56</v>
      </c>
      <c r="N754" t="s">
        <v>57</v>
      </c>
      <c r="O754">
        <v>8</v>
      </c>
      <c r="P754" t="s">
        <v>13</v>
      </c>
      <c r="Q754">
        <v>12.3</v>
      </c>
    </row>
    <row r="755" spans="1:17">
      <c r="A755">
        <v>1942</v>
      </c>
      <c r="B755" t="s">
        <v>76</v>
      </c>
      <c r="C755">
        <v>0.625</v>
      </c>
      <c r="D755">
        <v>0.47</v>
      </c>
      <c r="E755">
        <v>0.14499999999999999</v>
      </c>
      <c r="F755">
        <v>0.98399999999999999</v>
      </c>
      <c r="G755">
        <v>0.47499999999999998</v>
      </c>
      <c r="H755">
        <v>0.2</v>
      </c>
      <c r="I755">
        <v>0.26500000000000001</v>
      </c>
      <c r="J755">
        <v>11</v>
      </c>
      <c r="K755">
        <v>7</v>
      </c>
      <c r="L755" t="s">
        <v>62</v>
      </c>
      <c r="M755" t="s">
        <v>63</v>
      </c>
      <c r="N755" t="s">
        <v>64</v>
      </c>
      <c r="O755">
        <v>6</v>
      </c>
      <c r="P755" t="s">
        <v>7</v>
      </c>
      <c r="Q755">
        <v>14.1</v>
      </c>
    </row>
    <row r="756" spans="1:17">
      <c r="A756">
        <v>501</v>
      </c>
      <c r="B756" t="s">
        <v>76</v>
      </c>
      <c r="C756">
        <v>0.57999999999999996</v>
      </c>
      <c r="D756">
        <v>0.44</v>
      </c>
      <c r="E756">
        <v>0.18</v>
      </c>
      <c r="F756">
        <v>0.85399999999999998</v>
      </c>
      <c r="G756">
        <v>0.36649999999999999</v>
      </c>
      <c r="H756">
        <v>0.16350000000000001</v>
      </c>
      <c r="I756">
        <v>0.245</v>
      </c>
      <c r="J756">
        <v>12</v>
      </c>
      <c r="K756">
        <v>3</v>
      </c>
      <c r="L756" t="s">
        <v>52</v>
      </c>
      <c r="M756" t="s">
        <v>53</v>
      </c>
      <c r="N756" t="s">
        <v>54</v>
      </c>
      <c r="O756">
        <v>2</v>
      </c>
      <c r="P756" t="s">
        <v>5</v>
      </c>
      <c r="Q756">
        <v>18</v>
      </c>
    </row>
    <row r="757" spans="1:17">
      <c r="A757">
        <v>223</v>
      </c>
      <c r="B757" t="s">
        <v>76</v>
      </c>
      <c r="C757">
        <v>0.49</v>
      </c>
      <c r="D757">
        <v>0.375</v>
      </c>
      <c r="E757">
        <v>0.15</v>
      </c>
      <c r="F757">
        <v>0.57550000000000001</v>
      </c>
      <c r="G757">
        <v>0.22</v>
      </c>
      <c r="H757">
        <v>0.14399999999999999</v>
      </c>
      <c r="I757">
        <v>0.19</v>
      </c>
      <c r="J757">
        <v>9</v>
      </c>
      <c r="K757">
        <v>12</v>
      </c>
      <c r="L757" t="s">
        <v>58</v>
      </c>
      <c r="M757" t="s">
        <v>59</v>
      </c>
      <c r="N757" t="s">
        <v>45</v>
      </c>
      <c r="O757">
        <v>8</v>
      </c>
      <c r="P757" t="s">
        <v>13</v>
      </c>
      <c r="Q757">
        <v>12.3</v>
      </c>
    </row>
    <row r="758" spans="1:17">
      <c r="A758">
        <v>1152</v>
      </c>
      <c r="B758" t="s">
        <v>76</v>
      </c>
      <c r="C758">
        <v>0.58499999999999996</v>
      </c>
      <c r="D758">
        <v>0.46500000000000002</v>
      </c>
      <c r="E758">
        <v>0.16</v>
      </c>
      <c r="F758">
        <v>0.95550000000000002</v>
      </c>
      <c r="G758">
        <v>0.45950000000000002</v>
      </c>
      <c r="H758">
        <v>0.23599999999999999</v>
      </c>
      <c r="I758">
        <v>0.26500000000000001</v>
      </c>
      <c r="J758">
        <v>7</v>
      </c>
      <c r="K758">
        <v>5</v>
      </c>
      <c r="L758" t="s">
        <v>67</v>
      </c>
      <c r="M758" t="s">
        <v>68</v>
      </c>
      <c r="N758" t="s">
        <v>69</v>
      </c>
      <c r="O758">
        <v>8</v>
      </c>
      <c r="P758" t="s">
        <v>13</v>
      </c>
      <c r="Q758">
        <v>12.3</v>
      </c>
    </row>
    <row r="759" spans="1:17">
      <c r="A759">
        <v>2912</v>
      </c>
      <c r="B759" t="s">
        <v>76</v>
      </c>
      <c r="C759">
        <v>0.57999999999999996</v>
      </c>
      <c r="D759">
        <v>0.44</v>
      </c>
      <c r="E759">
        <v>0.125</v>
      </c>
      <c r="F759">
        <v>0.78549999999999998</v>
      </c>
      <c r="G759">
        <v>0.36299999999999999</v>
      </c>
      <c r="H759">
        <v>0.19550000000000001</v>
      </c>
      <c r="I759">
        <v>0.19500000000000001</v>
      </c>
      <c r="J759">
        <v>11</v>
      </c>
      <c r="K759">
        <v>10</v>
      </c>
      <c r="L759" t="s">
        <v>37</v>
      </c>
      <c r="M759" t="s">
        <v>38</v>
      </c>
      <c r="N759" t="s">
        <v>39</v>
      </c>
      <c r="O759">
        <v>9</v>
      </c>
      <c r="P759" t="s">
        <v>9</v>
      </c>
      <c r="Q759">
        <v>1.9</v>
      </c>
    </row>
    <row r="760" spans="1:17">
      <c r="A760">
        <v>3673</v>
      </c>
      <c r="B760" t="s">
        <v>76</v>
      </c>
      <c r="C760">
        <v>0.59499999999999997</v>
      </c>
      <c r="D760">
        <v>0.44</v>
      </c>
      <c r="E760">
        <v>0.13500000000000001</v>
      </c>
      <c r="F760">
        <v>0.96399999999999997</v>
      </c>
      <c r="G760">
        <v>0.50049999999999994</v>
      </c>
      <c r="H760">
        <v>0.17150000000000001</v>
      </c>
      <c r="I760">
        <v>0.25750000000000001</v>
      </c>
      <c r="J760">
        <v>10</v>
      </c>
      <c r="K760">
        <v>10</v>
      </c>
      <c r="L760" t="s">
        <v>37</v>
      </c>
      <c r="M760" t="s">
        <v>38</v>
      </c>
      <c r="N760" t="s">
        <v>39</v>
      </c>
      <c r="O760">
        <v>3</v>
      </c>
      <c r="P760" t="s">
        <v>10</v>
      </c>
      <c r="Q760">
        <v>3.6</v>
      </c>
    </row>
    <row r="761" spans="1:17">
      <c r="A761">
        <v>1990</v>
      </c>
      <c r="B761" t="s">
        <v>76</v>
      </c>
      <c r="C761">
        <v>0.28000000000000003</v>
      </c>
      <c r="D761">
        <v>0.21</v>
      </c>
      <c r="E761">
        <v>7.4999999999999997E-2</v>
      </c>
      <c r="F761">
        <v>0.1195</v>
      </c>
      <c r="G761">
        <v>5.2999999999999999E-2</v>
      </c>
      <c r="H761">
        <v>2.6499999999999999E-2</v>
      </c>
      <c r="I761">
        <v>0.03</v>
      </c>
      <c r="J761">
        <v>6</v>
      </c>
      <c r="K761">
        <v>2</v>
      </c>
      <c r="L761" t="s">
        <v>49</v>
      </c>
      <c r="M761" t="s">
        <v>50</v>
      </c>
      <c r="N761" t="s">
        <v>51</v>
      </c>
      <c r="O761">
        <v>6</v>
      </c>
      <c r="P761" t="s">
        <v>7</v>
      </c>
      <c r="Q761">
        <v>14.1</v>
      </c>
    </row>
    <row r="762" spans="1:17">
      <c r="A762">
        <v>2342</v>
      </c>
      <c r="B762" t="s">
        <v>76</v>
      </c>
      <c r="C762">
        <v>0.31</v>
      </c>
      <c r="D762">
        <v>0.24</v>
      </c>
      <c r="E762">
        <v>0.09</v>
      </c>
      <c r="F762">
        <v>0.14549999999999999</v>
      </c>
      <c r="G762">
        <v>6.0499999999999998E-2</v>
      </c>
      <c r="H762">
        <v>3.15E-2</v>
      </c>
      <c r="I762">
        <v>4.4999999999999998E-2</v>
      </c>
      <c r="J762">
        <v>7</v>
      </c>
      <c r="K762">
        <v>15</v>
      </c>
      <c r="L762" t="s">
        <v>60</v>
      </c>
      <c r="M762" t="s">
        <v>61</v>
      </c>
      <c r="N762" t="s">
        <v>45</v>
      </c>
      <c r="O762">
        <v>3</v>
      </c>
      <c r="P762" t="s">
        <v>10</v>
      </c>
      <c r="Q762">
        <v>3.6</v>
      </c>
    </row>
    <row r="763" spans="1:17">
      <c r="A763">
        <v>2739</v>
      </c>
      <c r="B763" t="s">
        <v>76</v>
      </c>
      <c r="C763">
        <v>0.45</v>
      </c>
      <c r="D763">
        <v>0.32500000000000001</v>
      </c>
      <c r="E763">
        <v>0.115</v>
      </c>
      <c r="F763">
        <v>0.43049999999999999</v>
      </c>
      <c r="G763">
        <v>0.2235</v>
      </c>
      <c r="H763">
        <v>7.85E-2</v>
      </c>
      <c r="I763">
        <v>0.11550000000000001</v>
      </c>
      <c r="J763">
        <v>8</v>
      </c>
      <c r="K763">
        <v>1</v>
      </c>
      <c r="L763" t="s">
        <v>70</v>
      </c>
      <c r="M763" t="s">
        <v>71</v>
      </c>
      <c r="N763" t="s">
        <v>45</v>
      </c>
      <c r="O763">
        <v>2</v>
      </c>
      <c r="P763" t="s">
        <v>5</v>
      </c>
      <c r="Q763">
        <v>18</v>
      </c>
    </row>
    <row r="764" spans="1:17">
      <c r="A764">
        <v>2347</v>
      </c>
      <c r="B764" t="s">
        <v>76</v>
      </c>
      <c r="C764">
        <v>0.56000000000000005</v>
      </c>
      <c r="D764">
        <v>0.43</v>
      </c>
      <c r="E764">
        <v>0.125</v>
      </c>
      <c r="F764">
        <v>0.80249999999999999</v>
      </c>
      <c r="G764">
        <v>0.313</v>
      </c>
      <c r="H764">
        <v>0.17150000000000001</v>
      </c>
      <c r="I764">
        <v>0.26300000000000001</v>
      </c>
      <c r="J764">
        <v>13</v>
      </c>
      <c r="K764">
        <v>9</v>
      </c>
      <c r="L764" t="s">
        <v>34</v>
      </c>
      <c r="M764" t="s">
        <v>35</v>
      </c>
      <c r="N764" t="s">
        <v>36</v>
      </c>
      <c r="O764">
        <v>10</v>
      </c>
      <c r="P764" t="s">
        <v>11</v>
      </c>
      <c r="Q764">
        <v>24.1</v>
      </c>
    </row>
    <row r="765" spans="1:17">
      <c r="A765">
        <v>3966</v>
      </c>
      <c r="B765" t="s">
        <v>76</v>
      </c>
      <c r="C765">
        <v>0.29499999999999998</v>
      </c>
      <c r="D765">
        <v>0.22</v>
      </c>
      <c r="E765">
        <v>7.0000000000000007E-2</v>
      </c>
      <c r="F765">
        <v>0.13650000000000001</v>
      </c>
      <c r="G765">
        <v>5.7500000000000002E-2</v>
      </c>
      <c r="H765">
        <v>2.9499999999999998E-2</v>
      </c>
      <c r="I765">
        <v>3.5000000000000003E-2</v>
      </c>
      <c r="J765">
        <v>6</v>
      </c>
      <c r="K765">
        <v>13</v>
      </c>
      <c r="L765" t="s">
        <v>43</v>
      </c>
      <c r="M765" t="s">
        <v>44</v>
      </c>
      <c r="N765" t="s">
        <v>45</v>
      </c>
      <c r="O765">
        <v>4</v>
      </c>
      <c r="P765" t="s">
        <v>8</v>
      </c>
      <c r="Q765">
        <v>6.1</v>
      </c>
    </row>
    <row r="766" spans="1:17">
      <c r="A766">
        <v>738</v>
      </c>
      <c r="B766" t="s">
        <v>76</v>
      </c>
      <c r="C766">
        <v>0.52</v>
      </c>
      <c r="D766">
        <v>0.40500000000000003</v>
      </c>
      <c r="E766">
        <v>0.125</v>
      </c>
      <c r="F766">
        <v>0.64349999999999996</v>
      </c>
      <c r="G766">
        <v>0.24149999999999999</v>
      </c>
      <c r="H766">
        <v>0.17349999999999999</v>
      </c>
      <c r="I766">
        <v>0.21</v>
      </c>
      <c r="J766">
        <v>12</v>
      </c>
      <c r="K766">
        <v>8</v>
      </c>
      <c r="L766" t="s">
        <v>55</v>
      </c>
      <c r="M766" t="s">
        <v>56</v>
      </c>
      <c r="N766" t="s">
        <v>57</v>
      </c>
      <c r="O766">
        <v>6</v>
      </c>
      <c r="P766" t="s">
        <v>7</v>
      </c>
      <c r="Q766">
        <v>14.1</v>
      </c>
    </row>
    <row r="767" spans="1:17">
      <c r="A767">
        <v>437</v>
      </c>
      <c r="B767" t="s">
        <v>76</v>
      </c>
      <c r="C767">
        <v>0.36</v>
      </c>
      <c r="D767">
        <v>0.27500000000000002</v>
      </c>
      <c r="E767">
        <v>9.5000000000000001E-2</v>
      </c>
      <c r="F767">
        <v>0.217</v>
      </c>
      <c r="G767">
        <v>8.4000000000000005E-2</v>
      </c>
      <c r="H767">
        <v>4.3499999999999997E-2</v>
      </c>
      <c r="I767">
        <v>0.09</v>
      </c>
      <c r="J767">
        <v>7</v>
      </c>
      <c r="K767">
        <v>15</v>
      </c>
      <c r="L767" t="s">
        <v>60</v>
      </c>
      <c r="M767" t="s">
        <v>61</v>
      </c>
      <c r="N767" t="s">
        <v>45</v>
      </c>
      <c r="O767">
        <v>2</v>
      </c>
      <c r="P767" t="s">
        <v>5</v>
      </c>
      <c r="Q767">
        <v>18</v>
      </c>
    </row>
    <row r="768" spans="1:17">
      <c r="A768">
        <v>150</v>
      </c>
      <c r="B768" t="s">
        <v>76</v>
      </c>
      <c r="C768">
        <v>0.17</v>
      </c>
      <c r="D768">
        <v>0.13</v>
      </c>
      <c r="E768">
        <v>9.5000000000000001E-2</v>
      </c>
      <c r="F768">
        <v>0.03</v>
      </c>
      <c r="G768">
        <v>1.2999999999999999E-2</v>
      </c>
      <c r="H768">
        <v>8.0000000000000002E-3</v>
      </c>
      <c r="I768">
        <v>0.01</v>
      </c>
      <c r="J768">
        <v>4</v>
      </c>
      <c r="K768">
        <v>7</v>
      </c>
      <c r="L768" t="s">
        <v>62</v>
      </c>
      <c r="M768" t="s">
        <v>63</v>
      </c>
      <c r="N768" t="s">
        <v>64</v>
      </c>
      <c r="O768">
        <v>6</v>
      </c>
      <c r="P768" t="s">
        <v>7</v>
      </c>
      <c r="Q768">
        <v>14.1</v>
      </c>
    </row>
    <row r="769" spans="1:17">
      <c r="A769">
        <v>2660</v>
      </c>
      <c r="B769" t="s">
        <v>76</v>
      </c>
      <c r="C769">
        <v>0.55000000000000004</v>
      </c>
      <c r="D769">
        <v>0.44</v>
      </c>
      <c r="E769">
        <v>0.13500000000000001</v>
      </c>
      <c r="F769">
        <v>0.84350000000000003</v>
      </c>
      <c r="G769">
        <v>0.434</v>
      </c>
      <c r="H769">
        <v>0.19950000000000001</v>
      </c>
      <c r="I769">
        <v>0.185</v>
      </c>
      <c r="J769">
        <v>8</v>
      </c>
      <c r="K769">
        <v>14</v>
      </c>
      <c r="L769" t="s">
        <v>72</v>
      </c>
      <c r="M769" t="s">
        <v>73</v>
      </c>
      <c r="N769" t="s">
        <v>74</v>
      </c>
      <c r="O769">
        <v>7</v>
      </c>
      <c r="P769" t="s">
        <v>6</v>
      </c>
      <c r="Q769">
        <v>2.5</v>
      </c>
    </row>
    <row r="770" spans="1:17">
      <c r="A770">
        <v>2934</v>
      </c>
      <c r="B770" t="s">
        <v>76</v>
      </c>
      <c r="C770">
        <v>0.61499999999999999</v>
      </c>
      <c r="D770">
        <v>0.495</v>
      </c>
      <c r="E770">
        <v>0.16500000000000001</v>
      </c>
      <c r="F770">
        <v>1.198</v>
      </c>
      <c r="G770">
        <v>0.54149999999999998</v>
      </c>
      <c r="H770">
        <v>0.28649999999999998</v>
      </c>
      <c r="I770">
        <v>0.31850000000000001</v>
      </c>
      <c r="J770">
        <v>10</v>
      </c>
      <c r="K770">
        <v>6</v>
      </c>
      <c r="L770" t="s">
        <v>46</v>
      </c>
      <c r="M770" t="s">
        <v>47</v>
      </c>
      <c r="N770" t="s">
        <v>48</v>
      </c>
      <c r="O770">
        <v>9</v>
      </c>
      <c r="P770" t="s">
        <v>9</v>
      </c>
      <c r="Q770">
        <v>1.9</v>
      </c>
    </row>
    <row r="771" spans="1:17">
      <c r="A771">
        <v>1256</v>
      </c>
      <c r="B771" t="s">
        <v>76</v>
      </c>
      <c r="C771">
        <v>0.42499999999999999</v>
      </c>
      <c r="D771">
        <v>0.32</v>
      </c>
      <c r="E771">
        <v>0.1</v>
      </c>
      <c r="F771">
        <v>0.30549999999999999</v>
      </c>
      <c r="G771">
        <v>0.126</v>
      </c>
      <c r="H771">
        <v>0.06</v>
      </c>
      <c r="I771">
        <v>0.106</v>
      </c>
      <c r="J771">
        <v>7</v>
      </c>
      <c r="K771">
        <v>4</v>
      </c>
      <c r="L771" t="s">
        <v>40</v>
      </c>
      <c r="M771" t="s">
        <v>41</v>
      </c>
      <c r="N771" t="s">
        <v>42</v>
      </c>
      <c r="O771">
        <v>3</v>
      </c>
      <c r="P771" t="s">
        <v>10</v>
      </c>
      <c r="Q771">
        <v>3.6</v>
      </c>
    </row>
    <row r="772" spans="1:17">
      <c r="A772">
        <v>751</v>
      </c>
      <c r="B772" t="s">
        <v>76</v>
      </c>
      <c r="C772">
        <v>0.51</v>
      </c>
      <c r="D772">
        <v>0.39</v>
      </c>
      <c r="E772">
        <v>0.105</v>
      </c>
      <c r="F772">
        <v>0.61199999999999999</v>
      </c>
      <c r="G772">
        <v>0.187</v>
      </c>
      <c r="H772">
        <v>0.15</v>
      </c>
      <c r="I772">
        <v>0.19500000000000001</v>
      </c>
      <c r="J772">
        <v>13</v>
      </c>
      <c r="K772">
        <v>5</v>
      </c>
      <c r="L772" t="s">
        <v>67</v>
      </c>
      <c r="M772" t="s">
        <v>68</v>
      </c>
      <c r="N772" t="s">
        <v>69</v>
      </c>
      <c r="O772">
        <v>5</v>
      </c>
      <c r="P772" t="s">
        <v>12</v>
      </c>
      <c r="Q772">
        <v>12.8</v>
      </c>
    </row>
    <row r="773" spans="1:17">
      <c r="A773">
        <v>2637</v>
      </c>
      <c r="B773" t="s">
        <v>76</v>
      </c>
      <c r="C773">
        <v>0.44</v>
      </c>
      <c r="D773">
        <v>0.34</v>
      </c>
      <c r="E773">
        <v>0.1</v>
      </c>
      <c r="F773">
        <v>0.40699999999999997</v>
      </c>
      <c r="G773">
        <v>0.20899999999999999</v>
      </c>
      <c r="H773">
        <v>7.3499999999999996E-2</v>
      </c>
      <c r="I773">
        <v>0.10299999999999999</v>
      </c>
      <c r="J773">
        <v>7</v>
      </c>
      <c r="K773">
        <v>6</v>
      </c>
      <c r="L773" t="s">
        <v>46</v>
      </c>
      <c r="M773" t="s">
        <v>47</v>
      </c>
      <c r="N773" t="s">
        <v>48</v>
      </c>
      <c r="O773">
        <v>9</v>
      </c>
      <c r="P773" t="s">
        <v>9</v>
      </c>
      <c r="Q773">
        <v>1.9</v>
      </c>
    </row>
    <row r="774" spans="1:17">
      <c r="A774">
        <v>1373</v>
      </c>
      <c r="B774" t="s">
        <v>76</v>
      </c>
      <c r="C774">
        <v>0.61499999999999999</v>
      </c>
      <c r="D774">
        <v>0.47499999999999998</v>
      </c>
      <c r="E774">
        <v>0.16500000000000001</v>
      </c>
      <c r="F774">
        <v>1.0229999999999999</v>
      </c>
      <c r="G774">
        <v>0.49049999999999999</v>
      </c>
      <c r="H774">
        <v>0.19550000000000001</v>
      </c>
      <c r="I774">
        <v>0.30349999999999999</v>
      </c>
      <c r="J774">
        <v>12</v>
      </c>
      <c r="K774">
        <v>7</v>
      </c>
      <c r="L774" t="s">
        <v>62</v>
      </c>
      <c r="M774" t="s">
        <v>63</v>
      </c>
      <c r="N774" t="s">
        <v>64</v>
      </c>
      <c r="O774">
        <v>2</v>
      </c>
      <c r="P774" t="s">
        <v>5</v>
      </c>
      <c r="Q774">
        <v>18</v>
      </c>
    </row>
    <row r="775" spans="1:17">
      <c r="A775">
        <v>1783</v>
      </c>
      <c r="B775" t="s">
        <v>76</v>
      </c>
      <c r="C775">
        <v>0.52500000000000002</v>
      </c>
      <c r="D775">
        <v>0.36499999999999999</v>
      </c>
      <c r="E775">
        <v>0.17</v>
      </c>
      <c r="F775">
        <v>0.96050000000000002</v>
      </c>
      <c r="G775">
        <v>0.438</v>
      </c>
      <c r="H775">
        <v>0.2225</v>
      </c>
      <c r="I775">
        <v>0.27600000000000002</v>
      </c>
      <c r="J775">
        <v>10</v>
      </c>
      <c r="K775">
        <v>11</v>
      </c>
      <c r="L775" t="s">
        <v>65</v>
      </c>
      <c r="M775" t="s">
        <v>66</v>
      </c>
      <c r="N775" t="s">
        <v>45</v>
      </c>
      <c r="O775">
        <v>5</v>
      </c>
      <c r="P775" t="s">
        <v>12</v>
      </c>
      <c r="Q775">
        <v>12.8</v>
      </c>
    </row>
    <row r="776" spans="1:17">
      <c r="A776">
        <v>2901</v>
      </c>
      <c r="B776" t="s">
        <v>76</v>
      </c>
      <c r="C776">
        <v>0.55000000000000004</v>
      </c>
      <c r="D776">
        <v>0.435</v>
      </c>
      <c r="E776">
        <v>0.14000000000000001</v>
      </c>
      <c r="F776">
        <v>0.745</v>
      </c>
      <c r="G776">
        <v>0.34699999999999998</v>
      </c>
      <c r="H776">
        <v>0.17399999999999999</v>
      </c>
      <c r="I776">
        <v>0.22650000000000001</v>
      </c>
      <c r="J776">
        <v>9</v>
      </c>
      <c r="K776">
        <v>7</v>
      </c>
      <c r="L776" t="s">
        <v>62</v>
      </c>
      <c r="M776" t="s">
        <v>63</v>
      </c>
      <c r="N776" t="s">
        <v>64</v>
      </c>
      <c r="O776">
        <v>5</v>
      </c>
      <c r="P776" t="s">
        <v>12</v>
      </c>
      <c r="Q776">
        <v>12.8</v>
      </c>
    </row>
    <row r="777" spans="1:17">
      <c r="A777">
        <v>256</v>
      </c>
      <c r="B777" t="s">
        <v>76</v>
      </c>
      <c r="C777">
        <v>0.56000000000000005</v>
      </c>
      <c r="D777">
        <v>0.45</v>
      </c>
      <c r="E777">
        <v>0.17499999999999999</v>
      </c>
      <c r="F777">
        <v>1.0109999999999999</v>
      </c>
      <c r="G777">
        <v>0.38350000000000001</v>
      </c>
      <c r="H777">
        <v>0.20649999999999999</v>
      </c>
      <c r="I777">
        <v>0.37</v>
      </c>
      <c r="J777">
        <v>15</v>
      </c>
      <c r="K777">
        <v>12</v>
      </c>
      <c r="L777" t="s">
        <v>58</v>
      </c>
      <c r="M777" t="s">
        <v>59</v>
      </c>
      <c r="N777" t="s">
        <v>45</v>
      </c>
      <c r="O777">
        <v>7</v>
      </c>
      <c r="P777" t="s">
        <v>6</v>
      </c>
      <c r="Q777">
        <v>2.5</v>
      </c>
    </row>
    <row r="778" spans="1:17">
      <c r="A778">
        <v>608</v>
      </c>
      <c r="B778" t="s">
        <v>76</v>
      </c>
      <c r="C778">
        <v>0.48499999999999999</v>
      </c>
      <c r="D778">
        <v>0.37</v>
      </c>
      <c r="E778">
        <v>0.13</v>
      </c>
      <c r="F778">
        <v>0.45800000000000002</v>
      </c>
      <c r="G778">
        <v>0.18099999999999999</v>
      </c>
      <c r="H778">
        <v>0.113</v>
      </c>
      <c r="I778">
        <v>0.13600000000000001</v>
      </c>
      <c r="J778">
        <v>10</v>
      </c>
      <c r="K778">
        <v>13</v>
      </c>
      <c r="L778" t="s">
        <v>43</v>
      </c>
      <c r="M778" t="s">
        <v>44</v>
      </c>
      <c r="N778" t="s">
        <v>45</v>
      </c>
      <c r="O778">
        <v>7</v>
      </c>
      <c r="P778" t="s">
        <v>6</v>
      </c>
      <c r="Q778">
        <v>2.5</v>
      </c>
    </row>
    <row r="779" spans="1:17">
      <c r="A779">
        <v>3413</v>
      </c>
      <c r="B779" t="s">
        <v>76</v>
      </c>
      <c r="C779">
        <v>0.48</v>
      </c>
      <c r="D779">
        <v>0.35499999999999998</v>
      </c>
      <c r="E779">
        <v>0.115</v>
      </c>
      <c r="F779">
        <v>0.57850000000000001</v>
      </c>
      <c r="G779">
        <v>0.25</v>
      </c>
      <c r="H779">
        <v>0.106</v>
      </c>
      <c r="I779">
        <v>0.184</v>
      </c>
      <c r="J779">
        <v>8</v>
      </c>
      <c r="K779">
        <v>9</v>
      </c>
      <c r="L779" t="s">
        <v>34</v>
      </c>
      <c r="M779" t="s">
        <v>35</v>
      </c>
      <c r="N779" t="s">
        <v>36</v>
      </c>
      <c r="O779">
        <v>6</v>
      </c>
      <c r="P779" t="s">
        <v>7</v>
      </c>
      <c r="Q779">
        <v>14.1</v>
      </c>
    </row>
    <row r="780" spans="1:17">
      <c r="A780">
        <v>2143</v>
      </c>
      <c r="B780" t="s">
        <v>76</v>
      </c>
      <c r="C780">
        <v>0.46</v>
      </c>
      <c r="D780">
        <v>0.35</v>
      </c>
      <c r="E780">
        <v>0.11</v>
      </c>
      <c r="F780">
        <v>0.39450000000000002</v>
      </c>
      <c r="G780">
        <v>0.16850000000000001</v>
      </c>
      <c r="H780">
        <v>8.6499999999999994E-2</v>
      </c>
      <c r="I780">
        <v>0.125</v>
      </c>
      <c r="J780">
        <v>9</v>
      </c>
      <c r="K780">
        <v>2</v>
      </c>
      <c r="L780" t="s">
        <v>49</v>
      </c>
      <c r="M780" t="s">
        <v>50</v>
      </c>
      <c r="N780" t="s">
        <v>51</v>
      </c>
      <c r="O780">
        <v>6</v>
      </c>
      <c r="P780" t="s">
        <v>7</v>
      </c>
      <c r="Q780">
        <v>14.1</v>
      </c>
    </row>
    <row r="781" spans="1:17">
      <c r="A781">
        <v>1310</v>
      </c>
      <c r="B781" t="s">
        <v>76</v>
      </c>
      <c r="C781">
        <v>0.54500000000000004</v>
      </c>
      <c r="D781">
        <v>0.43</v>
      </c>
      <c r="E781">
        <v>0.15</v>
      </c>
      <c r="F781">
        <v>0.72850000000000004</v>
      </c>
      <c r="G781">
        <v>0.30199999999999999</v>
      </c>
      <c r="H781">
        <v>0.13150000000000001</v>
      </c>
      <c r="I781">
        <v>0.2545</v>
      </c>
      <c r="J781">
        <v>10</v>
      </c>
      <c r="K781">
        <v>8</v>
      </c>
      <c r="L781" t="s">
        <v>55</v>
      </c>
      <c r="M781" t="s">
        <v>56</v>
      </c>
      <c r="N781" t="s">
        <v>57</v>
      </c>
      <c r="O781">
        <v>4</v>
      </c>
      <c r="P781" t="s">
        <v>8</v>
      </c>
      <c r="Q781">
        <v>6.1</v>
      </c>
    </row>
    <row r="782" spans="1:17">
      <c r="A782">
        <v>682</v>
      </c>
      <c r="B782" t="s">
        <v>76</v>
      </c>
      <c r="C782">
        <v>0.48499999999999999</v>
      </c>
      <c r="D782">
        <v>0.37</v>
      </c>
      <c r="E782">
        <v>0.14000000000000001</v>
      </c>
      <c r="F782">
        <v>0.57250000000000001</v>
      </c>
      <c r="G782">
        <v>0.20399999999999999</v>
      </c>
      <c r="H782">
        <v>0.14149999999999999</v>
      </c>
      <c r="I782">
        <v>0.17499999999999999</v>
      </c>
      <c r="J782">
        <v>10</v>
      </c>
      <c r="K782">
        <v>12</v>
      </c>
      <c r="L782" t="s">
        <v>58</v>
      </c>
      <c r="M782" t="s">
        <v>59</v>
      </c>
      <c r="N782" t="s">
        <v>45</v>
      </c>
      <c r="O782">
        <v>2</v>
      </c>
      <c r="P782" t="s">
        <v>5</v>
      </c>
      <c r="Q782">
        <v>18</v>
      </c>
    </row>
    <row r="783" spans="1:17">
      <c r="A783">
        <v>746</v>
      </c>
      <c r="B783" t="s">
        <v>76</v>
      </c>
      <c r="C783">
        <v>0.53</v>
      </c>
      <c r="D783">
        <v>0.42</v>
      </c>
      <c r="E783">
        <v>0.13</v>
      </c>
      <c r="F783">
        <v>1.0009999999999999</v>
      </c>
      <c r="G783">
        <v>0.34</v>
      </c>
      <c r="H783">
        <v>0.22600000000000001</v>
      </c>
      <c r="I783">
        <v>0.26500000000000001</v>
      </c>
      <c r="J783">
        <v>17</v>
      </c>
      <c r="K783">
        <v>2</v>
      </c>
      <c r="L783" t="s">
        <v>49</v>
      </c>
      <c r="M783" t="s">
        <v>50</v>
      </c>
      <c r="N783" t="s">
        <v>51</v>
      </c>
      <c r="O783">
        <v>3</v>
      </c>
      <c r="P783" t="s">
        <v>10</v>
      </c>
      <c r="Q783">
        <v>3.6</v>
      </c>
    </row>
    <row r="784" spans="1:17">
      <c r="A784">
        <v>3526</v>
      </c>
      <c r="B784" t="s">
        <v>76</v>
      </c>
      <c r="C784">
        <v>0.33</v>
      </c>
      <c r="D784">
        <v>0.23</v>
      </c>
      <c r="E784">
        <v>8.5000000000000006E-2</v>
      </c>
      <c r="F784">
        <v>0.16950000000000001</v>
      </c>
      <c r="G784">
        <v>7.9000000000000001E-2</v>
      </c>
      <c r="H784">
        <v>2.5999999999999999E-2</v>
      </c>
      <c r="I784">
        <v>5.0500000000000003E-2</v>
      </c>
      <c r="J784">
        <v>6</v>
      </c>
      <c r="K784">
        <v>5</v>
      </c>
      <c r="L784" t="s">
        <v>67</v>
      </c>
      <c r="M784" t="s">
        <v>68</v>
      </c>
      <c r="N784" t="s">
        <v>69</v>
      </c>
      <c r="O784">
        <v>3</v>
      </c>
      <c r="P784" t="s">
        <v>10</v>
      </c>
      <c r="Q784">
        <v>3.6</v>
      </c>
    </row>
    <row r="785" spans="1:17">
      <c r="A785">
        <v>615</v>
      </c>
      <c r="B785" t="s">
        <v>76</v>
      </c>
      <c r="C785">
        <v>0.45</v>
      </c>
      <c r="D785">
        <v>0.35</v>
      </c>
      <c r="E785">
        <v>0.14499999999999999</v>
      </c>
      <c r="F785">
        <v>0.52500000000000002</v>
      </c>
      <c r="G785">
        <v>0.20849999999999999</v>
      </c>
      <c r="H785">
        <v>0.1</v>
      </c>
      <c r="I785">
        <v>0.16550000000000001</v>
      </c>
      <c r="J785">
        <v>15</v>
      </c>
      <c r="K785">
        <v>8</v>
      </c>
      <c r="L785" t="s">
        <v>55</v>
      </c>
      <c r="M785" t="s">
        <v>56</v>
      </c>
      <c r="N785" t="s">
        <v>57</v>
      </c>
      <c r="O785">
        <v>5</v>
      </c>
      <c r="P785" t="s">
        <v>12</v>
      </c>
      <c r="Q785">
        <v>12.8</v>
      </c>
    </row>
    <row r="786" spans="1:17">
      <c r="A786">
        <v>848</v>
      </c>
      <c r="B786" t="s">
        <v>76</v>
      </c>
      <c r="C786">
        <v>0.54500000000000004</v>
      </c>
      <c r="D786">
        <v>0.44</v>
      </c>
      <c r="E786">
        <v>0.13500000000000001</v>
      </c>
      <c r="F786">
        <v>0.91849999999999998</v>
      </c>
      <c r="G786">
        <v>0.42899999999999999</v>
      </c>
      <c r="H786">
        <v>0.20150000000000001</v>
      </c>
      <c r="I786">
        <v>0.23749999999999999</v>
      </c>
      <c r="J786">
        <v>10</v>
      </c>
      <c r="K786">
        <v>13</v>
      </c>
      <c r="L786" t="s">
        <v>43</v>
      </c>
      <c r="M786" t="s">
        <v>44</v>
      </c>
      <c r="N786" t="s">
        <v>45</v>
      </c>
      <c r="O786">
        <v>4</v>
      </c>
      <c r="P786" t="s">
        <v>8</v>
      </c>
      <c r="Q786">
        <v>6.1</v>
      </c>
    </row>
    <row r="787" spans="1:17">
      <c r="A787">
        <v>3112</v>
      </c>
      <c r="B787" t="s">
        <v>76</v>
      </c>
      <c r="C787">
        <v>0.41</v>
      </c>
      <c r="D787">
        <v>0.32500000000000001</v>
      </c>
      <c r="E787">
        <v>0.105</v>
      </c>
      <c r="F787">
        <v>0.36099999999999999</v>
      </c>
      <c r="G787">
        <v>0.1605</v>
      </c>
      <c r="H787">
        <v>6.6500000000000004E-2</v>
      </c>
      <c r="I787">
        <v>0.10299999999999999</v>
      </c>
      <c r="J787">
        <v>8</v>
      </c>
      <c r="K787">
        <v>11</v>
      </c>
      <c r="L787" t="s">
        <v>65</v>
      </c>
      <c r="M787" t="s">
        <v>66</v>
      </c>
      <c r="N787" t="s">
        <v>45</v>
      </c>
      <c r="O787">
        <v>5</v>
      </c>
      <c r="P787" t="s">
        <v>12</v>
      </c>
      <c r="Q787">
        <v>12.8</v>
      </c>
    </row>
    <row r="788" spans="1:17">
      <c r="A788">
        <v>483</v>
      </c>
      <c r="B788" t="s">
        <v>76</v>
      </c>
      <c r="C788">
        <v>0.56999999999999995</v>
      </c>
      <c r="D788">
        <v>0.46500000000000002</v>
      </c>
      <c r="E788">
        <v>0.125</v>
      </c>
      <c r="F788">
        <v>0.84899999999999998</v>
      </c>
      <c r="G788">
        <v>0.3785</v>
      </c>
      <c r="H788">
        <v>0.17649999999999999</v>
      </c>
      <c r="I788">
        <v>0.24</v>
      </c>
      <c r="J788">
        <v>15</v>
      </c>
      <c r="K788">
        <v>15</v>
      </c>
      <c r="L788" t="s">
        <v>60</v>
      </c>
      <c r="M788" t="s">
        <v>61</v>
      </c>
      <c r="N788" t="s">
        <v>45</v>
      </c>
      <c r="O788">
        <v>7</v>
      </c>
      <c r="P788" t="s">
        <v>6</v>
      </c>
      <c r="Q788">
        <v>2.5</v>
      </c>
    </row>
    <row r="789" spans="1:17">
      <c r="A789">
        <v>3155</v>
      </c>
      <c r="B789" t="s">
        <v>76</v>
      </c>
      <c r="C789">
        <v>0.54</v>
      </c>
      <c r="D789">
        <v>0.41</v>
      </c>
      <c r="E789">
        <v>0.13</v>
      </c>
      <c r="F789">
        <v>0.56000000000000005</v>
      </c>
      <c r="G789">
        <v>0.23749999999999999</v>
      </c>
      <c r="H789">
        <v>0.1065</v>
      </c>
      <c r="I789">
        <v>0.17499999999999999</v>
      </c>
      <c r="J789">
        <v>7</v>
      </c>
      <c r="K789">
        <v>11</v>
      </c>
      <c r="L789" t="s">
        <v>65</v>
      </c>
      <c r="M789" t="s">
        <v>66</v>
      </c>
      <c r="N789" t="s">
        <v>45</v>
      </c>
      <c r="O789">
        <v>10</v>
      </c>
      <c r="P789" t="s">
        <v>11</v>
      </c>
      <c r="Q789">
        <v>24.1</v>
      </c>
    </row>
    <row r="790" spans="1:17">
      <c r="A790">
        <v>3736</v>
      </c>
      <c r="B790" t="s">
        <v>76</v>
      </c>
      <c r="C790">
        <v>0.61499999999999999</v>
      </c>
      <c r="D790">
        <v>0.47499999999999998</v>
      </c>
      <c r="E790">
        <v>0.15</v>
      </c>
      <c r="F790">
        <v>1.0375000000000001</v>
      </c>
      <c r="G790">
        <v>0.47599999999999998</v>
      </c>
      <c r="H790">
        <v>0.23250000000000001</v>
      </c>
      <c r="I790">
        <v>0.28299999999999997</v>
      </c>
      <c r="J790">
        <v>9</v>
      </c>
      <c r="K790">
        <v>13</v>
      </c>
      <c r="L790" t="s">
        <v>43</v>
      </c>
      <c r="M790" t="s">
        <v>44</v>
      </c>
      <c r="N790" t="s">
        <v>45</v>
      </c>
      <c r="O790">
        <v>5</v>
      </c>
      <c r="P790" t="s">
        <v>12</v>
      </c>
      <c r="Q790">
        <v>12.8</v>
      </c>
    </row>
    <row r="791" spans="1:17">
      <c r="A791">
        <v>1169</v>
      </c>
      <c r="B791" t="s">
        <v>76</v>
      </c>
      <c r="C791">
        <v>0.62</v>
      </c>
      <c r="D791">
        <v>0.45</v>
      </c>
      <c r="E791">
        <v>0.2</v>
      </c>
      <c r="F791">
        <v>0.85799999999999998</v>
      </c>
      <c r="G791">
        <v>0.42849999999999999</v>
      </c>
      <c r="H791">
        <v>0.1525</v>
      </c>
      <c r="I791">
        <v>0.24049999999999999</v>
      </c>
      <c r="J791">
        <v>8</v>
      </c>
      <c r="K791">
        <v>12</v>
      </c>
      <c r="L791" t="s">
        <v>58</v>
      </c>
      <c r="M791" t="s">
        <v>59</v>
      </c>
      <c r="N791" t="s">
        <v>45</v>
      </c>
      <c r="O791">
        <v>6</v>
      </c>
      <c r="P791" t="s">
        <v>7</v>
      </c>
      <c r="Q791">
        <v>14.1</v>
      </c>
    </row>
    <row r="792" spans="1:17">
      <c r="A792">
        <v>385</v>
      </c>
      <c r="B792" t="s">
        <v>76</v>
      </c>
      <c r="C792">
        <v>0.54500000000000004</v>
      </c>
      <c r="D792">
        <v>0.42499999999999999</v>
      </c>
      <c r="E792">
        <v>0.13500000000000001</v>
      </c>
      <c r="F792">
        <v>0.84450000000000003</v>
      </c>
      <c r="G792">
        <v>0.373</v>
      </c>
      <c r="H792">
        <v>0.21</v>
      </c>
      <c r="I792">
        <v>0.23499999999999999</v>
      </c>
      <c r="J792">
        <v>10</v>
      </c>
      <c r="K792">
        <v>11</v>
      </c>
      <c r="L792" t="s">
        <v>65</v>
      </c>
      <c r="M792" t="s">
        <v>66</v>
      </c>
      <c r="N792" t="s">
        <v>45</v>
      </c>
      <c r="O792">
        <v>6</v>
      </c>
      <c r="P792" t="s">
        <v>7</v>
      </c>
      <c r="Q792">
        <v>14.1</v>
      </c>
    </row>
    <row r="793" spans="1:17">
      <c r="A793">
        <v>3188</v>
      </c>
      <c r="B793" t="s">
        <v>76</v>
      </c>
      <c r="C793">
        <v>0.51</v>
      </c>
      <c r="D793">
        <v>0.38500000000000001</v>
      </c>
      <c r="E793">
        <v>0.13500000000000001</v>
      </c>
      <c r="F793">
        <v>0.63200000000000001</v>
      </c>
      <c r="G793">
        <v>0.28199999999999997</v>
      </c>
      <c r="H793">
        <v>0.14499999999999999</v>
      </c>
      <c r="I793">
        <v>0.17</v>
      </c>
      <c r="J793">
        <v>8</v>
      </c>
      <c r="K793">
        <v>15</v>
      </c>
      <c r="L793" t="s">
        <v>60</v>
      </c>
      <c r="M793" t="s">
        <v>61</v>
      </c>
      <c r="N793" t="s">
        <v>45</v>
      </c>
      <c r="O793">
        <v>10</v>
      </c>
      <c r="P793" t="s">
        <v>11</v>
      </c>
      <c r="Q793">
        <v>24.1</v>
      </c>
    </row>
    <row r="794" spans="1:17">
      <c r="A794">
        <v>118</v>
      </c>
      <c r="B794" t="s">
        <v>76</v>
      </c>
      <c r="C794">
        <v>0.44</v>
      </c>
      <c r="D794">
        <v>0.34</v>
      </c>
      <c r="E794">
        <v>0.105</v>
      </c>
      <c r="F794">
        <v>0.40200000000000002</v>
      </c>
      <c r="G794">
        <v>0.1305</v>
      </c>
      <c r="H794">
        <v>9.5500000000000002E-2</v>
      </c>
      <c r="I794">
        <v>0.16500000000000001</v>
      </c>
      <c r="J794">
        <v>10</v>
      </c>
      <c r="K794">
        <v>4</v>
      </c>
      <c r="L794" t="s">
        <v>40</v>
      </c>
      <c r="M794" t="s">
        <v>41</v>
      </c>
      <c r="N794" t="s">
        <v>42</v>
      </c>
      <c r="O794">
        <v>1</v>
      </c>
      <c r="P794" t="s">
        <v>4</v>
      </c>
      <c r="Q794">
        <v>22.1</v>
      </c>
    </row>
    <row r="795" spans="1:17">
      <c r="A795">
        <v>2449</v>
      </c>
      <c r="B795" t="s">
        <v>76</v>
      </c>
      <c r="C795">
        <v>0.35</v>
      </c>
      <c r="D795">
        <v>0.26500000000000001</v>
      </c>
      <c r="E795">
        <v>0.09</v>
      </c>
      <c r="F795">
        <v>0.1855</v>
      </c>
      <c r="G795">
        <v>7.4499999999999997E-2</v>
      </c>
      <c r="H795">
        <v>4.1500000000000002E-2</v>
      </c>
      <c r="I795">
        <v>0.06</v>
      </c>
      <c r="J795">
        <v>7</v>
      </c>
      <c r="K795">
        <v>14</v>
      </c>
      <c r="L795" t="s">
        <v>72</v>
      </c>
      <c r="M795" t="s">
        <v>73</v>
      </c>
      <c r="N795" t="s">
        <v>74</v>
      </c>
      <c r="O795">
        <v>3</v>
      </c>
      <c r="P795" t="s">
        <v>10</v>
      </c>
      <c r="Q795">
        <v>3.6</v>
      </c>
    </row>
    <row r="796" spans="1:17">
      <c r="A796">
        <v>4155</v>
      </c>
      <c r="B796" t="s">
        <v>76</v>
      </c>
      <c r="C796">
        <v>0.435</v>
      </c>
      <c r="D796">
        <v>0.33</v>
      </c>
      <c r="E796">
        <v>9.5000000000000001E-2</v>
      </c>
      <c r="F796">
        <v>0.39300000000000002</v>
      </c>
      <c r="G796">
        <v>0.219</v>
      </c>
      <c r="H796">
        <v>7.4999999999999997E-2</v>
      </c>
      <c r="I796">
        <v>8.8499999999999995E-2</v>
      </c>
      <c r="J796">
        <v>6</v>
      </c>
      <c r="K796">
        <v>1</v>
      </c>
      <c r="L796" t="s">
        <v>70</v>
      </c>
      <c r="M796" t="s">
        <v>71</v>
      </c>
      <c r="N796" t="s">
        <v>45</v>
      </c>
      <c r="O796">
        <v>2</v>
      </c>
      <c r="P796" t="s">
        <v>5</v>
      </c>
      <c r="Q796">
        <v>18</v>
      </c>
    </row>
    <row r="797" spans="1:17">
      <c r="A797">
        <v>2116</v>
      </c>
      <c r="B797" t="s">
        <v>76</v>
      </c>
      <c r="C797">
        <v>0.18</v>
      </c>
      <c r="D797">
        <v>0.13</v>
      </c>
      <c r="E797">
        <v>4.4999999999999998E-2</v>
      </c>
      <c r="F797">
        <v>2.75E-2</v>
      </c>
      <c r="G797">
        <v>1.2500000000000001E-2</v>
      </c>
      <c r="H797">
        <v>0.01</v>
      </c>
      <c r="I797">
        <v>8.9999999999999993E-3</v>
      </c>
      <c r="J797">
        <v>3</v>
      </c>
      <c r="K797">
        <v>5</v>
      </c>
      <c r="L797" t="s">
        <v>67</v>
      </c>
      <c r="M797" t="s">
        <v>68</v>
      </c>
      <c r="N797" t="s">
        <v>69</v>
      </c>
      <c r="O797">
        <v>6</v>
      </c>
      <c r="P797" t="s">
        <v>7</v>
      </c>
      <c r="Q797">
        <v>14.1</v>
      </c>
    </row>
    <row r="798" spans="1:17">
      <c r="A798">
        <v>3569</v>
      </c>
      <c r="B798" t="s">
        <v>76</v>
      </c>
      <c r="C798">
        <v>0.57999999999999996</v>
      </c>
      <c r="D798">
        <v>0.46</v>
      </c>
      <c r="E798">
        <v>0.14000000000000001</v>
      </c>
      <c r="F798">
        <v>0.82950000000000002</v>
      </c>
      <c r="G798">
        <v>0.39150000000000001</v>
      </c>
      <c r="H798">
        <v>0.16500000000000001</v>
      </c>
      <c r="I798">
        <v>0.23799999999999999</v>
      </c>
      <c r="J798">
        <v>10</v>
      </c>
      <c r="K798">
        <v>8</v>
      </c>
      <c r="L798" t="s">
        <v>55</v>
      </c>
      <c r="M798" t="s">
        <v>56</v>
      </c>
      <c r="N798" t="s">
        <v>57</v>
      </c>
      <c r="O798">
        <v>9</v>
      </c>
      <c r="P798" t="s">
        <v>9</v>
      </c>
      <c r="Q798">
        <v>1.9</v>
      </c>
    </row>
    <row r="799" spans="1:17">
      <c r="A799">
        <v>3949</v>
      </c>
      <c r="B799" t="s">
        <v>76</v>
      </c>
      <c r="C799">
        <v>0.53</v>
      </c>
      <c r="D799">
        <v>0.4</v>
      </c>
      <c r="E799">
        <v>0.16500000000000001</v>
      </c>
      <c r="F799">
        <v>0.77200000000000002</v>
      </c>
      <c r="G799">
        <v>0.28549999999999998</v>
      </c>
      <c r="H799">
        <v>0.19750000000000001</v>
      </c>
      <c r="I799">
        <v>0.23</v>
      </c>
      <c r="J799">
        <v>12</v>
      </c>
      <c r="K799">
        <v>12</v>
      </c>
      <c r="L799" t="s">
        <v>58</v>
      </c>
      <c r="M799" t="s">
        <v>59</v>
      </c>
      <c r="N799" t="s">
        <v>45</v>
      </c>
      <c r="O799">
        <v>9</v>
      </c>
      <c r="P799" t="s">
        <v>9</v>
      </c>
      <c r="Q799">
        <v>1.9</v>
      </c>
    </row>
    <row r="800" spans="1:17">
      <c r="A800">
        <v>3282</v>
      </c>
      <c r="B800" t="s">
        <v>76</v>
      </c>
      <c r="C800">
        <v>0.55000000000000004</v>
      </c>
      <c r="D800">
        <v>0.45</v>
      </c>
      <c r="E800">
        <v>0.17</v>
      </c>
      <c r="F800">
        <v>0.81</v>
      </c>
      <c r="G800">
        <v>0.317</v>
      </c>
      <c r="H800">
        <v>0.157</v>
      </c>
      <c r="I800">
        <v>0.22</v>
      </c>
      <c r="J800">
        <v>11</v>
      </c>
      <c r="K800">
        <v>5</v>
      </c>
      <c r="L800" t="s">
        <v>67</v>
      </c>
      <c r="M800" t="s">
        <v>68</v>
      </c>
      <c r="N800" t="s">
        <v>69</v>
      </c>
      <c r="O800">
        <v>6</v>
      </c>
      <c r="P800" t="s">
        <v>7</v>
      </c>
      <c r="Q800">
        <v>14.1</v>
      </c>
    </row>
    <row r="801" spans="1:17">
      <c r="A801">
        <v>1225</v>
      </c>
      <c r="B801" t="s">
        <v>76</v>
      </c>
      <c r="C801">
        <v>0.34499999999999997</v>
      </c>
      <c r="D801">
        <v>0.255</v>
      </c>
      <c r="E801">
        <v>9.5000000000000001E-2</v>
      </c>
      <c r="F801">
        <v>0.19450000000000001</v>
      </c>
      <c r="G801">
        <v>9.2499999999999999E-2</v>
      </c>
      <c r="H801">
        <v>3.6999999999999998E-2</v>
      </c>
      <c r="I801">
        <v>5.5E-2</v>
      </c>
      <c r="J801">
        <v>6</v>
      </c>
      <c r="K801">
        <v>7</v>
      </c>
      <c r="L801" t="s">
        <v>62</v>
      </c>
      <c r="M801" t="s">
        <v>63</v>
      </c>
      <c r="N801" t="s">
        <v>64</v>
      </c>
      <c r="O801">
        <v>10</v>
      </c>
      <c r="P801" t="s">
        <v>11</v>
      </c>
      <c r="Q801">
        <v>24.1</v>
      </c>
    </row>
    <row r="802" spans="1:17">
      <c r="A802">
        <v>2010</v>
      </c>
      <c r="B802" t="s">
        <v>76</v>
      </c>
      <c r="C802">
        <v>0.43</v>
      </c>
      <c r="D802">
        <v>0.32</v>
      </c>
      <c r="E802">
        <v>0.11</v>
      </c>
      <c r="F802">
        <v>0.36749999999999999</v>
      </c>
      <c r="G802">
        <v>0.16750000000000001</v>
      </c>
      <c r="H802">
        <v>0.10199999999999999</v>
      </c>
      <c r="I802">
        <v>0.105</v>
      </c>
      <c r="J802">
        <v>8</v>
      </c>
      <c r="K802">
        <v>1</v>
      </c>
      <c r="L802" t="s">
        <v>70</v>
      </c>
      <c r="M802" t="s">
        <v>71</v>
      </c>
      <c r="N802" t="s">
        <v>45</v>
      </c>
      <c r="O802">
        <v>7</v>
      </c>
      <c r="P802" t="s">
        <v>6</v>
      </c>
      <c r="Q802">
        <v>2.5</v>
      </c>
    </row>
    <row r="803" spans="1:17">
      <c r="A803">
        <v>1654</v>
      </c>
      <c r="B803" t="s">
        <v>76</v>
      </c>
      <c r="C803">
        <v>0.59499999999999997</v>
      </c>
      <c r="D803">
        <v>0.45</v>
      </c>
      <c r="E803">
        <v>0.14499999999999999</v>
      </c>
      <c r="F803">
        <v>0.95899999999999996</v>
      </c>
      <c r="G803">
        <v>0.46300000000000002</v>
      </c>
      <c r="H803">
        <v>0.20649999999999999</v>
      </c>
      <c r="I803">
        <v>0.2535</v>
      </c>
      <c r="J803">
        <v>10</v>
      </c>
      <c r="K803">
        <v>3</v>
      </c>
      <c r="L803" t="s">
        <v>52</v>
      </c>
      <c r="M803" t="s">
        <v>53</v>
      </c>
      <c r="N803" t="s">
        <v>54</v>
      </c>
      <c r="O803">
        <v>5</v>
      </c>
      <c r="P803" t="s">
        <v>12</v>
      </c>
      <c r="Q803">
        <v>12.8</v>
      </c>
    </row>
    <row r="804" spans="1:17">
      <c r="A804">
        <v>4</v>
      </c>
      <c r="B804" t="s">
        <v>76</v>
      </c>
      <c r="C804">
        <v>0.44</v>
      </c>
      <c r="D804">
        <v>0.36499999999999999</v>
      </c>
      <c r="E804">
        <v>0.125</v>
      </c>
      <c r="F804">
        <v>0.51600000000000001</v>
      </c>
      <c r="G804">
        <v>0.2155</v>
      </c>
      <c r="H804">
        <v>0.114</v>
      </c>
      <c r="I804">
        <v>0.155</v>
      </c>
      <c r="J804">
        <v>10</v>
      </c>
      <c r="K804">
        <v>8</v>
      </c>
      <c r="L804" t="s">
        <v>55</v>
      </c>
      <c r="M804" t="s">
        <v>56</v>
      </c>
      <c r="N804" t="s">
        <v>57</v>
      </c>
      <c r="O804">
        <v>6</v>
      </c>
      <c r="P804" t="s">
        <v>7</v>
      </c>
      <c r="Q804">
        <v>14.1</v>
      </c>
    </row>
    <row r="805" spans="1:17">
      <c r="A805">
        <v>1589</v>
      </c>
      <c r="B805" t="s">
        <v>76</v>
      </c>
      <c r="C805">
        <v>0.51500000000000001</v>
      </c>
      <c r="D805">
        <v>0.39</v>
      </c>
      <c r="E805">
        <v>0.125</v>
      </c>
      <c r="F805">
        <v>0.57050000000000001</v>
      </c>
      <c r="G805">
        <v>0.23799999999999999</v>
      </c>
      <c r="H805">
        <v>0.1265</v>
      </c>
      <c r="I805">
        <v>0.185</v>
      </c>
      <c r="J805">
        <v>8</v>
      </c>
      <c r="K805">
        <v>6</v>
      </c>
      <c r="L805" t="s">
        <v>46</v>
      </c>
      <c r="M805" t="s">
        <v>47</v>
      </c>
      <c r="N805" t="s">
        <v>48</v>
      </c>
      <c r="O805">
        <v>3</v>
      </c>
      <c r="P805" t="s">
        <v>10</v>
      </c>
      <c r="Q805">
        <v>3.6</v>
      </c>
    </row>
    <row r="806" spans="1:17">
      <c r="A806">
        <v>477</v>
      </c>
      <c r="B806" t="s">
        <v>76</v>
      </c>
      <c r="C806">
        <v>0.46500000000000002</v>
      </c>
      <c r="D806">
        <v>0.35</v>
      </c>
      <c r="E806">
        <v>0.115</v>
      </c>
      <c r="F806">
        <v>0.42099999999999999</v>
      </c>
      <c r="G806">
        <v>0.1565</v>
      </c>
      <c r="H806">
        <v>9.0999999999999998E-2</v>
      </c>
      <c r="I806">
        <v>0.13450000000000001</v>
      </c>
      <c r="J806">
        <v>9</v>
      </c>
      <c r="K806">
        <v>1</v>
      </c>
      <c r="L806" t="s">
        <v>70</v>
      </c>
      <c r="M806" t="s">
        <v>71</v>
      </c>
      <c r="N806" t="s">
        <v>45</v>
      </c>
      <c r="O806">
        <v>9</v>
      </c>
      <c r="P806" t="s">
        <v>9</v>
      </c>
      <c r="Q806">
        <v>1.9</v>
      </c>
    </row>
    <row r="807" spans="1:17">
      <c r="A807">
        <v>663</v>
      </c>
      <c r="B807" t="s">
        <v>76</v>
      </c>
      <c r="C807">
        <v>0.41499999999999998</v>
      </c>
      <c r="D807">
        <v>0.34</v>
      </c>
      <c r="E807">
        <v>0.13</v>
      </c>
      <c r="F807">
        <v>0.36749999999999999</v>
      </c>
      <c r="G807">
        <v>0.14599999999999999</v>
      </c>
      <c r="H807">
        <v>8.8499999999999995E-2</v>
      </c>
      <c r="I807">
        <v>0.12</v>
      </c>
      <c r="J807">
        <v>10</v>
      </c>
      <c r="K807">
        <v>1</v>
      </c>
      <c r="L807" t="s">
        <v>70</v>
      </c>
      <c r="M807" t="s">
        <v>71</v>
      </c>
      <c r="N807" t="s">
        <v>45</v>
      </c>
      <c r="O807">
        <v>5</v>
      </c>
      <c r="P807" t="s">
        <v>12</v>
      </c>
      <c r="Q807">
        <v>12.8</v>
      </c>
    </row>
    <row r="808" spans="1:17">
      <c r="A808">
        <v>1488</v>
      </c>
      <c r="B808" t="s">
        <v>76</v>
      </c>
      <c r="C808">
        <v>0.6</v>
      </c>
      <c r="D808">
        <v>0.45500000000000002</v>
      </c>
      <c r="E808">
        <v>0.155</v>
      </c>
      <c r="F808">
        <v>0.94499999999999995</v>
      </c>
      <c r="G808">
        <v>0.4365</v>
      </c>
      <c r="H808">
        <v>0.20849999999999999</v>
      </c>
      <c r="I808">
        <v>0.25</v>
      </c>
      <c r="J808">
        <v>8</v>
      </c>
      <c r="K808">
        <v>7</v>
      </c>
      <c r="L808" t="s">
        <v>62</v>
      </c>
      <c r="M808" t="s">
        <v>63</v>
      </c>
      <c r="N808" t="s">
        <v>64</v>
      </c>
      <c r="O808">
        <v>7</v>
      </c>
      <c r="P808" t="s">
        <v>6</v>
      </c>
      <c r="Q808">
        <v>2.5</v>
      </c>
    </row>
    <row r="809" spans="1:17">
      <c r="A809">
        <v>2611</v>
      </c>
      <c r="B809" t="s">
        <v>76</v>
      </c>
      <c r="C809">
        <v>0.63</v>
      </c>
      <c r="D809">
        <v>0.495</v>
      </c>
      <c r="E809">
        <v>0.14499999999999999</v>
      </c>
      <c r="F809">
        <v>1.147</v>
      </c>
      <c r="G809">
        <v>0.54549999999999998</v>
      </c>
      <c r="H809">
        <v>0.26600000000000001</v>
      </c>
      <c r="I809">
        <v>0.28849999999999998</v>
      </c>
      <c r="J809">
        <v>9</v>
      </c>
      <c r="K809">
        <v>12</v>
      </c>
      <c r="L809" t="s">
        <v>58</v>
      </c>
      <c r="M809" t="s">
        <v>59</v>
      </c>
      <c r="N809" t="s">
        <v>45</v>
      </c>
      <c r="O809">
        <v>9</v>
      </c>
      <c r="P809" t="s">
        <v>9</v>
      </c>
      <c r="Q809">
        <v>1.9</v>
      </c>
    </row>
    <row r="810" spans="1:17">
      <c r="A810">
        <v>1064</v>
      </c>
      <c r="B810" t="s">
        <v>76</v>
      </c>
      <c r="C810">
        <v>0.28499999999999998</v>
      </c>
      <c r="D810">
        <v>0.22</v>
      </c>
      <c r="E810">
        <v>6.5000000000000002E-2</v>
      </c>
      <c r="F810">
        <v>9.6000000000000002E-2</v>
      </c>
      <c r="G810">
        <v>4.0500000000000001E-2</v>
      </c>
      <c r="H810">
        <v>2.0500000000000001E-2</v>
      </c>
      <c r="I810">
        <v>0.03</v>
      </c>
      <c r="J810">
        <v>5</v>
      </c>
      <c r="K810">
        <v>5</v>
      </c>
      <c r="L810" t="s">
        <v>67</v>
      </c>
      <c r="M810" t="s">
        <v>68</v>
      </c>
      <c r="N810" t="s">
        <v>69</v>
      </c>
      <c r="O810">
        <v>6</v>
      </c>
      <c r="P810" t="s">
        <v>7</v>
      </c>
      <c r="Q810">
        <v>14.1</v>
      </c>
    </row>
    <row r="811" spans="1:17">
      <c r="A811">
        <v>3771</v>
      </c>
      <c r="B811" t="s">
        <v>76</v>
      </c>
      <c r="C811">
        <v>0.56499999999999995</v>
      </c>
      <c r="D811">
        <v>0.43</v>
      </c>
      <c r="E811">
        <v>0.125</v>
      </c>
      <c r="F811">
        <v>0.65449999999999997</v>
      </c>
      <c r="G811">
        <v>0.28149999999999997</v>
      </c>
      <c r="H811">
        <v>0.13900000000000001</v>
      </c>
      <c r="I811">
        <v>0.21</v>
      </c>
      <c r="J811">
        <v>9</v>
      </c>
      <c r="K811">
        <v>3</v>
      </c>
      <c r="L811" t="s">
        <v>52</v>
      </c>
      <c r="M811" t="s">
        <v>53</v>
      </c>
      <c r="N811" t="s">
        <v>54</v>
      </c>
      <c r="O811">
        <v>4</v>
      </c>
      <c r="P811" t="s">
        <v>8</v>
      </c>
      <c r="Q811">
        <v>6.1</v>
      </c>
    </row>
    <row r="812" spans="1:17">
      <c r="A812">
        <v>2240</v>
      </c>
      <c r="B812" t="s">
        <v>76</v>
      </c>
      <c r="C812">
        <v>0.46</v>
      </c>
      <c r="D812">
        <v>0.36</v>
      </c>
      <c r="E812">
        <v>0.115</v>
      </c>
      <c r="F812">
        <v>0.47549999999999998</v>
      </c>
      <c r="G812">
        <v>0.21049999999999999</v>
      </c>
      <c r="H812">
        <v>0.105</v>
      </c>
      <c r="I812">
        <v>0.16</v>
      </c>
      <c r="J812">
        <v>8</v>
      </c>
      <c r="K812">
        <v>2</v>
      </c>
      <c r="L812" t="s">
        <v>49</v>
      </c>
      <c r="M812" t="s">
        <v>50</v>
      </c>
      <c r="N812" t="s">
        <v>51</v>
      </c>
      <c r="O812">
        <v>10</v>
      </c>
      <c r="P812" t="s">
        <v>11</v>
      </c>
      <c r="Q812">
        <v>24.1</v>
      </c>
    </row>
    <row r="813" spans="1:17">
      <c r="A813">
        <v>1690</v>
      </c>
      <c r="B813" t="s">
        <v>76</v>
      </c>
      <c r="C813">
        <v>0.625</v>
      </c>
      <c r="D813">
        <v>0.47499999999999998</v>
      </c>
      <c r="E813">
        <v>0.16</v>
      </c>
      <c r="F813">
        <v>1.0845</v>
      </c>
      <c r="G813">
        <v>0.50049999999999994</v>
      </c>
      <c r="H813">
        <v>0.23549999999999999</v>
      </c>
      <c r="I813">
        <v>0.3105</v>
      </c>
      <c r="J813">
        <v>10</v>
      </c>
      <c r="K813">
        <v>8</v>
      </c>
      <c r="L813" t="s">
        <v>55</v>
      </c>
      <c r="M813" t="s">
        <v>56</v>
      </c>
      <c r="N813" t="s">
        <v>57</v>
      </c>
      <c r="O813">
        <v>8</v>
      </c>
      <c r="P813" t="s">
        <v>13</v>
      </c>
      <c r="Q813">
        <v>12.3</v>
      </c>
    </row>
    <row r="814" spans="1:17">
      <c r="A814">
        <v>3545</v>
      </c>
      <c r="B814" t="s">
        <v>76</v>
      </c>
      <c r="C814">
        <v>0.47499999999999998</v>
      </c>
      <c r="D814">
        <v>0.35499999999999998</v>
      </c>
      <c r="E814">
        <v>0.125</v>
      </c>
      <c r="F814">
        <v>0.48649999999999999</v>
      </c>
      <c r="G814">
        <v>0.2155</v>
      </c>
      <c r="H814">
        <v>0.1105</v>
      </c>
      <c r="I814">
        <v>0.14199999999999999</v>
      </c>
      <c r="J814">
        <v>9</v>
      </c>
      <c r="K814">
        <v>1</v>
      </c>
      <c r="L814" t="s">
        <v>70</v>
      </c>
      <c r="M814" t="s">
        <v>71</v>
      </c>
      <c r="N814" t="s">
        <v>45</v>
      </c>
      <c r="O814">
        <v>2</v>
      </c>
      <c r="P814" t="s">
        <v>5</v>
      </c>
      <c r="Q814">
        <v>18</v>
      </c>
    </row>
    <row r="815" spans="1:17">
      <c r="A815">
        <v>3311</v>
      </c>
      <c r="B815" t="s">
        <v>76</v>
      </c>
      <c r="C815">
        <v>0.62</v>
      </c>
      <c r="D815">
        <v>0.48499999999999999</v>
      </c>
      <c r="E815">
        <v>0.16500000000000001</v>
      </c>
      <c r="F815">
        <v>1.1659999999999999</v>
      </c>
      <c r="G815">
        <v>0.48299999999999998</v>
      </c>
      <c r="H815">
        <v>0.23799999999999999</v>
      </c>
      <c r="I815">
        <v>0.35499999999999998</v>
      </c>
      <c r="J815">
        <v>13</v>
      </c>
      <c r="K815">
        <v>11</v>
      </c>
      <c r="L815" t="s">
        <v>65</v>
      </c>
      <c r="M815" t="s">
        <v>66</v>
      </c>
      <c r="N815" t="s">
        <v>45</v>
      </c>
      <c r="O815">
        <v>1</v>
      </c>
      <c r="P815" t="s">
        <v>4</v>
      </c>
      <c r="Q815">
        <v>22.1</v>
      </c>
    </row>
    <row r="816" spans="1:17">
      <c r="A816">
        <v>901</v>
      </c>
      <c r="B816" t="s">
        <v>76</v>
      </c>
      <c r="C816">
        <v>0.3</v>
      </c>
      <c r="D816">
        <v>0.23499999999999999</v>
      </c>
      <c r="E816">
        <v>0.08</v>
      </c>
      <c r="F816">
        <v>0.13100000000000001</v>
      </c>
      <c r="G816">
        <v>0.05</v>
      </c>
      <c r="H816">
        <v>2.6499999999999999E-2</v>
      </c>
      <c r="I816">
        <v>4.2999999999999997E-2</v>
      </c>
      <c r="J816">
        <v>4</v>
      </c>
      <c r="K816">
        <v>4</v>
      </c>
      <c r="L816" t="s">
        <v>40</v>
      </c>
      <c r="M816" t="s">
        <v>41</v>
      </c>
      <c r="N816" t="s">
        <v>42</v>
      </c>
      <c r="O816">
        <v>8</v>
      </c>
      <c r="P816" t="s">
        <v>13</v>
      </c>
      <c r="Q816">
        <v>12.3</v>
      </c>
    </row>
    <row r="817" spans="1:17">
      <c r="A817">
        <v>249</v>
      </c>
      <c r="B817" t="s">
        <v>76</v>
      </c>
      <c r="C817">
        <v>0.30499999999999999</v>
      </c>
      <c r="D817">
        <v>0.245</v>
      </c>
      <c r="E817">
        <v>7.4999999999999997E-2</v>
      </c>
      <c r="F817">
        <v>0.156</v>
      </c>
      <c r="G817">
        <v>6.7500000000000004E-2</v>
      </c>
      <c r="H817">
        <v>3.7999999999999999E-2</v>
      </c>
      <c r="I817">
        <v>4.4999999999999998E-2</v>
      </c>
      <c r="J817">
        <v>7</v>
      </c>
      <c r="K817">
        <v>7</v>
      </c>
      <c r="L817" t="s">
        <v>62</v>
      </c>
      <c r="M817" t="s">
        <v>63</v>
      </c>
      <c r="N817" t="s">
        <v>64</v>
      </c>
      <c r="O817">
        <v>9</v>
      </c>
      <c r="P817" t="s">
        <v>9</v>
      </c>
      <c r="Q817">
        <v>1.9</v>
      </c>
    </row>
    <row r="818" spans="1:17">
      <c r="A818">
        <v>135</v>
      </c>
      <c r="B818" t="s">
        <v>76</v>
      </c>
      <c r="C818">
        <v>0.26500000000000001</v>
      </c>
      <c r="D818">
        <v>0.2</v>
      </c>
      <c r="E818">
        <v>6.5000000000000002E-2</v>
      </c>
      <c r="F818">
        <v>9.7500000000000003E-2</v>
      </c>
      <c r="G818">
        <v>0.04</v>
      </c>
      <c r="H818">
        <v>2.0500000000000001E-2</v>
      </c>
      <c r="I818">
        <v>2.8000000000000001E-2</v>
      </c>
      <c r="J818">
        <v>7</v>
      </c>
      <c r="K818">
        <v>12</v>
      </c>
      <c r="L818" t="s">
        <v>58</v>
      </c>
      <c r="M818" t="s">
        <v>59</v>
      </c>
      <c r="N818" t="s">
        <v>45</v>
      </c>
      <c r="O818">
        <v>9</v>
      </c>
      <c r="P818" t="s">
        <v>9</v>
      </c>
      <c r="Q818">
        <v>1.9</v>
      </c>
    </row>
    <row r="819" spans="1:17">
      <c r="A819">
        <v>3746</v>
      </c>
      <c r="B819" t="s">
        <v>76</v>
      </c>
      <c r="C819">
        <v>0.28499999999999998</v>
      </c>
      <c r="D819">
        <v>0.20499999999999999</v>
      </c>
      <c r="E819">
        <v>7.0000000000000007E-2</v>
      </c>
      <c r="F819">
        <v>0.106</v>
      </c>
      <c r="G819">
        <v>3.9E-2</v>
      </c>
      <c r="H819">
        <v>2.8500000000000001E-2</v>
      </c>
      <c r="I819">
        <v>3.4000000000000002E-2</v>
      </c>
      <c r="J819">
        <v>5</v>
      </c>
      <c r="K819">
        <v>11</v>
      </c>
      <c r="L819" t="s">
        <v>65</v>
      </c>
      <c r="M819" t="s">
        <v>66</v>
      </c>
      <c r="N819" t="s">
        <v>45</v>
      </c>
      <c r="O819">
        <v>10</v>
      </c>
      <c r="P819" t="s">
        <v>11</v>
      </c>
      <c r="Q819">
        <v>24.1</v>
      </c>
    </row>
    <row r="820" spans="1:17">
      <c r="A820">
        <v>4026</v>
      </c>
      <c r="B820" t="s">
        <v>76</v>
      </c>
      <c r="C820">
        <v>0.33</v>
      </c>
      <c r="D820">
        <v>0.26</v>
      </c>
      <c r="E820">
        <v>8.5000000000000006E-2</v>
      </c>
      <c r="F820">
        <v>0.19650000000000001</v>
      </c>
      <c r="G820">
        <v>9.1499999999999998E-2</v>
      </c>
      <c r="H820">
        <v>4.2500000000000003E-2</v>
      </c>
      <c r="I820">
        <v>5.5E-2</v>
      </c>
      <c r="J820">
        <v>7</v>
      </c>
      <c r="K820">
        <v>3</v>
      </c>
      <c r="L820" t="s">
        <v>52</v>
      </c>
      <c r="M820" t="s">
        <v>53</v>
      </c>
      <c r="N820" t="s">
        <v>54</v>
      </c>
      <c r="O820">
        <v>1</v>
      </c>
      <c r="P820" t="s">
        <v>4</v>
      </c>
      <c r="Q820">
        <v>22.1</v>
      </c>
    </row>
    <row r="821" spans="1:17">
      <c r="A821">
        <v>3501</v>
      </c>
      <c r="B821" t="s">
        <v>76</v>
      </c>
      <c r="C821">
        <v>0.6</v>
      </c>
      <c r="D821">
        <v>0.41</v>
      </c>
      <c r="E821">
        <v>0.14499999999999999</v>
      </c>
      <c r="F821">
        <v>0.93899999999999995</v>
      </c>
      <c r="G821">
        <v>0.44750000000000001</v>
      </c>
      <c r="H821">
        <v>0.19600000000000001</v>
      </c>
      <c r="I821">
        <v>0.26800000000000002</v>
      </c>
      <c r="J821">
        <v>8</v>
      </c>
      <c r="K821">
        <v>10</v>
      </c>
      <c r="L821" t="s">
        <v>37</v>
      </c>
      <c r="M821" t="s">
        <v>38</v>
      </c>
      <c r="N821" t="s">
        <v>39</v>
      </c>
      <c r="O821">
        <v>8</v>
      </c>
      <c r="P821" t="s">
        <v>13</v>
      </c>
      <c r="Q821">
        <v>12.3</v>
      </c>
    </row>
    <row r="822" spans="1:17">
      <c r="A822">
        <v>3974</v>
      </c>
      <c r="B822" t="s">
        <v>76</v>
      </c>
      <c r="C822">
        <v>0.41499999999999998</v>
      </c>
      <c r="D822">
        <v>0.33</v>
      </c>
      <c r="E822">
        <v>0.1</v>
      </c>
      <c r="F822">
        <v>0.39050000000000001</v>
      </c>
      <c r="G822">
        <v>0.1925</v>
      </c>
      <c r="H822">
        <v>7.5499999999999998E-2</v>
      </c>
      <c r="I822">
        <v>0.10249999999999999</v>
      </c>
      <c r="J822">
        <v>7</v>
      </c>
      <c r="K822">
        <v>6</v>
      </c>
      <c r="L822" t="s">
        <v>46</v>
      </c>
      <c r="M822" t="s">
        <v>47</v>
      </c>
      <c r="N822" t="s">
        <v>48</v>
      </c>
      <c r="O822">
        <v>8</v>
      </c>
      <c r="P822" t="s">
        <v>13</v>
      </c>
      <c r="Q822">
        <v>12.3</v>
      </c>
    </row>
    <row r="823" spans="1:17">
      <c r="A823">
        <v>175</v>
      </c>
      <c r="B823" t="s">
        <v>76</v>
      </c>
      <c r="C823">
        <v>0.23499999999999999</v>
      </c>
      <c r="D823">
        <v>0.16</v>
      </c>
      <c r="E823">
        <v>0.04</v>
      </c>
      <c r="F823">
        <v>4.8000000000000001E-2</v>
      </c>
      <c r="G823">
        <v>1.8499999999999999E-2</v>
      </c>
      <c r="H823">
        <v>1.7999999999999999E-2</v>
      </c>
      <c r="I823">
        <v>1.4999999999999999E-2</v>
      </c>
      <c r="J823">
        <v>5</v>
      </c>
      <c r="K823">
        <v>11</v>
      </c>
      <c r="L823" t="s">
        <v>65</v>
      </c>
      <c r="M823" t="s">
        <v>66</v>
      </c>
      <c r="N823" t="s">
        <v>45</v>
      </c>
      <c r="O823">
        <v>10</v>
      </c>
      <c r="P823" t="s">
        <v>11</v>
      </c>
      <c r="Q823">
        <v>24.1</v>
      </c>
    </row>
    <row r="824" spans="1:17">
      <c r="A824">
        <v>522</v>
      </c>
      <c r="B824" t="s">
        <v>76</v>
      </c>
      <c r="C824">
        <v>0.36</v>
      </c>
      <c r="D824">
        <v>0.27</v>
      </c>
      <c r="E824">
        <v>0.09</v>
      </c>
      <c r="F824">
        <v>0.1885</v>
      </c>
      <c r="G824">
        <v>8.4500000000000006E-2</v>
      </c>
      <c r="H824">
        <v>3.85E-2</v>
      </c>
      <c r="I824">
        <v>5.5E-2</v>
      </c>
      <c r="J824">
        <v>5</v>
      </c>
      <c r="K824">
        <v>13</v>
      </c>
      <c r="L824" t="s">
        <v>43</v>
      </c>
      <c r="M824" t="s">
        <v>44</v>
      </c>
      <c r="N824" t="s">
        <v>45</v>
      </c>
      <c r="O824">
        <v>5</v>
      </c>
      <c r="P824" t="s">
        <v>12</v>
      </c>
      <c r="Q824">
        <v>12.8</v>
      </c>
    </row>
    <row r="825" spans="1:17">
      <c r="A825">
        <v>3297</v>
      </c>
      <c r="B825" t="s">
        <v>76</v>
      </c>
      <c r="C825">
        <v>0.60499999999999998</v>
      </c>
      <c r="D825">
        <v>0.48499999999999999</v>
      </c>
      <c r="E825">
        <v>0.16500000000000001</v>
      </c>
      <c r="F825">
        <v>1.0734999999999999</v>
      </c>
      <c r="G825">
        <v>0.437</v>
      </c>
      <c r="H825">
        <v>0.20499999999999999</v>
      </c>
      <c r="I825">
        <v>0.33</v>
      </c>
      <c r="J825">
        <v>14</v>
      </c>
      <c r="K825">
        <v>15</v>
      </c>
      <c r="L825" t="s">
        <v>60</v>
      </c>
      <c r="M825" t="s">
        <v>61</v>
      </c>
      <c r="N825" t="s">
        <v>45</v>
      </c>
      <c r="O825">
        <v>1</v>
      </c>
      <c r="P825" t="s">
        <v>4</v>
      </c>
      <c r="Q825">
        <v>22.1</v>
      </c>
    </row>
    <row r="826" spans="1:17">
      <c r="A826">
        <v>3412</v>
      </c>
      <c r="B826" t="s">
        <v>76</v>
      </c>
      <c r="C826">
        <v>0.43</v>
      </c>
      <c r="D826">
        <v>0.32</v>
      </c>
      <c r="E826">
        <v>0.1</v>
      </c>
      <c r="F826">
        <v>0.38550000000000001</v>
      </c>
      <c r="G826">
        <v>0.192</v>
      </c>
      <c r="H826">
        <v>7.4499999999999997E-2</v>
      </c>
      <c r="I826">
        <v>0.1</v>
      </c>
      <c r="J826">
        <v>7</v>
      </c>
      <c r="K826">
        <v>11</v>
      </c>
      <c r="L826" t="s">
        <v>65</v>
      </c>
      <c r="M826" t="s">
        <v>66</v>
      </c>
      <c r="N826" t="s">
        <v>45</v>
      </c>
      <c r="O826">
        <v>6</v>
      </c>
      <c r="P826" t="s">
        <v>7</v>
      </c>
      <c r="Q826">
        <v>14.1</v>
      </c>
    </row>
    <row r="827" spans="1:17">
      <c r="A827">
        <v>858</v>
      </c>
      <c r="B827" t="s">
        <v>76</v>
      </c>
      <c r="C827">
        <v>0.59</v>
      </c>
      <c r="D827">
        <v>0.46</v>
      </c>
      <c r="E827">
        <v>0.13</v>
      </c>
      <c r="F827">
        <v>1.1020000000000001</v>
      </c>
      <c r="G827">
        <v>0.45500000000000002</v>
      </c>
      <c r="H827">
        <v>0.20549999999999999</v>
      </c>
      <c r="I827">
        <v>0.33</v>
      </c>
      <c r="J827">
        <v>12</v>
      </c>
      <c r="K827">
        <v>14</v>
      </c>
      <c r="L827" t="s">
        <v>72</v>
      </c>
      <c r="M827" t="s">
        <v>73</v>
      </c>
      <c r="N827" t="s">
        <v>74</v>
      </c>
      <c r="O827">
        <v>3</v>
      </c>
      <c r="P827" t="s">
        <v>10</v>
      </c>
      <c r="Q827">
        <v>3.6</v>
      </c>
    </row>
    <row r="828" spans="1:17">
      <c r="A828">
        <v>1245</v>
      </c>
      <c r="B828" t="s">
        <v>76</v>
      </c>
      <c r="C828">
        <v>0.38500000000000001</v>
      </c>
      <c r="D828">
        <v>0.3</v>
      </c>
      <c r="E828">
        <v>9.5000000000000001E-2</v>
      </c>
      <c r="F828">
        <v>0.30199999999999999</v>
      </c>
      <c r="G828">
        <v>0.152</v>
      </c>
      <c r="H828">
        <v>6.1499999999999999E-2</v>
      </c>
      <c r="I828">
        <v>7.3499999999999996E-2</v>
      </c>
      <c r="J828">
        <v>7</v>
      </c>
      <c r="K828">
        <v>13</v>
      </c>
      <c r="L828" t="s">
        <v>43</v>
      </c>
      <c r="M828" t="s">
        <v>44</v>
      </c>
      <c r="N828" t="s">
        <v>45</v>
      </c>
      <c r="O828">
        <v>7</v>
      </c>
      <c r="P828" t="s">
        <v>6</v>
      </c>
      <c r="Q828">
        <v>2.5</v>
      </c>
    </row>
    <row r="829" spans="1:17">
      <c r="A829">
        <v>1677</v>
      </c>
      <c r="B829" t="s">
        <v>76</v>
      </c>
      <c r="C829">
        <v>0.61499999999999999</v>
      </c>
      <c r="D829">
        <v>0.47</v>
      </c>
      <c r="E829">
        <v>0.16</v>
      </c>
      <c r="F829">
        <v>1.0175000000000001</v>
      </c>
      <c r="G829">
        <v>0.47299999999999998</v>
      </c>
      <c r="H829">
        <v>0.23949999999999999</v>
      </c>
      <c r="I829">
        <v>0.28000000000000003</v>
      </c>
      <c r="J829">
        <v>10</v>
      </c>
      <c r="K829">
        <v>6</v>
      </c>
      <c r="L829" t="s">
        <v>46</v>
      </c>
      <c r="M829" t="s">
        <v>47</v>
      </c>
      <c r="N829" t="s">
        <v>48</v>
      </c>
      <c r="O829">
        <v>2</v>
      </c>
      <c r="P829" t="s">
        <v>5</v>
      </c>
      <c r="Q829">
        <v>18</v>
      </c>
    </row>
    <row r="830" spans="1:17">
      <c r="A830">
        <v>2365</v>
      </c>
      <c r="B830" t="s">
        <v>76</v>
      </c>
      <c r="C830">
        <v>0.6</v>
      </c>
      <c r="D830">
        <v>0.47</v>
      </c>
      <c r="E830">
        <v>0.2</v>
      </c>
      <c r="F830">
        <v>1.0309999999999999</v>
      </c>
      <c r="G830">
        <v>0.39200000000000002</v>
      </c>
      <c r="H830">
        <v>0.20349999999999999</v>
      </c>
      <c r="I830">
        <v>0.28999999999999998</v>
      </c>
      <c r="J830">
        <v>15</v>
      </c>
      <c r="K830">
        <v>14</v>
      </c>
      <c r="L830" t="s">
        <v>72</v>
      </c>
      <c r="M830" t="s">
        <v>73</v>
      </c>
      <c r="N830" t="s">
        <v>74</v>
      </c>
      <c r="O830">
        <v>10</v>
      </c>
      <c r="P830" t="s">
        <v>11</v>
      </c>
      <c r="Q830">
        <v>24.1</v>
      </c>
    </row>
    <row r="831" spans="1:17">
      <c r="A831">
        <v>148</v>
      </c>
      <c r="B831" t="s">
        <v>76</v>
      </c>
      <c r="C831">
        <v>0.28000000000000003</v>
      </c>
      <c r="D831">
        <v>0.20499999999999999</v>
      </c>
      <c r="E831">
        <v>0.08</v>
      </c>
      <c r="F831">
        <v>0.127</v>
      </c>
      <c r="G831">
        <v>5.1999999999999998E-2</v>
      </c>
      <c r="H831">
        <v>3.9E-2</v>
      </c>
      <c r="I831">
        <v>4.2000000000000003E-2</v>
      </c>
      <c r="J831">
        <v>9</v>
      </c>
      <c r="K831">
        <v>7</v>
      </c>
      <c r="L831" t="s">
        <v>62</v>
      </c>
      <c r="M831" t="s">
        <v>63</v>
      </c>
      <c r="N831" t="s">
        <v>64</v>
      </c>
      <c r="O831">
        <v>5</v>
      </c>
      <c r="P831" t="s">
        <v>12</v>
      </c>
      <c r="Q831">
        <v>12.8</v>
      </c>
    </row>
    <row r="832" spans="1:17">
      <c r="A832">
        <v>3737</v>
      </c>
      <c r="B832" t="s">
        <v>76</v>
      </c>
      <c r="C832">
        <v>0.625</v>
      </c>
      <c r="D832">
        <v>0.48</v>
      </c>
      <c r="E832">
        <v>0.18</v>
      </c>
      <c r="F832">
        <v>1.2230000000000001</v>
      </c>
      <c r="G832">
        <v>0.56499999999999995</v>
      </c>
      <c r="H832">
        <v>0.29749999999999999</v>
      </c>
      <c r="I832">
        <v>0.33750000000000002</v>
      </c>
      <c r="J832">
        <v>10</v>
      </c>
      <c r="K832">
        <v>11</v>
      </c>
      <c r="L832" t="s">
        <v>65</v>
      </c>
      <c r="M832" t="s">
        <v>66</v>
      </c>
      <c r="N832" t="s">
        <v>45</v>
      </c>
      <c r="O832">
        <v>6</v>
      </c>
      <c r="P832" t="s">
        <v>7</v>
      </c>
      <c r="Q832">
        <v>14.1</v>
      </c>
    </row>
    <row r="833" spans="1:17">
      <c r="A833">
        <v>250</v>
      </c>
      <c r="B833" t="s">
        <v>76</v>
      </c>
      <c r="C833">
        <v>0.34499999999999997</v>
      </c>
      <c r="D833">
        <v>0.27</v>
      </c>
      <c r="E833">
        <v>0.11</v>
      </c>
      <c r="F833">
        <v>0.2135</v>
      </c>
      <c r="G833">
        <v>8.2000000000000003E-2</v>
      </c>
      <c r="H833">
        <v>5.45E-2</v>
      </c>
      <c r="I833">
        <v>7.0000000000000007E-2</v>
      </c>
      <c r="J833">
        <v>7</v>
      </c>
      <c r="K833">
        <v>14</v>
      </c>
      <c r="L833" t="s">
        <v>72</v>
      </c>
      <c r="M833" t="s">
        <v>73</v>
      </c>
      <c r="N833" t="s">
        <v>74</v>
      </c>
      <c r="O833">
        <v>7</v>
      </c>
      <c r="P833" t="s">
        <v>6</v>
      </c>
      <c r="Q833">
        <v>2.5</v>
      </c>
    </row>
    <row r="834" spans="1:17">
      <c r="A834">
        <v>4069</v>
      </c>
      <c r="B834" t="s">
        <v>76</v>
      </c>
      <c r="C834">
        <v>0.41</v>
      </c>
      <c r="D834">
        <v>0.30499999999999999</v>
      </c>
      <c r="E834">
        <v>0.1</v>
      </c>
      <c r="F834">
        <v>0.26450000000000001</v>
      </c>
      <c r="G834">
        <v>0.1</v>
      </c>
      <c r="H834">
        <v>6.5500000000000003E-2</v>
      </c>
      <c r="I834">
        <v>8.5000000000000006E-2</v>
      </c>
      <c r="J834">
        <v>7</v>
      </c>
      <c r="K834">
        <v>1</v>
      </c>
      <c r="L834" t="s">
        <v>70</v>
      </c>
      <c r="M834" t="s">
        <v>71</v>
      </c>
      <c r="N834" t="s">
        <v>45</v>
      </c>
      <c r="O834">
        <v>7</v>
      </c>
      <c r="P834" t="s">
        <v>6</v>
      </c>
      <c r="Q834">
        <v>2.5</v>
      </c>
    </row>
    <row r="835" spans="1:17">
      <c r="A835">
        <v>3061</v>
      </c>
      <c r="B835" t="s">
        <v>76</v>
      </c>
      <c r="C835">
        <v>0.63</v>
      </c>
      <c r="D835">
        <v>0.51500000000000001</v>
      </c>
      <c r="E835">
        <v>0.17499999999999999</v>
      </c>
      <c r="F835">
        <v>1.1955</v>
      </c>
      <c r="G835">
        <v>0.49199999999999999</v>
      </c>
      <c r="H835">
        <v>0.247</v>
      </c>
      <c r="I835">
        <v>0.37</v>
      </c>
      <c r="J835">
        <v>11</v>
      </c>
      <c r="K835">
        <v>12</v>
      </c>
      <c r="L835" t="s">
        <v>58</v>
      </c>
      <c r="M835" t="s">
        <v>59</v>
      </c>
      <c r="N835" t="s">
        <v>45</v>
      </c>
      <c r="O835">
        <v>9</v>
      </c>
      <c r="P835" t="s">
        <v>9</v>
      </c>
      <c r="Q835">
        <v>1.9</v>
      </c>
    </row>
    <row r="836" spans="1:17">
      <c r="A836">
        <v>3867</v>
      </c>
      <c r="B836" t="s">
        <v>76</v>
      </c>
      <c r="C836">
        <v>0.52500000000000002</v>
      </c>
      <c r="D836">
        <v>0.43</v>
      </c>
      <c r="E836">
        <v>0.16500000000000001</v>
      </c>
      <c r="F836">
        <v>0.71699999999999997</v>
      </c>
      <c r="G836">
        <v>0.28899999999999998</v>
      </c>
      <c r="H836">
        <v>0.17449999999999999</v>
      </c>
      <c r="I836">
        <v>0.19500000000000001</v>
      </c>
      <c r="J836">
        <v>10</v>
      </c>
      <c r="K836">
        <v>2</v>
      </c>
      <c r="L836" t="s">
        <v>49</v>
      </c>
      <c r="M836" t="s">
        <v>50</v>
      </c>
      <c r="N836" t="s">
        <v>51</v>
      </c>
      <c r="O836">
        <v>1</v>
      </c>
      <c r="P836" t="s">
        <v>4</v>
      </c>
      <c r="Q836">
        <v>22.1</v>
      </c>
    </row>
    <row r="837" spans="1:17">
      <c r="A837">
        <v>1490</v>
      </c>
      <c r="B837" t="s">
        <v>76</v>
      </c>
      <c r="C837">
        <v>0.60499999999999998</v>
      </c>
      <c r="D837">
        <v>0.48499999999999999</v>
      </c>
      <c r="E837">
        <v>0.16500000000000001</v>
      </c>
      <c r="F837">
        <v>0.95150000000000001</v>
      </c>
      <c r="G837">
        <v>0.45350000000000001</v>
      </c>
      <c r="H837">
        <v>0.193</v>
      </c>
      <c r="I837">
        <v>0.27650000000000002</v>
      </c>
      <c r="J837">
        <v>11</v>
      </c>
      <c r="K837">
        <v>9</v>
      </c>
      <c r="L837" t="s">
        <v>34</v>
      </c>
      <c r="M837" t="s">
        <v>35</v>
      </c>
      <c r="N837" t="s">
        <v>36</v>
      </c>
      <c r="O837">
        <v>8</v>
      </c>
      <c r="P837" t="s">
        <v>13</v>
      </c>
      <c r="Q837">
        <v>12.3</v>
      </c>
    </row>
    <row r="838" spans="1:17">
      <c r="A838">
        <v>1004</v>
      </c>
      <c r="B838" t="s">
        <v>76</v>
      </c>
      <c r="C838">
        <v>0.59499999999999997</v>
      </c>
      <c r="D838">
        <v>0.45500000000000002</v>
      </c>
      <c r="E838">
        <v>0.15</v>
      </c>
      <c r="F838">
        <v>1.044</v>
      </c>
      <c r="G838">
        <v>0.51800000000000002</v>
      </c>
      <c r="H838">
        <v>0.2205</v>
      </c>
      <c r="I838">
        <v>0.27</v>
      </c>
      <c r="J838">
        <v>9</v>
      </c>
      <c r="K838">
        <v>14</v>
      </c>
      <c r="L838" t="s">
        <v>72</v>
      </c>
      <c r="M838" t="s">
        <v>73</v>
      </c>
      <c r="N838" t="s">
        <v>74</v>
      </c>
      <c r="O838">
        <v>6</v>
      </c>
      <c r="P838" t="s">
        <v>7</v>
      </c>
      <c r="Q838">
        <v>14.1</v>
      </c>
    </row>
    <row r="839" spans="1:17">
      <c r="A839">
        <v>2685</v>
      </c>
      <c r="B839" t="s">
        <v>76</v>
      </c>
      <c r="C839">
        <v>0.625</v>
      </c>
      <c r="D839">
        <v>0.49</v>
      </c>
      <c r="E839">
        <v>0.155</v>
      </c>
      <c r="F839">
        <v>1.115</v>
      </c>
      <c r="G839">
        <v>0.48399999999999999</v>
      </c>
      <c r="H839">
        <v>0.27700000000000002</v>
      </c>
      <c r="I839">
        <v>0.3095</v>
      </c>
      <c r="J839">
        <v>9</v>
      </c>
      <c r="K839">
        <v>8</v>
      </c>
      <c r="L839" t="s">
        <v>55</v>
      </c>
      <c r="M839" t="s">
        <v>56</v>
      </c>
      <c r="N839" t="s">
        <v>57</v>
      </c>
      <c r="O839">
        <v>9</v>
      </c>
      <c r="P839" t="s">
        <v>9</v>
      </c>
      <c r="Q839">
        <v>1.9</v>
      </c>
    </row>
    <row r="840" spans="1:17">
      <c r="A840">
        <v>2079</v>
      </c>
      <c r="B840" t="s">
        <v>76</v>
      </c>
      <c r="C840">
        <v>0.61</v>
      </c>
      <c r="D840">
        <v>0.48</v>
      </c>
      <c r="E840">
        <v>0.16500000000000001</v>
      </c>
      <c r="F840">
        <v>1.2435</v>
      </c>
      <c r="G840">
        <v>0.5575</v>
      </c>
      <c r="H840">
        <v>0.26750000000000002</v>
      </c>
      <c r="I840">
        <v>0.372</v>
      </c>
      <c r="J840">
        <v>8</v>
      </c>
      <c r="K840">
        <v>7</v>
      </c>
      <c r="L840" t="s">
        <v>62</v>
      </c>
      <c r="M840" t="s">
        <v>63</v>
      </c>
      <c r="N840" t="s">
        <v>64</v>
      </c>
      <c r="O840">
        <v>4</v>
      </c>
      <c r="P840" t="s">
        <v>8</v>
      </c>
      <c r="Q840">
        <v>6.1</v>
      </c>
    </row>
    <row r="841" spans="1:17">
      <c r="A841">
        <v>3729</v>
      </c>
      <c r="B841" t="s">
        <v>76</v>
      </c>
      <c r="C841">
        <v>0.51</v>
      </c>
      <c r="D841">
        <v>0.375</v>
      </c>
      <c r="E841">
        <v>0.15</v>
      </c>
      <c r="F841">
        <v>0.84150000000000003</v>
      </c>
      <c r="G841">
        <v>0.38450000000000001</v>
      </c>
      <c r="H841">
        <v>0.156</v>
      </c>
      <c r="I841">
        <v>0.255</v>
      </c>
      <c r="J841">
        <v>10</v>
      </c>
      <c r="K841">
        <v>4</v>
      </c>
      <c r="L841" t="s">
        <v>40</v>
      </c>
      <c r="M841" t="s">
        <v>41</v>
      </c>
      <c r="N841" t="s">
        <v>42</v>
      </c>
      <c r="O841">
        <v>10</v>
      </c>
      <c r="P841" t="s">
        <v>11</v>
      </c>
      <c r="Q841">
        <v>24.1</v>
      </c>
    </row>
    <row r="842" spans="1:17">
      <c r="A842">
        <v>1649</v>
      </c>
      <c r="B842" t="s">
        <v>76</v>
      </c>
      <c r="C842">
        <v>0.59</v>
      </c>
      <c r="D842">
        <v>0.49</v>
      </c>
      <c r="E842">
        <v>0.16500000000000001</v>
      </c>
      <c r="F842">
        <v>1.2070000000000001</v>
      </c>
      <c r="G842">
        <v>0.55900000000000005</v>
      </c>
      <c r="H842">
        <v>0.23499999999999999</v>
      </c>
      <c r="I842">
        <v>0.309</v>
      </c>
      <c r="J842">
        <v>10</v>
      </c>
      <c r="K842">
        <v>13</v>
      </c>
      <c r="L842" t="s">
        <v>43</v>
      </c>
      <c r="M842" t="s">
        <v>44</v>
      </c>
      <c r="N842" t="s">
        <v>45</v>
      </c>
      <c r="O842">
        <v>6</v>
      </c>
      <c r="P842" t="s">
        <v>7</v>
      </c>
      <c r="Q842">
        <v>14.1</v>
      </c>
    </row>
    <row r="843" spans="1:17">
      <c r="A843">
        <v>265</v>
      </c>
      <c r="B843" t="s">
        <v>76</v>
      </c>
      <c r="C843">
        <v>0.27</v>
      </c>
      <c r="D843">
        <v>0.2</v>
      </c>
      <c r="E843">
        <v>0.08</v>
      </c>
      <c r="F843">
        <v>0.1205</v>
      </c>
      <c r="G843">
        <v>4.65E-2</v>
      </c>
      <c r="H843">
        <v>2.8000000000000001E-2</v>
      </c>
      <c r="I843">
        <v>0.04</v>
      </c>
      <c r="J843">
        <v>6</v>
      </c>
      <c r="K843">
        <v>8</v>
      </c>
      <c r="L843" t="s">
        <v>55</v>
      </c>
      <c r="M843" t="s">
        <v>56</v>
      </c>
      <c r="N843" t="s">
        <v>57</v>
      </c>
      <c r="O843">
        <v>4</v>
      </c>
      <c r="P843" t="s">
        <v>8</v>
      </c>
      <c r="Q843">
        <v>6.1</v>
      </c>
    </row>
    <row r="844" spans="1:17">
      <c r="A844">
        <v>1840</v>
      </c>
      <c r="B844" t="s">
        <v>76</v>
      </c>
      <c r="C844">
        <v>0.42</v>
      </c>
      <c r="D844">
        <v>0.32500000000000001</v>
      </c>
      <c r="E844">
        <v>0.1</v>
      </c>
      <c r="F844">
        <v>0.36799999999999999</v>
      </c>
      <c r="G844">
        <v>0.16750000000000001</v>
      </c>
      <c r="H844">
        <v>6.25E-2</v>
      </c>
      <c r="I844">
        <v>0.1135</v>
      </c>
      <c r="J844">
        <v>11</v>
      </c>
      <c r="K844">
        <v>13</v>
      </c>
      <c r="L844" t="s">
        <v>43</v>
      </c>
      <c r="M844" t="s">
        <v>44</v>
      </c>
      <c r="N844" t="s">
        <v>45</v>
      </c>
      <c r="O844">
        <v>4</v>
      </c>
      <c r="P844" t="s">
        <v>8</v>
      </c>
      <c r="Q844">
        <v>6.1</v>
      </c>
    </row>
    <row r="845" spans="1:17">
      <c r="A845">
        <v>3299</v>
      </c>
      <c r="B845" t="s">
        <v>76</v>
      </c>
      <c r="C845">
        <v>0.62</v>
      </c>
      <c r="D845">
        <v>0.5</v>
      </c>
      <c r="E845">
        <v>0.17499999999999999</v>
      </c>
      <c r="F845">
        <v>1.1459999999999999</v>
      </c>
      <c r="G845">
        <v>0.47699999999999998</v>
      </c>
      <c r="H845">
        <v>0.23</v>
      </c>
      <c r="I845">
        <v>0.39</v>
      </c>
      <c r="J845">
        <v>13</v>
      </c>
      <c r="K845">
        <v>1</v>
      </c>
      <c r="L845" t="s">
        <v>70</v>
      </c>
      <c r="M845" t="s">
        <v>71</v>
      </c>
      <c r="N845" t="s">
        <v>45</v>
      </c>
      <c r="O845">
        <v>5</v>
      </c>
      <c r="P845" t="s">
        <v>12</v>
      </c>
      <c r="Q845">
        <v>12.8</v>
      </c>
    </row>
    <row r="846" spans="1:17">
      <c r="A846">
        <v>3898</v>
      </c>
      <c r="B846" t="s">
        <v>76</v>
      </c>
      <c r="C846">
        <v>0.61499999999999999</v>
      </c>
      <c r="D846">
        <v>0.5</v>
      </c>
      <c r="E846">
        <v>0.16500000000000001</v>
      </c>
      <c r="F846">
        <v>1.1765000000000001</v>
      </c>
      <c r="G846">
        <v>0.48799999999999999</v>
      </c>
      <c r="H846">
        <v>0.24399999999999999</v>
      </c>
      <c r="I846">
        <v>0.34499999999999997</v>
      </c>
      <c r="J846">
        <v>17</v>
      </c>
      <c r="K846">
        <v>1</v>
      </c>
      <c r="L846" t="s">
        <v>70</v>
      </c>
      <c r="M846" t="s">
        <v>71</v>
      </c>
      <c r="N846" t="s">
        <v>45</v>
      </c>
      <c r="O846">
        <v>1</v>
      </c>
      <c r="P846" t="s">
        <v>4</v>
      </c>
      <c r="Q846">
        <v>22.1</v>
      </c>
    </row>
    <row r="847" spans="1:17">
      <c r="A847">
        <v>3164</v>
      </c>
      <c r="B847" t="s">
        <v>76</v>
      </c>
      <c r="C847">
        <v>0.55000000000000004</v>
      </c>
      <c r="D847">
        <v>0.44</v>
      </c>
      <c r="E847">
        <v>0.125</v>
      </c>
      <c r="F847">
        <v>0.76500000000000001</v>
      </c>
      <c r="G847">
        <v>0.33</v>
      </c>
      <c r="H847">
        <v>0.21249999999999999</v>
      </c>
      <c r="I847">
        <v>0.245</v>
      </c>
      <c r="J847">
        <v>9</v>
      </c>
      <c r="K847">
        <v>1</v>
      </c>
      <c r="L847" t="s">
        <v>70</v>
      </c>
      <c r="M847" t="s">
        <v>71</v>
      </c>
      <c r="N847" t="s">
        <v>45</v>
      </c>
      <c r="O847">
        <v>1</v>
      </c>
      <c r="P847" t="s">
        <v>4</v>
      </c>
      <c r="Q847">
        <v>22.1</v>
      </c>
    </row>
    <row r="848" spans="1:17">
      <c r="A848">
        <v>2294</v>
      </c>
      <c r="B848" t="s">
        <v>76</v>
      </c>
      <c r="C848">
        <v>0.34</v>
      </c>
      <c r="D848">
        <v>0.26</v>
      </c>
      <c r="E848">
        <v>0.09</v>
      </c>
      <c r="F848">
        <v>0.17899999999999999</v>
      </c>
      <c r="G848">
        <v>7.5999999999999998E-2</v>
      </c>
      <c r="H848">
        <v>5.2499999999999998E-2</v>
      </c>
      <c r="I848">
        <v>5.5E-2</v>
      </c>
      <c r="J848">
        <v>6</v>
      </c>
      <c r="K848">
        <v>11</v>
      </c>
      <c r="L848" t="s">
        <v>65</v>
      </c>
      <c r="M848" t="s">
        <v>66</v>
      </c>
      <c r="N848" t="s">
        <v>45</v>
      </c>
      <c r="O848">
        <v>9</v>
      </c>
      <c r="P848" t="s">
        <v>9</v>
      </c>
      <c r="Q848">
        <v>1.9</v>
      </c>
    </row>
    <row r="849" spans="1:17">
      <c r="A849">
        <v>3322</v>
      </c>
      <c r="B849" t="s">
        <v>76</v>
      </c>
      <c r="C849">
        <v>0.49</v>
      </c>
      <c r="D849">
        <v>0.38500000000000001</v>
      </c>
      <c r="E849">
        <v>0.14000000000000001</v>
      </c>
      <c r="F849">
        <v>0.54249999999999998</v>
      </c>
      <c r="G849">
        <v>0.19800000000000001</v>
      </c>
      <c r="H849">
        <v>0.127</v>
      </c>
      <c r="I849">
        <v>0.17499999999999999</v>
      </c>
      <c r="J849">
        <v>11</v>
      </c>
      <c r="K849">
        <v>2</v>
      </c>
      <c r="L849" t="s">
        <v>49</v>
      </c>
      <c r="M849" t="s">
        <v>50</v>
      </c>
      <c r="N849" t="s">
        <v>51</v>
      </c>
      <c r="O849">
        <v>1</v>
      </c>
      <c r="P849" t="s">
        <v>4</v>
      </c>
      <c r="Q849">
        <v>22.1</v>
      </c>
    </row>
    <row r="850" spans="1:17">
      <c r="A850">
        <v>3330</v>
      </c>
      <c r="B850" t="s">
        <v>76</v>
      </c>
      <c r="C850">
        <v>0.54500000000000004</v>
      </c>
      <c r="D850">
        <v>0.435</v>
      </c>
      <c r="E850">
        <v>0.15</v>
      </c>
      <c r="F850">
        <v>0.6855</v>
      </c>
      <c r="G850">
        <v>0.29049999999999998</v>
      </c>
      <c r="H850">
        <v>0.14499999999999999</v>
      </c>
      <c r="I850">
        <v>0.22500000000000001</v>
      </c>
      <c r="J850">
        <v>10</v>
      </c>
      <c r="K850">
        <v>12</v>
      </c>
      <c r="L850" t="s">
        <v>58</v>
      </c>
      <c r="M850" t="s">
        <v>59</v>
      </c>
      <c r="N850" t="s">
        <v>45</v>
      </c>
      <c r="O850">
        <v>4</v>
      </c>
      <c r="P850" t="s">
        <v>8</v>
      </c>
      <c r="Q850">
        <v>6.1</v>
      </c>
    </row>
    <row r="851" spans="1:17">
      <c r="A851">
        <v>177</v>
      </c>
      <c r="B851" t="s">
        <v>76</v>
      </c>
      <c r="C851">
        <v>0.315</v>
      </c>
      <c r="D851">
        <v>0.21</v>
      </c>
      <c r="E851">
        <v>0.06</v>
      </c>
      <c r="F851">
        <v>0.125</v>
      </c>
      <c r="G851">
        <v>0.06</v>
      </c>
      <c r="H851">
        <v>3.7499999999999999E-2</v>
      </c>
      <c r="I851">
        <v>3.5000000000000003E-2</v>
      </c>
      <c r="J851">
        <v>5</v>
      </c>
      <c r="K851">
        <v>8</v>
      </c>
      <c r="L851" t="s">
        <v>55</v>
      </c>
      <c r="M851" t="s">
        <v>56</v>
      </c>
      <c r="N851" t="s">
        <v>57</v>
      </c>
      <c r="O851">
        <v>8</v>
      </c>
      <c r="P851" t="s">
        <v>13</v>
      </c>
      <c r="Q851">
        <v>12.3</v>
      </c>
    </row>
    <row r="852" spans="1:17">
      <c r="A852">
        <v>1770</v>
      </c>
      <c r="B852" t="s">
        <v>76</v>
      </c>
      <c r="C852">
        <v>0.44500000000000001</v>
      </c>
      <c r="D852">
        <v>0.32</v>
      </c>
      <c r="E852">
        <v>0.12</v>
      </c>
      <c r="F852">
        <v>0.41399999999999998</v>
      </c>
      <c r="G852">
        <v>0.19900000000000001</v>
      </c>
      <c r="H852">
        <v>0.09</v>
      </c>
      <c r="I852">
        <v>0.11700000000000001</v>
      </c>
      <c r="J852">
        <v>7</v>
      </c>
      <c r="K852">
        <v>10</v>
      </c>
      <c r="L852" t="s">
        <v>37</v>
      </c>
      <c r="M852" t="s">
        <v>38</v>
      </c>
      <c r="N852" t="s">
        <v>39</v>
      </c>
      <c r="O852">
        <v>6</v>
      </c>
      <c r="P852" t="s">
        <v>7</v>
      </c>
      <c r="Q852">
        <v>14.1</v>
      </c>
    </row>
    <row r="853" spans="1:17">
      <c r="A853">
        <v>982</v>
      </c>
      <c r="B853" t="s">
        <v>76</v>
      </c>
      <c r="C853">
        <v>0.55000000000000004</v>
      </c>
      <c r="D853">
        <v>0.43</v>
      </c>
      <c r="E853">
        <v>0.14000000000000001</v>
      </c>
      <c r="F853">
        <v>0.8105</v>
      </c>
      <c r="G853">
        <v>0.36799999999999999</v>
      </c>
      <c r="H853">
        <v>0.161</v>
      </c>
      <c r="I853">
        <v>0.27500000000000002</v>
      </c>
      <c r="J853">
        <v>9</v>
      </c>
      <c r="K853">
        <v>13</v>
      </c>
      <c r="L853" t="s">
        <v>43</v>
      </c>
      <c r="M853" t="s">
        <v>44</v>
      </c>
      <c r="N853" t="s">
        <v>45</v>
      </c>
      <c r="O853">
        <v>2</v>
      </c>
      <c r="P853" t="s">
        <v>5</v>
      </c>
      <c r="Q853">
        <v>18</v>
      </c>
    </row>
    <row r="854" spans="1:17">
      <c r="A854">
        <v>4062</v>
      </c>
      <c r="B854" t="s">
        <v>76</v>
      </c>
      <c r="C854">
        <v>0.62</v>
      </c>
      <c r="D854">
        <v>0.46500000000000002</v>
      </c>
      <c r="E854">
        <v>0.14499999999999999</v>
      </c>
      <c r="F854">
        <v>0.91100000000000003</v>
      </c>
      <c r="G854">
        <v>0.375</v>
      </c>
      <c r="H854">
        <v>0.2145</v>
      </c>
      <c r="I854">
        <v>0.27800000000000002</v>
      </c>
      <c r="J854">
        <v>10</v>
      </c>
      <c r="K854">
        <v>9</v>
      </c>
      <c r="L854" t="s">
        <v>34</v>
      </c>
      <c r="M854" t="s">
        <v>35</v>
      </c>
      <c r="N854" t="s">
        <v>36</v>
      </c>
      <c r="O854">
        <v>7</v>
      </c>
      <c r="P854" t="s">
        <v>6</v>
      </c>
      <c r="Q854">
        <v>2.5</v>
      </c>
    </row>
    <row r="855" spans="1:17">
      <c r="A855">
        <v>3907</v>
      </c>
      <c r="B855" t="s">
        <v>76</v>
      </c>
      <c r="C855">
        <v>0.245</v>
      </c>
      <c r="D855">
        <v>0.18</v>
      </c>
      <c r="E855">
        <v>6.5000000000000002E-2</v>
      </c>
      <c r="F855">
        <v>6.3500000000000001E-2</v>
      </c>
      <c r="G855">
        <v>2.4500000000000001E-2</v>
      </c>
      <c r="H855">
        <v>1.35E-2</v>
      </c>
      <c r="I855">
        <v>0.02</v>
      </c>
      <c r="J855">
        <v>4</v>
      </c>
      <c r="K855">
        <v>12</v>
      </c>
      <c r="L855" t="s">
        <v>58</v>
      </c>
      <c r="M855" t="s">
        <v>59</v>
      </c>
      <c r="N855" t="s">
        <v>45</v>
      </c>
      <c r="O855">
        <v>3</v>
      </c>
      <c r="P855" t="s">
        <v>10</v>
      </c>
      <c r="Q855">
        <v>3.6</v>
      </c>
    </row>
    <row r="856" spans="1:17">
      <c r="A856">
        <v>2331</v>
      </c>
      <c r="B856" t="s">
        <v>76</v>
      </c>
      <c r="C856">
        <v>0.42</v>
      </c>
      <c r="D856">
        <v>0.34499999999999997</v>
      </c>
      <c r="E856">
        <v>0.115</v>
      </c>
      <c r="F856">
        <v>0.34350000000000003</v>
      </c>
      <c r="G856">
        <v>0.1515</v>
      </c>
      <c r="H856">
        <v>7.9500000000000001E-2</v>
      </c>
      <c r="I856">
        <v>0.115</v>
      </c>
      <c r="J856">
        <v>9</v>
      </c>
      <c r="K856">
        <v>3</v>
      </c>
      <c r="L856" t="s">
        <v>52</v>
      </c>
      <c r="M856" t="s">
        <v>53</v>
      </c>
      <c r="N856" t="s">
        <v>54</v>
      </c>
      <c r="O856">
        <v>2</v>
      </c>
      <c r="P856" t="s">
        <v>5</v>
      </c>
      <c r="Q856">
        <v>18</v>
      </c>
    </row>
    <row r="857" spans="1:17">
      <c r="A857">
        <v>1562</v>
      </c>
      <c r="B857" t="s">
        <v>76</v>
      </c>
      <c r="C857">
        <v>0.45</v>
      </c>
      <c r="D857">
        <v>0.34</v>
      </c>
      <c r="E857">
        <v>9.5000000000000001E-2</v>
      </c>
      <c r="F857">
        <v>0.32450000000000001</v>
      </c>
      <c r="G857">
        <v>0.13850000000000001</v>
      </c>
      <c r="H857">
        <v>6.4000000000000001E-2</v>
      </c>
      <c r="I857">
        <v>0.105</v>
      </c>
      <c r="J857">
        <v>8</v>
      </c>
      <c r="K857">
        <v>7</v>
      </c>
      <c r="L857" t="s">
        <v>62</v>
      </c>
      <c r="M857" t="s">
        <v>63</v>
      </c>
      <c r="N857" t="s">
        <v>64</v>
      </c>
      <c r="O857">
        <v>7</v>
      </c>
      <c r="P857" t="s">
        <v>6</v>
      </c>
      <c r="Q857">
        <v>2.5</v>
      </c>
    </row>
    <row r="858" spans="1:17">
      <c r="A858">
        <v>65</v>
      </c>
      <c r="B858" t="s">
        <v>76</v>
      </c>
      <c r="C858">
        <v>0.52</v>
      </c>
      <c r="D858">
        <v>0.4</v>
      </c>
      <c r="E858">
        <v>0.12</v>
      </c>
      <c r="F858">
        <v>0.57999999999999996</v>
      </c>
      <c r="G858">
        <v>0.23400000000000001</v>
      </c>
      <c r="H858">
        <v>0.13150000000000001</v>
      </c>
      <c r="I858">
        <v>0.185</v>
      </c>
      <c r="J858">
        <v>8</v>
      </c>
      <c r="K858">
        <v>4</v>
      </c>
      <c r="L858" t="s">
        <v>40</v>
      </c>
      <c r="M858" t="s">
        <v>41</v>
      </c>
      <c r="N858" t="s">
        <v>42</v>
      </c>
      <c r="O858">
        <v>7</v>
      </c>
      <c r="P858" t="s">
        <v>6</v>
      </c>
      <c r="Q858">
        <v>2.5</v>
      </c>
    </row>
    <row r="859" spans="1:17">
      <c r="A859">
        <v>942</v>
      </c>
      <c r="B859" t="s">
        <v>76</v>
      </c>
      <c r="C859">
        <v>0.46500000000000002</v>
      </c>
      <c r="D859">
        <v>0.36499999999999999</v>
      </c>
      <c r="E859">
        <v>0.115</v>
      </c>
      <c r="F859">
        <v>0.46700000000000003</v>
      </c>
      <c r="G859">
        <v>0.23150000000000001</v>
      </c>
      <c r="H859">
        <v>9.2499999999999999E-2</v>
      </c>
      <c r="I859">
        <v>0.113</v>
      </c>
      <c r="J859">
        <v>7</v>
      </c>
      <c r="K859">
        <v>8</v>
      </c>
      <c r="L859" t="s">
        <v>55</v>
      </c>
      <c r="M859" t="s">
        <v>56</v>
      </c>
      <c r="N859" t="s">
        <v>57</v>
      </c>
      <c r="O859">
        <v>5</v>
      </c>
      <c r="P859" t="s">
        <v>12</v>
      </c>
      <c r="Q859">
        <v>12.8</v>
      </c>
    </row>
    <row r="860" spans="1:17">
      <c r="A860">
        <v>3524</v>
      </c>
      <c r="B860" t="s">
        <v>76</v>
      </c>
      <c r="C860">
        <v>0.26</v>
      </c>
      <c r="D860">
        <v>0.20499999999999999</v>
      </c>
      <c r="E860">
        <v>7.0000000000000007E-2</v>
      </c>
      <c r="F860">
        <v>9.7000000000000003E-2</v>
      </c>
      <c r="G860">
        <v>4.1500000000000002E-2</v>
      </c>
      <c r="H860">
        <v>1.9E-2</v>
      </c>
      <c r="I860">
        <v>3.0499999999999999E-2</v>
      </c>
      <c r="J860">
        <v>4</v>
      </c>
      <c r="K860">
        <v>6</v>
      </c>
      <c r="L860" t="s">
        <v>46</v>
      </c>
      <c r="M860" t="s">
        <v>47</v>
      </c>
      <c r="N860" t="s">
        <v>48</v>
      </c>
      <c r="O860">
        <v>10</v>
      </c>
      <c r="P860" t="s">
        <v>11</v>
      </c>
      <c r="Q860">
        <v>24.1</v>
      </c>
    </row>
    <row r="861" spans="1:17">
      <c r="A861">
        <v>3265</v>
      </c>
      <c r="B861" t="s">
        <v>76</v>
      </c>
      <c r="C861">
        <v>0.65500000000000003</v>
      </c>
      <c r="D861">
        <v>0.5</v>
      </c>
      <c r="E861">
        <v>0.14000000000000001</v>
      </c>
      <c r="F861">
        <v>1.1705000000000001</v>
      </c>
      <c r="G861">
        <v>0.54049999999999998</v>
      </c>
      <c r="H861">
        <v>0.3175</v>
      </c>
      <c r="I861">
        <v>0.28499999999999998</v>
      </c>
      <c r="J861">
        <v>12</v>
      </c>
      <c r="K861">
        <v>7</v>
      </c>
      <c r="L861" t="s">
        <v>62</v>
      </c>
      <c r="M861" t="s">
        <v>63</v>
      </c>
      <c r="N861" t="s">
        <v>64</v>
      </c>
      <c r="O861">
        <v>7</v>
      </c>
      <c r="P861" t="s">
        <v>6</v>
      </c>
      <c r="Q861">
        <v>2.5</v>
      </c>
    </row>
    <row r="862" spans="1:17">
      <c r="A862">
        <v>3332</v>
      </c>
      <c r="B862" t="s">
        <v>76</v>
      </c>
      <c r="C862">
        <v>0.51</v>
      </c>
      <c r="D862">
        <v>0.34</v>
      </c>
      <c r="E862">
        <v>0.18</v>
      </c>
      <c r="F862">
        <v>0.70050000000000001</v>
      </c>
      <c r="G862">
        <v>0.312</v>
      </c>
      <c r="H862">
        <v>0.16500000000000001</v>
      </c>
      <c r="I862">
        <v>0.2</v>
      </c>
      <c r="J862">
        <v>11</v>
      </c>
      <c r="K862">
        <v>5</v>
      </c>
      <c r="L862" t="s">
        <v>67</v>
      </c>
      <c r="M862" t="s">
        <v>68</v>
      </c>
      <c r="N862" t="s">
        <v>69</v>
      </c>
      <c r="O862">
        <v>1</v>
      </c>
      <c r="P862" t="s">
        <v>4</v>
      </c>
      <c r="Q862">
        <v>22.1</v>
      </c>
    </row>
    <row r="863" spans="1:17">
      <c r="A863">
        <v>27</v>
      </c>
      <c r="B863" t="s">
        <v>76</v>
      </c>
      <c r="C863">
        <v>0.57999999999999996</v>
      </c>
      <c r="D863">
        <v>0.45</v>
      </c>
      <c r="E863">
        <v>0.185</v>
      </c>
      <c r="F863">
        <v>0.99550000000000005</v>
      </c>
      <c r="G863">
        <v>0.39450000000000002</v>
      </c>
      <c r="H863">
        <v>0.27200000000000002</v>
      </c>
      <c r="I863">
        <v>0.28499999999999998</v>
      </c>
      <c r="J863">
        <v>11</v>
      </c>
      <c r="K863">
        <v>14</v>
      </c>
      <c r="L863" t="s">
        <v>72</v>
      </c>
      <c r="M863" t="s">
        <v>73</v>
      </c>
      <c r="N863" t="s">
        <v>74</v>
      </c>
      <c r="O863">
        <v>8</v>
      </c>
      <c r="P863" t="s">
        <v>13</v>
      </c>
      <c r="Q863">
        <v>12.3</v>
      </c>
    </row>
    <row r="864" spans="1:17">
      <c r="A864">
        <v>1660</v>
      </c>
      <c r="B864" t="s">
        <v>76</v>
      </c>
      <c r="C864">
        <v>0.6</v>
      </c>
      <c r="D864">
        <v>0.48</v>
      </c>
      <c r="E864">
        <v>0.18</v>
      </c>
      <c r="F864">
        <v>1.0645</v>
      </c>
      <c r="G864">
        <v>0.44950000000000001</v>
      </c>
      <c r="H864">
        <v>0.2455</v>
      </c>
      <c r="I864">
        <v>0.32500000000000001</v>
      </c>
      <c r="J864">
        <v>10</v>
      </c>
      <c r="K864">
        <v>6</v>
      </c>
      <c r="L864" t="s">
        <v>46</v>
      </c>
      <c r="M864" t="s">
        <v>47</v>
      </c>
      <c r="N864" t="s">
        <v>48</v>
      </c>
      <c r="O864">
        <v>4</v>
      </c>
      <c r="P864" t="s">
        <v>8</v>
      </c>
      <c r="Q864">
        <v>6.1</v>
      </c>
    </row>
    <row r="865" spans="1:17">
      <c r="A865">
        <v>3506</v>
      </c>
      <c r="B865" t="s">
        <v>76</v>
      </c>
      <c r="C865">
        <v>0.625</v>
      </c>
      <c r="D865">
        <v>0.495</v>
      </c>
      <c r="E865">
        <v>0.18</v>
      </c>
      <c r="F865">
        <v>1.0814999999999999</v>
      </c>
      <c r="G865">
        <v>0.47149999999999997</v>
      </c>
      <c r="H865">
        <v>0.254</v>
      </c>
      <c r="I865">
        <v>0.3135</v>
      </c>
      <c r="J865">
        <v>10</v>
      </c>
      <c r="K865">
        <v>1</v>
      </c>
      <c r="L865" t="s">
        <v>70</v>
      </c>
      <c r="M865" t="s">
        <v>71</v>
      </c>
      <c r="N865" t="s">
        <v>45</v>
      </c>
      <c r="O865">
        <v>4</v>
      </c>
      <c r="P865" t="s">
        <v>8</v>
      </c>
      <c r="Q865">
        <v>6.1</v>
      </c>
    </row>
    <row r="866" spans="1:17">
      <c r="A866">
        <v>2402</v>
      </c>
      <c r="B866" t="s">
        <v>76</v>
      </c>
      <c r="C866">
        <v>0.58499999999999996</v>
      </c>
      <c r="D866">
        <v>0.41499999999999998</v>
      </c>
      <c r="E866">
        <v>0.155</v>
      </c>
      <c r="F866">
        <v>0.69850000000000001</v>
      </c>
      <c r="G866">
        <v>0.3</v>
      </c>
      <c r="H866">
        <v>0.14599999999999999</v>
      </c>
      <c r="I866">
        <v>0.19500000000000001</v>
      </c>
      <c r="J866">
        <v>12</v>
      </c>
      <c r="K866">
        <v>4</v>
      </c>
      <c r="L866" t="s">
        <v>40</v>
      </c>
      <c r="M866" t="s">
        <v>41</v>
      </c>
      <c r="N866" t="s">
        <v>42</v>
      </c>
      <c r="O866">
        <v>4</v>
      </c>
      <c r="P866" t="s">
        <v>8</v>
      </c>
      <c r="Q866">
        <v>6.1</v>
      </c>
    </row>
    <row r="867" spans="1:17">
      <c r="A867">
        <v>24</v>
      </c>
      <c r="B867" t="s">
        <v>76</v>
      </c>
      <c r="C867">
        <v>0.55000000000000004</v>
      </c>
      <c r="D867">
        <v>0.41499999999999998</v>
      </c>
      <c r="E867">
        <v>0.13500000000000001</v>
      </c>
      <c r="F867">
        <v>0.76349999999999996</v>
      </c>
      <c r="G867">
        <v>0.318</v>
      </c>
      <c r="H867">
        <v>0.21</v>
      </c>
      <c r="I867">
        <v>0.2</v>
      </c>
      <c r="J867">
        <v>9</v>
      </c>
      <c r="K867">
        <v>7</v>
      </c>
      <c r="L867" t="s">
        <v>62</v>
      </c>
      <c r="M867" t="s">
        <v>63</v>
      </c>
      <c r="N867" t="s">
        <v>64</v>
      </c>
      <c r="O867">
        <v>8</v>
      </c>
      <c r="P867" t="s">
        <v>13</v>
      </c>
      <c r="Q867">
        <v>12.3</v>
      </c>
    </row>
    <row r="868" spans="1:17">
      <c r="A868">
        <v>2118</v>
      </c>
      <c r="B868" t="s">
        <v>76</v>
      </c>
      <c r="C868">
        <v>0.375</v>
      </c>
      <c r="D868">
        <v>0.28999999999999998</v>
      </c>
      <c r="E868">
        <v>0.08</v>
      </c>
      <c r="F868">
        <v>0.28199999999999997</v>
      </c>
      <c r="G868">
        <v>0.14050000000000001</v>
      </c>
      <c r="H868">
        <v>7.2499999999999995E-2</v>
      </c>
      <c r="I868">
        <v>0.08</v>
      </c>
      <c r="J868">
        <v>7</v>
      </c>
      <c r="K868">
        <v>10</v>
      </c>
      <c r="L868" t="s">
        <v>37</v>
      </c>
      <c r="M868" t="s">
        <v>38</v>
      </c>
      <c r="N868" t="s">
        <v>39</v>
      </c>
      <c r="O868">
        <v>4</v>
      </c>
      <c r="P868" t="s">
        <v>8</v>
      </c>
      <c r="Q868">
        <v>6.1</v>
      </c>
    </row>
    <row r="869" spans="1:17">
      <c r="A869">
        <v>3681</v>
      </c>
      <c r="B869" t="s">
        <v>76</v>
      </c>
      <c r="C869">
        <v>0.61</v>
      </c>
      <c r="D869">
        <v>0.495</v>
      </c>
      <c r="E869">
        <v>0.16500000000000001</v>
      </c>
      <c r="F869">
        <v>1.0834999999999999</v>
      </c>
      <c r="G869">
        <v>0.45250000000000001</v>
      </c>
      <c r="H869">
        <v>0.27300000000000002</v>
      </c>
      <c r="I869">
        <v>0.317</v>
      </c>
      <c r="J869">
        <v>9</v>
      </c>
      <c r="K869">
        <v>9</v>
      </c>
      <c r="L869" t="s">
        <v>34</v>
      </c>
      <c r="M869" t="s">
        <v>35</v>
      </c>
      <c r="N869" t="s">
        <v>36</v>
      </c>
      <c r="O869">
        <v>3</v>
      </c>
      <c r="P869" t="s">
        <v>10</v>
      </c>
      <c r="Q869">
        <v>3.6</v>
      </c>
    </row>
    <row r="870" spans="1:17">
      <c r="A870">
        <v>737</v>
      </c>
      <c r="B870" t="s">
        <v>76</v>
      </c>
      <c r="C870">
        <v>0.52</v>
      </c>
      <c r="D870">
        <v>0.38500000000000001</v>
      </c>
      <c r="E870">
        <v>0.115</v>
      </c>
      <c r="F870">
        <v>0.66900000000000004</v>
      </c>
      <c r="G870">
        <v>0.23849999999999999</v>
      </c>
      <c r="H870">
        <v>0.17199999999999999</v>
      </c>
      <c r="I870">
        <v>0.20499999999999999</v>
      </c>
      <c r="J870">
        <v>12</v>
      </c>
      <c r="K870">
        <v>7</v>
      </c>
      <c r="L870" t="s">
        <v>62</v>
      </c>
      <c r="M870" t="s">
        <v>63</v>
      </c>
      <c r="N870" t="s">
        <v>64</v>
      </c>
      <c r="O870">
        <v>2</v>
      </c>
      <c r="P870" t="s">
        <v>5</v>
      </c>
      <c r="Q870">
        <v>18</v>
      </c>
    </row>
    <row r="871" spans="1:17">
      <c r="A871">
        <v>2078</v>
      </c>
      <c r="B871" t="s">
        <v>76</v>
      </c>
      <c r="C871">
        <v>0.61</v>
      </c>
      <c r="D871">
        <v>0.43</v>
      </c>
      <c r="E871">
        <v>0.14000000000000001</v>
      </c>
      <c r="F871">
        <v>0.90900000000000003</v>
      </c>
      <c r="G871">
        <v>0.438</v>
      </c>
      <c r="H871">
        <v>0.2</v>
      </c>
      <c r="I871">
        <v>0.22</v>
      </c>
      <c r="J871">
        <v>8</v>
      </c>
      <c r="K871">
        <v>15</v>
      </c>
      <c r="L871" t="s">
        <v>60</v>
      </c>
      <c r="M871" t="s">
        <v>61</v>
      </c>
      <c r="N871" t="s">
        <v>45</v>
      </c>
      <c r="O871">
        <v>3</v>
      </c>
      <c r="P871" t="s">
        <v>10</v>
      </c>
      <c r="Q871">
        <v>3.6</v>
      </c>
    </row>
    <row r="872" spans="1:17">
      <c r="A872">
        <v>4169</v>
      </c>
      <c r="B872" t="s">
        <v>76</v>
      </c>
      <c r="C872">
        <v>0.51500000000000001</v>
      </c>
      <c r="D872">
        <v>0.4</v>
      </c>
      <c r="E872">
        <v>0.125</v>
      </c>
      <c r="F872">
        <v>0.61499999999999999</v>
      </c>
      <c r="G872">
        <v>0.28649999999999998</v>
      </c>
      <c r="H872">
        <v>0.123</v>
      </c>
      <c r="I872">
        <v>0.17649999999999999</v>
      </c>
      <c r="J872">
        <v>8</v>
      </c>
      <c r="K872">
        <v>5</v>
      </c>
      <c r="L872" t="s">
        <v>67</v>
      </c>
      <c r="M872" t="s">
        <v>68</v>
      </c>
      <c r="N872" t="s">
        <v>69</v>
      </c>
      <c r="O872">
        <v>10</v>
      </c>
      <c r="P872" t="s">
        <v>11</v>
      </c>
      <c r="Q872">
        <v>24.1</v>
      </c>
    </row>
    <row r="873" spans="1:17">
      <c r="A873">
        <v>2788</v>
      </c>
      <c r="B873" t="s">
        <v>76</v>
      </c>
      <c r="C873">
        <v>0.61</v>
      </c>
      <c r="D873">
        <v>0.45</v>
      </c>
      <c r="E873">
        <v>0.13</v>
      </c>
      <c r="F873">
        <v>0.87250000000000005</v>
      </c>
      <c r="G873">
        <v>0.38900000000000001</v>
      </c>
      <c r="H873">
        <v>0.17150000000000001</v>
      </c>
      <c r="I873">
        <v>0.27200000000000002</v>
      </c>
      <c r="J873">
        <v>11</v>
      </c>
      <c r="K873">
        <v>5</v>
      </c>
      <c r="L873" t="s">
        <v>67</v>
      </c>
      <c r="M873" t="s">
        <v>68</v>
      </c>
      <c r="N873" t="s">
        <v>69</v>
      </c>
      <c r="O873">
        <v>5</v>
      </c>
      <c r="P873" t="s">
        <v>12</v>
      </c>
      <c r="Q873">
        <v>12.8</v>
      </c>
    </row>
    <row r="874" spans="1:17">
      <c r="A874">
        <v>306</v>
      </c>
      <c r="B874" t="s">
        <v>76</v>
      </c>
      <c r="C874">
        <v>0.2</v>
      </c>
      <c r="D874">
        <v>0.14499999999999999</v>
      </c>
      <c r="E874">
        <v>0.06</v>
      </c>
      <c r="F874">
        <v>3.6999999999999998E-2</v>
      </c>
      <c r="G874">
        <v>1.2500000000000001E-2</v>
      </c>
      <c r="H874">
        <v>9.4999999999999998E-3</v>
      </c>
      <c r="I874">
        <v>1.0999999999999999E-2</v>
      </c>
      <c r="J874">
        <v>4</v>
      </c>
      <c r="K874">
        <v>6</v>
      </c>
      <c r="L874" t="s">
        <v>46</v>
      </c>
      <c r="M874" t="s">
        <v>47</v>
      </c>
      <c r="N874" t="s">
        <v>48</v>
      </c>
      <c r="O874">
        <v>1</v>
      </c>
      <c r="P874" t="s">
        <v>4</v>
      </c>
      <c r="Q874">
        <v>22.1</v>
      </c>
    </row>
    <row r="875" spans="1:17">
      <c r="A875">
        <v>3294</v>
      </c>
      <c r="B875" t="s">
        <v>76</v>
      </c>
      <c r="C875">
        <v>0.57499999999999996</v>
      </c>
      <c r="D875">
        <v>0.45500000000000002</v>
      </c>
      <c r="E875">
        <v>0.185</v>
      </c>
      <c r="F875">
        <v>1.1559999999999999</v>
      </c>
      <c r="G875">
        <v>0.55249999999999999</v>
      </c>
      <c r="H875">
        <v>0.24299999999999999</v>
      </c>
      <c r="I875">
        <v>0.29499999999999998</v>
      </c>
      <c r="J875">
        <v>13</v>
      </c>
      <c r="K875">
        <v>3</v>
      </c>
      <c r="L875" t="s">
        <v>52</v>
      </c>
      <c r="M875" t="s">
        <v>53</v>
      </c>
      <c r="N875" t="s">
        <v>54</v>
      </c>
      <c r="O875">
        <v>9</v>
      </c>
      <c r="P875" t="s">
        <v>9</v>
      </c>
      <c r="Q875">
        <v>1.9</v>
      </c>
    </row>
    <row r="876" spans="1:17">
      <c r="A876">
        <v>3399</v>
      </c>
      <c r="B876" t="s">
        <v>76</v>
      </c>
      <c r="C876">
        <v>0.36499999999999999</v>
      </c>
      <c r="D876">
        <v>0.28499999999999998</v>
      </c>
      <c r="E876">
        <v>8.5000000000000006E-2</v>
      </c>
      <c r="F876">
        <v>0.2205</v>
      </c>
      <c r="G876">
        <v>8.5500000000000007E-2</v>
      </c>
      <c r="H876">
        <v>5.1499999999999997E-2</v>
      </c>
      <c r="I876">
        <v>7.0000000000000007E-2</v>
      </c>
      <c r="J876">
        <v>9</v>
      </c>
      <c r="K876">
        <v>5</v>
      </c>
      <c r="L876" t="s">
        <v>67</v>
      </c>
      <c r="M876" t="s">
        <v>68</v>
      </c>
      <c r="N876" t="s">
        <v>69</v>
      </c>
      <c r="O876">
        <v>2</v>
      </c>
      <c r="P876" t="s">
        <v>5</v>
      </c>
      <c r="Q876">
        <v>18</v>
      </c>
    </row>
    <row r="877" spans="1:17">
      <c r="A877">
        <v>2453</v>
      </c>
      <c r="B877" t="s">
        <v>76</v>
      </c>
      <c r="C877">
        <v>0.39500000000000002</v>
      </c>
      <c r="D877">
        <v>0.30499999999999999</v>
      </c>
      <c r="E877">
        <v>0.105</v>
      </c>
      <c r="F877">
        <v>0.28199999999999997</v>
      </c>
      <c r="G877">
        <v>9.7500000000000003E-2</v>
      </c>
      <c r="H877">
        <v>6.5000000000000002E-2</v>
      </c>
      <c r="I877">
        <v>9.6000000000000002E-2</v>
      </c>
      <c r="J877">
        <v>9</v>
      </c>
      <c r="K877">
        <v>2</v>
      </c>
      <c r="L877" t="s">
        <v>49</v>
      </c>
      <c r="M877" t="s">
        <v>50</v>
      </c>
      <c r="N877" t="s">
        <v>51</v>
      </c>
      <c r="O877">
        <v>1</v>
      </c>
      <c r="P877" t="s">
        <v>4</v>
      </c>
      <c r="Q877">
        <v>22.1</v>
      </c>
    </row>
    <row r="878" spans="1:17">
      <c r="A878">
        <v>508</v>
      </c>
      <c r="B878" t="s">
        <v>76</v>
      </c>
      <c r="C878">
        <v>0.58499999999999996</v>
      </c>
      <c r="D878">
        <v>0.45500000000000002</v>
      </c>
      <c r="E878">
        <v>0.22500000000000001</v>
      </c>
      <c r="F878">
        <v>1.0549999999999999</v>
      </c>
      <c r="G878">
        <v>0.38150000000000001</v>
      </c>
      <c r="H878">
        <v>0.221</v>
      </c>
      <c r="I878">
        <v>0.36499999999999999</v>
      </c>
      <c r="J878">
        <v>15</v>
      </c>
      <c r="K878">
        <v>4</v>
      </c>
      <c r="L878" t="s">
        <v>40</v>
      </c>
      <c r="M878" t="s">
        <v>41</v>
      </c>
      <c r="N878" t="s">
        <v>42</v>
      </c>
      <c r="O878">
        <v>4</v>
      </c>
      <c r="P878" t="s">
        <v>8</v>
      </c>
      <c r="Q878">
        <v>6.1</v>
      </c>
    </row>
    <row r="879" spans="1:17">
      <c r="A879">
        <v>3566</v>
      </c>
      <c r="B879" t="s">
        <v>76</v>
      </c>
      <c r="C879">
        <v>0.57499999999999996</v>
      </c>
      <c r="D879">
        <v>0.47499999999999998</v>
      </c>
      <c r="E879">
        <v>0.16</v>
      </c>
      <c r="F879">
        <v>0.89500000000000002</v>
      </c>
      <c r="G879">
        <v>0.36049999999999999</v>
      </c>
      <c r="H879">
        <v>0.221</v>
      </c>
      <c r="I879">
        <v>0.27100000000000002</v>
      </c>
      <c r="J879">
        <v>9</v>
      </c>
      <c r="K879">
        <v>13</v>
      </c>
      <c r="L879" t="s">
        <v>43</v>
      </c>
      <c r="M879" t="s">
        <v>44</v>
      </c>
      <c r="N879" t="s">
        <v>45</v>
      </c>
      <c r="O879">
        <v>5</v>
      </c>
      <c r="P879" t="s">
        <v>12</v>
      </c>
      <c r="Q879">
        <v>12.8</v>
      </c>
    </row>
    <row r="880" spans="1:17">
      <c r="A880">
        <v>2555</v>
      </c>
      <c r="B880" t="s">
        <v>76</v>
      </c>
      <c r="C880">
        <v>0.34</v>
      </c>
      <c r="D880">
        <v>0.26500000000000001</v>
      </c>
      <c r="E880">
        <v>7.0000000000000007E-2</v>
      </c>
      <c r="F880">
        <v>0.185</v>
      </c>
      <c r="G880">
        <v>6.25E-2</v>
      </c>
      <c r="H880">
        <v>3.95E-2</v>
      </c>
      <c r="I880">
        <v>7.0000000000000007E-2</v>
      </c>
      <c r="J880">
        <v>7</v>
      </c>
      <c r="K880">
        <v>1</v>
      </c>
      <c r="L880" t="s">
        <v>70</v>
      </c>
      <c r="M880" t="s">
        <v>71</v>
      </c>
      <c r="N880" t="s">
        <v>45</v>
      </c>
      <c r="O880">
        <v>10</v>
      </c>
      <c r="P880" t="s">
        <v>11</v>
      </c>
      <c r="Q880">
        <v>24.1</v>
      </c>
    </row>
    <row r="881" spans="1:17">
      <c r="A881">
        <v>1632</v>
      </c>
      <c r="B881" t="s">
        <v>76</v>
      </c>
      <c r="C881">
        <v>0.56999999999999995</v>
      </c>
      <c r="D881">
        <v>0.44500000000000001</v>
      </c>
      <c r="E881">
        <v>0.14499999999999999</v>
      </c>
      <c r="F881">
        <v>0.74050000000000005</v>
      </c>
      <c r="G881">
        <v>0.30599999999999999</v>
      </c>
      <c r="H881">
        <v>0.17199999999999999</v>
      </c>
      <c r="I881">
        <v>0.1825</v>
      </c>
      <c r="J881">
        <v>12</v>
      </c>
      <c r="K881">
        <v>9</v>
      </c>
      <c r="L881" t="s">
        <v>34</v>
      </c>
      <c r="M881" t="s">
        <v>35</v>
      </c>
      <c r="N881" t="s">
        <v>36</v>
      </c>
      <c r="O881">
        <v>8</v>
      </c>
      <c r="P881" t="s">
        <v>13</v>
      </c>
      <c r="Q881">
        <v>12.3</v>
      </c>
    </row>
    <row r="882" spans="1:17">
      <c r="A882">
        <v>1087</v>
      </c>
      <c r="B882" t="s">
        <v>76</v>
      </c>
      <c r="C882">
        <v>0.44500000000000001</v>
      </c>
      <c r="D882">
        <v>0.33500000000000002</v>
      </c>
      <c r="E882">
        <v>0.11</v>
      </c>
      <c r="F882">
        <v>0.41099999999999998</v>
      </c>
      <c r="G882">
        <v>0.19850000000000001</v>
      </c>
      <c r="H882">
        <v>9.35E-2</v>
      </c>
      <c r="I882">
        <v>0.109</v>
      </c>
      <c r="J882">
        <v>8</v>
      </c>
      <c r="K882">
        <v>10</v>
      </c>
      <c r="L882" t="s">
        <v>37</v>
      </c>
      <c r="M882" t="s">
        <v>38</v>
      </c>
      <c r="N882" t="s">
        <v>39</v>
      </c>
      <c r="O882">
        <v>7</v>
      </c>
      <c r="P882" t="s">
        <v>6</v>
      </c>
      <c r="Q882">
        <v>2.5</v>
      </c>
    </row>
    <row r="883" spans="1:17">
      <c r="A883">
        <v>3231</v>
      </c>
      <c r="B883" t="s">
        <v>76</v>
      </c>
      <c r="C883">
        <v>0.56999999999999995</v>
      </c>
      <c r="D883">
        <v>0.45500000000000002</v>
      </c>
      <c r="E883">
        <v>0.15</v>
      </c>
      <c r="F883">
        <v>0.96</v>
      </c>
      <c r="G883">
        <v>0.38700000000000001</v>
      </c>
      <c r="H883">
        <v>0.23849999999999999</v>
      </c>
      <c r="I883">
        <v>0.27500000000000002</v>
      </c>
      <c r="J883">
        <v>11</v>
      </c>
      <c r="K883">
        <v>14</v>
      </c>
      <c r="L883" t="s">
        <v>72</v>
      </c>
      <c r="M883" t="s">
        <v>73</v>
      </c>
      <c r="N883" t="s">
        <v>74</v>
      </c>
      <c r="O883">
        <v>6</v>
      </c>
      <c r="P883" t="s">
        <v>7</v>
      </c>
      <c r="Q883">
        <v>14.1</v>
      </c>
    </row>
    <row r="884" spans="1:17">
      <c r="A884">
        <v>3786</v>
      </c>
      <c r="B884" t="s">
        <v>76</v>
      </c>
      <c r="C884">
        <v>0.625</v>
      </c>
      <c r="D884">
        <v>0.495</v>
      </c>
      <c r="E884">
        <v>0.155</v>
      </c>
      <c r="F884">
        <v>1.177</v>
      </c>
      <c r="G884">
        <v>0.50549999999999995</v>
      </c>
      <c r="H884">
        <v>0.27800000000000002</v>
      </c>
      <c r="I884">
        <v>0.34499999999999997</v>
      </c>
      <c r="J884">
        <v>9</v>
      </c>
      <c r="K884">
        <v>7</v>
      </c>
      <c r="L884" t="s">
        <v>62</v>
      </c>
      <c r="M884" t="s">
        <v>63</v>
      </c>
      <c r="N884" t="s">
        <v>64</v>
      </c>
      <c r="O884">
        <v>10</v>
      </c>
      <c r="P884" t="s">
        <v>11</v>
      </c>
      <c r="Q884">
        <v>24.1</v>
      </c>
    </row>
    <row r="885" spans="1:17">
      <c r="A885">
        <v>3645</v>
      </c>
      <c r="B885" t="s">
        <v>76</v>
      </c>
      <c r="C885">
        <v>0.47499999999999998</v>
      </c>
      <c r="D885">
        <v>0.36499999999999999</v>
      </c>
      <c r="E885">
        <v>0.105</v>
      </c>
      <c r="F885">
        <v>0.41749999999999998</v>
      </c>
      <c r="G885">
        <v>0.16450000000000001</v>
      </c>
      <c r="H885">
        <v>9.9000000000000005E-2</v>
      </c>
      <c r="I885">
        <v>0.127</v>
      </c>
      <c r="J885">
        <v>7</v>
      </c>
      <c r="K885">
        <v>9</v>
      </c>
      <c r="L885" t="s">
        <v>34</v>
      </c>
      <c r="M885" t="s">
        <v>35</v>
      </c>
      <c r="N885" t="s">
        <v>36</v>
      </c>
      <c r="O885">
        <v>9</v>
      </c>
      <c r="P885" t="s">
        <v>9</v>
      </c>
      <c r="Q885">
        <v>1.9</v>
      </c>
    </row>
    <row r="886" spans="1:17">
      <c r="A886">
        <v>2720</v>
      </c>
      <c r="B886" t="s">
        <v>76</v>
      </c>
      <c r="C886">
        <v>0.36</v>
      </c>
      <c r="D886">
        <v>0.26</v>
      </c>
      <c r="E886">
        <v>0.08</v>
      </c>
      <c r="F886">
        <v>0.17949999999999999</v>
      </c>
      <c r="G886">
        <v>7.3999999999999996E-2</v>
      </c>
      <c r="H886">
        <v>3.15E-2</v>
      </c>
      <c r="I886">
        <v>0.06</v>
      </c>
      <c r="J886">
        <v>5</v>
      </c>
      <c r="K886">
        <v>7</v>
      </c>
      <c r="L886" t="s">
        <v>62</v>
      </c>
      <c r="M886" t="s">
        <v>63</v>
      </c>
      <c r="N886" t="s">
        <v>64</v>
      </c>
      <c r="O886">
        <v>6</v>
      </c>
      <c r="P886" t="s">
        <v>7</v>
      </c>
      <c r="Q886">
        <v>14.1</v>
      </c>
    </row>
    <row r="887" spans="1:17">
      <c r="A887">
        <v>776</v>
      </c>
      <c r="B887" t="s">
        <v>76</v>
      </c>
      <c r="C887">
        <v>0.53</v>
      </c>
      <c r="D887">
        <v>0.41</v>
      </c>
      <c r="E887">
        <v>0.16500000000000001</v>
      </c>
      <c r="F887">
        <v>0.73199999999999998</v>
      </c>
      <c r="G887">
        <v>0.189</v>
      </c>
      <c r="H887">
        <v>0.17</v>
      </c>
      <c r="I887">
        <v>0.31</v>
      </c>
      <c r="J887">
        <v>11</v>
      </c>
      <c r="K887">
        <v>2</v>
      </c>
      <c r="L887" t="s">
        <v>49</v>
      </c>
      <c r="M887" t="s">
        <v>50</v>
      </c>
      <c r="N887" t="s">
        <v>51</v>
      </c>
      <c r="O887">
        <v>6</v>
      </c>
      <c r="P887" t="s">
        <v>7</v>
      </c>
      <c r="Q887">
        <v>14.1</v>
      </c>
    </row>
    <row r="888" spans="1:17">
      <c r="A888">
        <v>3731</v>
      </c>
      <c r="B888" t="s">
        <v>76</v>
      </c>
      <c r="C888">
        <v>0.51500000000000001</v>
      </c>
      <c r="D888">
        <v>0.37</v>
      </c>
      <c r="E888">
        <v>0.115</v>
      </c>
      <c r="F888">
        <v>0.61450000000000005</v>
      </c>
      <c r="G888">
        <v>0.34150000000000003</v>
      </c>
      <c r="H888">
        <v>0.155</v>
      </c>
      <c r="I888">
        <v>0.14599999999999999</v>
      </c>
      <c r="J888">
        <v>9</v>
      </c>
      <c r="K888">
        <v>8</v>
      </c>
      <c r="L888" t="s">
        <v>55</v>
      </c>
      <c r="M888" t="s">
        <v>56</v>
      </c>
      <c r="N888" t="s">
        <v>57</v>
      </c>
      <c r="O888">
        <v>9</v>
      </c>
      <c r="P888" t="s">
        <v>9</v>
      </c>
      <c r="Q888">
        <v>1.9</v>
      </c>
    </row>
    <row r="889" spans="1:17">
      <c r="A889">
        <v>779</v>
      </c>
      <c r="B889" t="s">
        <v>76</v>
      </c>
      <c r="C889">
        <v>0.46500000000000002</v>
      </c>
      <c r="D889">
        <v>0.35</v>
      </c>
      <c r="E889">
        <v>0.14000000000000001</v>
      </c>
      <c r="F889">
        <v>0.57550000000000001</v>
      </c>
      <c r="G889">
        <v>0.20150000000000001</v>
      </c>
      <c r="H889">
        <v>0.15049999999999999</v>
      </c>
      <c r="I889">
        <v>0.19</v>
      </c>
      <c r="J889">
        <v>15</v>
      </c>
      <c r="K889">
        <v>12</v>
      </c>
      <c r="L889" t="s">
        <v>58</v>
      </c>
      <c r="M889" t="s">
        <v>59</v>
      </c>
      <c r="N889" t="s">
        <v>45</v>
      </c>
      <c r="O889">
        <v>4</v>
      </c>
      <c r="P889" t="s">
        <v>8</v>
      </c>
      <c r="Q889">
        <v>6.1</v>
      </c>
    </row>
    <row r="890" spans="1:17">
      <c r="A890">
        <v>424</v>
      </c>
      <c r="B890" t="s">
        <v>76</v>
      </c>
      <c r="C890">
        <v>0.28999999999999998</v>
      </c>
      <c r="D890">
        <v>0.22500000000000001</v>
      </c>
      <c r="E890">
        <v>7.0000000000000007E-2</v>
      </c>
      <c r="F890">
        <v>0.10100000000000001</v>
      </c>
      <c r="G890">
        <v>3.5999999999999997E-2</v>
      </c>
      <c r="H890">
        <v>2.35E-2</v>
      </c>
      <c r="I890">
        <v>3.5000000000000003E-2</v>
      </c>
      <c r="J890">
        <v>8</v>
      </c>
      <c r="K890">
        <v>12</v>
      </c>
      <c r="L890" t="s">
        <v>58</v>
      </c>
      <c r="M890" t="s">
        <v>59</v>
      </c>
      <c r="N890" t="s">
        <v>45</v>
      </c>
      <c r="O890">
        <v>8</v>
      </c>
      <c r="P890" t="s">
        <v>13</v>
      </c>
      <c r="Q890">
        <v>12.3</v>
      </c>
    </row>
    <row r="891" spans="1:17">
      <c r="A891">
        <v>2243</v>
      </c>
      <c r="B891" t="s">
        <v>76</v>
      </c>
      <c r="C891">
        <v>0.47499999999999998</v>
      </c>
      <c r="D891">
        <v>0.38</v>
      </c>
      <c r="E891">
        <v>0.13500000000000001</v>
      </c>
      <c r="F891">
        <v>0.48599999999999999</v>
      </c>
      <c r="G891">
        <v>0.17349999999999999</v>
      </c>
      <c r="H891">
        <v>7.0000000000000007E-2</v>
      </c>
      <c r="I891">
        <v>0.185</v>
      </c>
      <c r="J891">
        <v>7</v>
      </c>
      <c r="K891">
        <v>11</v>
      </c>
      <c r="L891" t="s">
        <v>65</v>
      </c>
      <c r="M891" t="s">
        <v>66</v>
      </c>
      <c r="N891" t="s">
        <v>45</v>
      </c>
      <c r="O891">
        <v>10</v>
      </c>
      <c r="P891" t="s">
        <v>11</v>
      </c>
      <c r="Q891">
        <v>24.1</v>
      </c>
    </row>
    <row r="892" spans="1:17">
      <c r="A892">
        <v>350</v>
      </c>
      <c r="B892" t="s">
        <v>76</v>
      </c>
      <c r="C892">
        <v>0.61</v>
      </c>
      <c r="D892">
        <v>0.48</v>
      </c>
      <c r="E892">
        <v>0.15</v>
      </c>
      <c r="F892">
        <v>1.2</v>
      </c>
      <c r="G892">
        <v>0.56000000000000005</v>
      </c>
      <c r="H892">
        <v>0.2455</v>
      </c>
      <c r="I892">
        <v>0.28000000000000003</v>
      </c>
      <c r="J892">
        <v>14</v>
      </c>
      <c r="K892">
        <v>7</v>
      </c>
      <c r="L892" t="s">
        <v>62</v>
      </c>
      <c r="M892" t="s">
        <v>63</v>
      </c>
      <c r="N892" t="s">
        <v>64</v>
      </c>
      <c r="O892">
        <v>5</v>
      </c>
      <c r="P892" t="s">
        <v>12</v>
      </c>
      <c r="Q892">
        <v>12.8</v>
      </c>
    </row>
    <row r="893" spans="1:17">
      <c r="A893">
        <v>211</v>
      </c>
      <c r="B893" t="s">
        <v>76</v>
      </c>
      <c r="C893">
        <v>0.49</v>
      </c>
      <c r="D893">
        <v>0.36499999999999999</v>
      </c>
      <c r="E893">
        <v>0.14499999999999999</v>
      </c>
      <c r="F893">
        <v>0.63449999999999995</v>
      </c>
      <c r="G893">
        <v>0.19950000000000001</v>
      </c>
      <c r="H893">
        <v>0.16250000000000001</v>
      </c>
      <c r="I893">
        <v>0.22</v>
      </c>
      <c r="J893">
        <v>10</v>
      </c>
      <c r="K893">
        <v>8</v>
      </c>
      <c r="L893" t="s">
        <v>55</v>
      </c>
      <c r="M893" t="s">
        <v>56</v>
      </c>
      <c r="N893" t="s">
        <v>57</v>
      </c>
      <c r="O893">
        <v>1</v>
      </c>
      <c r="P893" t="s">
        <v>4</v>
      </c>
      <c r="Q893">
        <v>22.1</v>
      </c>
    </row>
    <row r="894" spans="1:17">
      <c r="A894">
        <v>558</v>
      </c>
      <c r="B894" t="s">
        <v>76</v>
      </c>
      <c r="C894">
        <v>0.66</v>
      </c>
      <c r="D894">
        <v>0.5</v>
      </c>
      <c r="E894">
        <v>0.16500000000000001</v>
      </c>
      <c r="F894">
        <v>1.1904999999999999</v>
      </c>
      <c r="G894">
        <v>0.45850000000000002</v>
      </c>
      <c r="H894">
        <v>0.29799999999999999</v>
      </c>
      <c r="I894">
        <v>0.37</v>
      </c>
      <c r="J894">
        <v>12</v>
      </c>
      <c r="K894">
        <v>6</v>
      </c>
      <c r="L894" t="s">
        <v>46</v>
      </c>
      <c r="M894" t="s">
        <v>47</v>
      </c>
      <c r="N894" t="s">
        <v>48</v>
      </c>
      <c r="O894">
        <v>4</v>
      </c>
      <c r="P894" t="s">
        <v>8</v>
      </c>
      <c r="Q894">
        <v>6.1</v>
      </c>
    </row>
    <row r="895" spans="1:17">
      <c r="A895">
        <v>510</v>
      </c>
      <c r="B895" t="s">
        <v>76</v>
      </c>
      <c r="C895">
        <v>0.56000000000000005</v>
      </c>
      <c r="D895">
        <v>0.44500000000000001</v>
      </c>
      <c r="E895">
        <v>0.155</v>
      </c>
      <c r="F895">
        <v>0.87350000000000005</v>
      </c>
      <c r="G895">
        <v>0.30049999999999999</v>
      </c>
      <c r="H895">
        <v>0.20899999999999999</v>
      </c>
      <c r="I895">
        <v>0.27500000000000002</v>
      </c>
      <c r="J895">
        <v>16</v>
      </c>
      <c r="K895">
        <v>6</v>
      </c>
      <c r="L895" t="s">
        <v>46</v>
      </c>
      <c r="M895" t="s">
        <v>47</v>
      </c>
      <c r="N895" t="s">
        <v>48</v>
      </c>
      <c r="O895">
        <v>3</v>
      </c>
      <c r="P895" t="s">
        <v>10</v>
      </c>
      <c r="Q895">
        <v>3.6</v>
      </c>
    </row>
    <row r="896" spans="1:17">
      <c r="A896">
        <v>3535</v>
      </c>
      <c r="B896" t="s">
        <v>76</v>
      </c>
      <c r="C896">
        <v>0.4</v>
      </c>
      <c r="D896">
        <v>0.315</v>
      </c>
      <c r="E896">
        <v>0.09</v>
      </c>
      <c r="F896">
        <v>0.33</v>
      </c>
      <c r="G896">
        <v>0.151</v>
      </c>
      <c r="H896">
        <v>6.8000000000000005E-2</v>
      </c>
      <c r="I896">
        <v>0.08</v>
      </c>
      <c r="J896">
        <v>6</v>
      </c>
      <c r="K896">
        <v>3</v>
      </c>
      <c r="L896" t="s">
        <v>52</v>
      </c>
      <c r="M896" t="s">
        <v>53</v>
      </c>
      <c r="N896" t="s">
        <v>54</v>
      </c>
      <c r="O896">
        <v>6</v>
      </c>
      <c r="P896" t="s">
        <v>7</v>
      </c>
      <c r="Q896">
        <v>14.1</v>
      </c>
    </row>
    <row r="897" spans="1:17">
      <c r="A897">
        <v>2166</v>
      </c>
      <c r="B897" t="s">
        <v>76</v>
      </c>
      <c r="C897">
        <v>0.61</v>
      </c>
      <c r="D897">
        <v>0.45</v>
      </c>
      <c r="E897">
        <v>0.16</v>
      </c>
      <c r="F897">
        <v>1.1359999999999999</v>
      </c>
      <c r="G897">
        <v>0.41399999999999998</v>
      </c>
      <c r="H897">
        <v>0.311</v>
      </c>
      <c r="I897">
        <v>0.3</v>
      </c>
      <c r="J897">
        <v>9</v>
      </c>
      <c r="K897">
        <v>2</v>
      </c>
      <c r="L897" t="s">
        <v>49</v>
      </c>
      <c r="M897" t="s">
        <v>50</v>
      </c>
      <c r="N897" t="s">
        <v>51</v>
      </c>
      <c r="O897">
        <v>3</v>
      </c>
      <c r="P897" t="s">
        <v>10</v>
      </c>
      <c r="Q897">
        <v>3.6</v>
      </c>
    </row>
    <row r="898" spans="1:17">
      <c r="A898">
        <v>3806</v>
      </c>
      <c r="B898" t="s">
        <v>76</v>
      </c>
      <c r="C898">
        <v>0.42499999999999999</v>
      </c>
      <c r="D898">
        <v>0.30499999999999999</v>
      </c>
      <c r="E898">
        <v>0.11</v>
      </c>
      <c r="F898">
        <v>0.35899999999999999</v>
      </c>
      <c r="G898">
        <v>0.17299999999999999</v>
      </c>
      <c r="H898">
        <v>8.7499999999999994E-2</v>
      </c>
      <c r="I898">
        <v>9.7500000000000003E-2</v>
      </c>
      <c r="J898">
        <v>9</v>
      </c>
      <c r="K898">
        <v>15</v>
      </c>
      <c r="L898" t="s">
        <v>60</v>
      </c>
      <c r="M898" t="s">
        <v>61</v>
      </c>
      <c r="N898" t="s">
        <v>45</v>
      </c>
      <c r="O898">
        <v>3</v>
      </c>
      <c r="P898" t="s">
        <v>10</v>
      </c>
      <c r="Q898">
        <v>3.6</v>
      </c>
    </row>
    <row r="899" spans="1:17">
      <c r="A899">
        <v>428</v>
      </c>
      <c r="B899" t="s">
        <v>76</v>
      </c>
      <c r="C899">
        <v>0.6</v>
      </c>
      <c r="D899">
        <v>0.5</v>
      </c>
      <c r="E899">
        <v>0.16</v>
      </c>
      <c r="F899">
        <v>1.0149999999999999</v>
      </c>
      <c r="G899">
        <v>0.39950000000000002</v>
      </c>
      <c r="H899">
        <v>0.17349999999999999</v>
      </c>
      <c r="I899">
        <v>0.33</v>
      </c>
      <c r="J899">
        <v>19</v>
      </c>
      <c r="K899">
        <v>12</v>
      </c>
      <c r="L899" t="s">
        <v>58</v>
      </c>
      <c r="M899" t="s">
        <v>59</v>
      </c>
      <c r="N899" t="s">
        <v>45</v>
      </c>
      <c r="O899">
        <v>5</v>
      </c>
      <c r="P899" t="s">
        <v>12</v>
      </c>
      <c r="Q899">
        <v>12.8</v>
      </c>
    </row>
    <row r="900" spans="1:17">
      <c r="A900">
        <v>996</v>
      </c>
      <c r="B900" t="s">
        <v>76</v>
      </c>
      <c r="C900">
        <v>0.57999999999999996</v>
      </c>
      <c r="D900">
        <v>0.49</v>
      </c>
      <c r="E900">
        <v>0.13</v>
      </c>
      <c r="F900">
        <v>1.1335</v>
      </c>
      <c r="G900">
        <v>0.58599999999999997</v>
      </c>
      <c r="H900">
        <v>0.25650000000000001</v>
      </c>
      <c r="I900">
        <v>0.23699999999999999</v>
      </c>
      <c r="J900">
        <v>9</v>
      </c>
      <c r="K900">
        <v>4</v>
      </c>
      <c r="L900" t="s">
        <v>40</v>
      </c>
      <c r="M900" t="s">
        <v>41</v>
      </c>
      <c r="N900" t="s">
        <v>42</v>
      </c>
      <c r="O900">
        <v>8</v>
      </c>
      <c r="P900" t="s">
        <v>13</v>
      </c>
      <c r="Q900">
        <v>12.3</v>
      </c>
    </row>
    <row r="901" spans="1:17">
      <c r="A901">
        <v>1909</v>
      </c>
      <c r="B901" t="s">
        <v>76</v>
      </c>
      <c r="C901">
        <v>0.57499999999999996</v>
      </c>
      <c r="D901">
        <v>0.47499999999999998</v>
      </c>
      <c r="E901">
        <v>0.14499999999999999</v>
      </c>
      <c r="F901">
        <v>0.85699999999999998</v>
      </c>
      <c r="G901">
        <v>0.36649999999999999</v>
      </c>
      <c r="H901">
        <v>0.17299999999999999</v>
      </c>
      <c r="I901">
        <v>0.26900000000000002</v>
      </c>
      <c r="J901">
        <v>9</v>
      </c>
      <c r="K901">
        <v>1</v>
      </c>
      <c r="L901" t="s">
        <v>70</v>
      </c>
      <c r="M901" t="s">
        <v>71</v>
      </c>
      <c r="N901" t="s">
        <v>45</v>
      </c>
      <c r="O901">
        <v>7</v>
      </c>
      <c r="P901" t="s">
        <v>6</v>
      </c>
      <c r="Q901">
        <v>2.5</v>
      </c>
    </row>
    <row r="902" spans="1:17">
      <c r="A902">
        <v>1154</v>
      </c>
      <c r="B902" t="s">
        <v>76</v>
      </c>
      <c r="C902">
        <v>0.6</v>
      </c>
      <c r="D902">
        <v>0.47499999999999998</v>
      </c>
      <c r="E902">
        <v>0.16</v>
      </c>
      <c r="F902">
        <v>1.0265</v>
      </c>
      <c r="G902">
        <v>0.48499999999999999</v>
      </c>
      <c r="H902">
        <v>0.2495</v>
      </c>
      <c r="I902">
        <v>0.25650000000000001</v>
      </c>
      <c r="J902">
        <v>9</v>
      </c>
      <c r="K902">
        <v>14</v>
      </c>
      <c r="L902" t="s">
        <v>72</v>
      </c>
      <c r="M902" t="s">
        <v>73</v>
      </c>
      <c r="N902" t="s">
        <v>74</v>
      </c>
      <c r="O902">
        <v>7</v>
      </c>
      <c r="P902" t="s">
        <v>6</v>
      </c>
      <c r="Q902">
        <v>2.5</v>
      </c>
    </row>
    <row r="903" spans="1:17">
      <c r="A903">
        <v>1071</v>
      </c>
      <c r="B903" t="s">
        <v>76</v>
      </c>
      <c r="C903">
        <v>0.375</v>
      </c>
      <c r="D903">
        <v>0.27500000000000002</v>
      </c>
      <c r="E903">
        <v>0.1</v>
      </c>
      <c r="F903">
        <v>0.23250000000000001</v>
      </c>
      <c r="G903">
        <v>0.11650000000000001</v>
      </c>
      <c r="H903">
        <v>4.2000000000000003E-2</v>
      </c>
      <c r="I903">
        <v>6.5000000000000002E-2</v>
      </c>
      <c r="J903">
        <v>6</v>
      </c>
      <c r="K903">
        <v>6</v>
      </c>
      <c r="L903" t="s">
        <v>46</v>
      </c>
      <c r="M903" t="s">
        <v>47</v>
      </c>
      <c r="N903" t="s">
        <v>48</v>
      </c>
      <c r="O903">
        <v>5</v>
      </c>
      <c r="P903" t="s">
        <v>12</v>
      </c>
      <c r="Q903">
        <v>12.8</v>
      </c>
    </row>
    <row r="904" spans="1:17">
      <c r="A904">
        <v>915</v>
      </c>
      <c r="B904" t="s">
        <v>76</v>
      </c>
      <c r="C904">
        <v>0.37</v>
      </c>
      <c r="D904">
        <v>0.28000000000000003</v>
      </c>
      <c r="E904">
        <v>9.5000000000000001E-2</v>
      </c>
      <c r="F904">
        <v>0.28649999999999998</v>
      </c>
      <c r="G904">
        <v>0.15049999999999999</v>
      </c>
      <c r="H904">
        <v>6.9000000000000006E-2</v>
      </c>
      <c r="I904">
        <v>7.9500000000000001E-2</v>
      </c>
      <c r="J904">
        <v>7</v>
      </c>
      <c r="K904">
        <v>12</v>
      </c>
      <c r="L904" t="s">
        <v>58</v>
      </c>
      <c r="M904" t="s">
        <v>59</v>
      </c>
      <c r="N904" t="s">
        <v>45</v>
      </c>
      <c r="O904">
        <v>1</v>
      </c>
      <c r="P904" t="s">
        <v>4</v>
      </c>
      <c r="Q904">
        <v>22.1</v>
      </c>
    </row>
    <row r="905" spans="1:17">
      <c r="A905">
        <v>1320</v>
      </c>
      <c r="B905" t="s">
        <v>76</v>
      </c>
      <c r="C905">
        <v>0.55500000000000005</v>
      </c>
      <c r="D905">
        <v>0.42499999999999999</v>
      </c>
      <c r="E905">
        <v>0.14499999999999999</v>
      </c>
      <c r="F905">
        <v>0.79049999999999998</v>
      </c>
      <c r="G905">
        <v>0.34849999999999998</v>
      </c>
      <c r="H905">
        <v>0.17649999999999999</v>
      </c>
      <c r="I905">
        <v>0.22500000000000001</v>
      </c>
      <c r="J905">
        <v>9</v>
      </c>
      <c r="K905">
        <v>2</v>
      </c>
      <c r="L905" t="s">
        <v>49</v>
      </c>
      <c r="M905" t="s">
        <v>50</v>
      </c>
      <c r="N905" t="s">
        <v>51</v>
      </c>
      <c r="O905">
        <v>8</v>
      </c>
      <c r="P905" t="s">
        <v>13</v>
      </c>
      <c r="Q905">
        <v>12.3</v>
      </c>
    </row>
    <row r="906" spans="1:17">
      <c r="A906">
        <v>789</v>
      </c>
      <c r="B906" t="s">
        <v>76</v>
      </c>
      <c r="C906">
        <v>0.505</v>
      </c>
      <c r="D906">
        <v>0.39</v>
      </c>
      <c r="E906">
        <v>0.16</v>
      </c>
      <c r="F906">
        <v>0.64400000000000002</v>
      </c>
      <c r="G906">
        <v>0.2475</v>
      </c>
      <c r="H906">
        <v>0.20250000000000001</v>
      </c>
      <c r="I906">
        <v>0.16350000000000001</v>
      </c>
      <c r="J906">
        <v>9</v>
      </c>
      <c r="K906">
        <v>15</v>
      </c>
      <c r="L906" t="s">
        <v>60</v>
      </c>
      <c r="M906" t="s">
        <v>61</v>
      </c>
      <c r="N906" t="s">
        <v>45</v>
      </c>
      <c r="O906">
        <v>7</v>
      </c>
      <c r="P906" t="s">
        <v>6</v>
      </c>
      <c r="Q906">
        <v>2.5</v>
      </c>
    </row>
    <row r="907" spans="1:17">
      <c r="A907">
        <v>1614</v>
      </c>
      <c r="B907" t="s">
        <v>76</v>
      </c>
      <c r="C907">
        <v>0.55000000000000004</v>
      </c>
      <c r="D907">
        <v>0.42</v>
      </c>
      <c r="E907">
        <v>0.13500000000000001</v>
      </c>
      <c r="F907">
        <v>0.81599999999999995</v>
      </c>
      <c r="G907">
        <v>0.39950000000000002</v>
      </c>
      <c r="H907">
        <v>0.14849999999999999</v>
      </c>
      <c r="I907">
        <v>0.23</v>
      </c>
      <c r="J907">
        <v>12</v>
      </c>
      <c r="K907">
        <v>5</v>
      </c>
      <c r="L907" t="s">
        <v>67</v>
      </c>
      <c r="M907" t="s">
        <v>68</v>
      </c>
      <c r="N907" t="s">
        <v>69</v>
      </c>
      <c r="O907">
        <v>7</v>
      </c>
      <c r="P907" t="s">
        <v>6</v>
      </c>
      <c r="Q907">
        <v>2.5</v>
      </c>
    </row>
    <row r="908" spans="1:17">
      <c r="A908">
        <v>1995</v>
      </c>
      <c r="B908" t="s">
        <v>76</v>
      </c>
      <c r="C908">
        <v>0.28999999999999998</v>
      </c>
      <c r="D908">
        <v>0.21</v>
      </c>
      <c r="E908">
        <v>6.5000000000000002E-2</v>
      </c>
      <c r="F908">
        <v>9.7000000000000003E-2</v>
      </c>
      <c r="G908">
        <v>3.7499999999999999E-2</v>
      </c>
      <c r="H908">
        <v>2.1999999999999999E-2</v>
      </c>
      <c r="I908">
        <v>0.03</v>
      </c>
      <c r="J908">
        <v>6</v>
      </c>
      <c r="K908">
        <v>2</v>
      </c>
      <c r="L908" t="s">
        <v>49</v>
      </c>
      <c r="M908" t="s">
        <v>50</v>
      </c>
      <c r="N908" t="s">
        <v>51</v>
      </c>
      <c r="O908">
        <v>10</v>
      </c>
      <c r="P908" t="s">
        <v>11</v>
      </c>
      <c r="Q908">
        <v>24.1</v>
      </c>
    </row>
    <row r="909" spans="1:17">
      <c r="A909">
        <v>2071</v>
      </c>
      <c r="B909" t="s">
        <v>76</v>
      </c>
      <c r="C909">
        <v>0.55000000000000004</v>
      </c>
      <c r="D909">
        <v>0.42</v>
      </c>
      <c r="E909">
        <v>0.115</v>
      </c>
      <c r="F909">
        <v>0.66800000000000004</v>
      </c>
      <c r="G909">
        <v>0.29249999999999998</v>
      </c>
      <c r="H909">
        <v>0.13700000000000001</v>
      </c>
      <c r="I909">
        <v>0.20899999999999999</v>
      </c>
      <c r="J909">
        <v>11</v>
      </c>
      <c r="K909">
        <v>11</v>
      </c>
      <c r="L909" t="s">
        <v>65</v>
      </c>
      <c r="M909" t="s">
        <v>66</v>
      </c>
      <c r="N909" t="s">
        <v>45</v>
      </c>
      <c r="O909">
        <v>3</v>
      </c>
      <c r="P909" t="s">
        <v>10</v>
      </c>
      <c r="Q909">
        <v>3.6</v>
      </c>
    </row>
    <row r="910" spans="1:17">
      <c r="A910">
        <v>3484</v>
      </c>
      <c r="B910" t="s">
        <v>76</v>
      </c>
      <c r="C910">
        <v>0.47</v>
      </c>
      <c r="D910">
        <v>0.35499999999999998</v>
      </c>
      <c r="E910">
        <v>0.115</v>
      </c>
      <c r="F910">
        <v>0.41549999999999998</v>
      </c>
      <c r="G910">
        <v>0.16700000000000001</v>
      </c>
      <c r="H910">
        <v>8.4000000000000005E-2</v>
      </c>
      <c r="I910">
        <v>0.13900000000000001</v>
      </c>
      <c r="J910">
        <v>7</v>
      </c>
      <c r="K910">
        <v>7</v>
      </c>
      <c r="L910" t="s">
        <v>62</v>
      </c>
      <c r="M910" t="s">
        <v>63</v>
      </c>
      <c r="N910" t="s">
        <v>64</v>
      </c>
      <c r="O910">
        <v>8</v>
      </c>
      <c r="P910" t="s">
        <v>13</v>
      </c>
      <c r="Q910">
        <v>12.3</v>
      </c>
    </row>
    <row r="911" spans="1:17">
      <c r="A911">
        <v>2770</v>
      </c>
      <c r="B911" t="s">
        <v>76</v>
      </c>
      <c r="C911">
        <v>0.56499999999999995</v>
      </c>
      <c r="D911">
        <v>0.43</v>
      </c>
      <c r="E911">
        <v>0.15</v>
      </c>
      <c r="F911">
        <v>0.82150000000000001</v>
      </c>
      <c r="G911">
        <v>0.33200000000000002</v>
      </c>
      <c r="H911">
        <v>0.16850000000000001</v>
      </c>
      <c r="I911">
        <v>0.28999999999999998</v>
      </c>
      <c r="J911">
        <v>11</v>
      </c>
      <c r="K911">
        <v>3</v>
      </c>
      <c r="L911" t="s">
        <v>52</v>
      </c>
      <c r="M911" t="s">
        <v>53</v>
      </c>
      <c r="N911" t="s">
        <v>54</v>
      </c>
      <c r="O911">
        <v>10</v>
      </c>
      <c r="P911" t="s">
        <v>11</v>
      </c>
      <c r="Q911">
        <v>24.1</v>
      </c>
    </row>
    <row r="912" spans="1:17">
      <c r="A912">
        <v>8</v>
      </c>
      <c r="B912" t="s">
        <v>76</v>
      </c>
      <c r="C912">
        <v>0.54500000000000004</v>
      </c>
      <c r="D912">
        <v>0.42499999999999999</v>
      </c>
      <c r="E912">
        <v>0.125</v>
      </c>
      <c r="F912">
        <v>0.76800000000000002</v>
      </c>
      <c r="G912">
        <v>0.29399999999999998</v>
      </c>
      <c r="H912">
        <v>0.14949999999999999</v>
      </c>
      <c r="I912">
        <v>0.26</v>
      </c>
      <c r="J912">
        <v>16</v>
      </c>
      <c r="K912">
        <v>4</v>
      </c>
      <c r="L912" t="s">
        <v>40</v>
      </c>
      <c r="M912" t="s">
        <v>41</v>
      </c>
      <c r="N912" t="s">
        <v>42</v>
      </c>
      <c r="O912">
        <v>8</v>
      </c>
      <c r="P912" t="s">
        <v>13</v>
      </c>
      <c r="Q912">
        <v>12.3</v>
      </c>
    </row>
    <row r="913" spans="1:17">
      <c r="A913">
        <v>2827</v>
      </c>
      <c r="B913" t="s">
        <v>76</v>
      </c>
      <c r="C913">
        <v>0.5</v>
      </c>
      <c r="D913">
        <v>0.36499999999999999</v>
      </c>
      <c r="E913">
        <v>0.13</v>
      </c>
      <c r="F913">
        <v>0.59450000000000003</v>
      </c>
      <c r="G913">
        <v>0.309</v>
      </c>
      <c r="H913">
        <v>0.1085</v>
      </c>
      <c r="I913">
        <v>0.1535</v>
      </c>
      <c r="J913">
        <v>9</v>
      </c>
      <c r="K913">
        <v>3</v>
      </c>
      <c r="L913" t="s">
        <v>52</v>
      </c>
      <c r="M913" t="s">
        <v>53</v>
      </c>
      <c r="N913" t="s">
        <v>54</v>
      </c>
      <c r="O913">
        <v>1</v>
      </c>
      <c r="P913" t="s">
        <v>4</v>
      </c>
      <c r="Q913">
        <v>22.1</v>
      </c>
    </row>
    <row r="914" spans="1:17">
      <c r="A914">
        <v>2503</v>
      </c>
      <c r="B914" t="s">
        <v>76</v>
      </c>
      <c r="C914">
        <v>0.28499999999999998</v>
      </c>
      <c r="D914">
        <v>0.21</v>
      </c>
      <c r="E914">
        <v>7.0000000000000007E-2</v>
      </c>
      <c r="F914">
        <v>0.109</v>
      </c>
      <c r="G914">
        <v>4.3999999999999997E-2</v>
      </c>
      <c r="H914">
        <v>2.6499999999999999E-2</v>
      </c>
      <c r="I914">
        <v>3.3000000000000002E-2</v>
      </c>
      <c r="J914">
        <v>5</v>
      </c>
      <c r="K914">
        <v>5</v>
      </c>
      <c r="L914" t="s">
        <v>67</v>
      </c>
      <c r="M914" t="s">
        <v>68</v>
      </c>
      <c r="N914" t="s">
        <v>69</v>
      </c>
      <c r="O914">
        <v>8</v>
      </c>
      <c r="P914" t="s">
        <v>13</v>
      </c>
      <c r="Q914">
        <v>12.3</v>
      </c>
    </row>
    <row r="915" spans="1:17">
      <c r="A915">
        <v>977</v>
      </c>
      <c r="B915" t="s">
        <v>76</v>
      </c>
      <c r="C915">
        <v>0.53</v>
      </c>
      <c r="D915">
        <v>0.40500000000000003</v>
      </c>
      <c r="E915">
        <v>0.125</v>
      </c>
      <c r="F915">
        <v>0.65149999999999997</v>
      </c>
      <c r="G915">
        <v>0.27150000000000002</v>
      </c>
      <c r="H915">
        <v>0.1605</v>
      </c>
      <c r="I915">
        <v>0.186</v>
      </c>
      <c r="J915">
        <v>7</v>
      </c>
      <c r="K915">
        <v>10</v>
      </c>
      <c r="L915" t="s">
        <v>37</v>
      </c>
      <c r="M915" t="s">
        <v>38</v>
      </c>
      <c r="N915" t="s">
        <v>39</v>
      </c>
      <c r="O915">
        <v>10</v>
      </c>
      <c r="P915" t="s">
        <v>11</v>
      </c>
      <c r="Q915">
        <v>24.1</v>
      </c>
    </row>
    <row r="916" spans="1:17">
      <c r="A916">
        <v>2897</v>
      </c>
      <c r="B916" t="s">
        <v>76</v>
      </c>
      <c r="C916">
        <v>0.54500000000000004</v>
      </c>
      <c r="D916">
        <v>0.43</v>
      </c>
      <c r="E916">
        <v>0.13</v>
      </c>
      <c r="F916">
        <v>0.75949999999999995</v>
      </c>
      <c r="G916">
        <v>0.35799999999999998</v>
      </c>
      <c r="H916">
        <v>0.153</v>
      </c>
      <c r="I916">
        <v>0.20549999999999999</v>
      </c>
      <c r="J916">
        <v>8</v>
      </c>
      <c r="K916">
        <v>14</v>
      </c>
      <c r="L916" t="s">
        <v>72</v>
      </c>
      <c r="M916" t="s">
        <v>73</v>
      </c>
      <c r="N916" t="s">
        <v>74</v>
      </c>
      <c r="O916">
        <v>4</v>
      </c>
      <c r="P916" t="s">
        <v>8</v>
      </c>
      <c r="Q916">
        <v>6.1</v>
      </c>
    </row>
    <row r="917" spans="1:17">
      <c r="A917">
        <v>3882</v>
      </c>
      <c r="B917" t="s">
        <v>76</v>
      </c>
      <c r="C917">
        <v>0.56499999999999995</v>
      </c>
      <c r="D917">
        <v>0.45500000000000002</v>
      </c>
      <c r="E917">
        <v>0.13</v>
      </c>
      <c r="F917">
        <v>1.0580000000000001</v>
      </c>
      <c r="G917">
        <v>0.439</v>
      </c>
      <c r="H917">
        <v>0.26450000000000001</v>
      </c>
      <c r="I917">
        <v>0.3</v>
      </c>
      <c r="J917">
        <v>10</v>
      </c>
      <c r="K917">
        <v>12</v>
      </c>
      <c r="L917" t="s">
        <v>58</v>
      </c>
      <c r="M917" t="s">
        <v>59</v>
      </c>
      <c r="N917" t="s">
        <v>45</v>
      </c>
      <c r="O917">
        <v>6</v>
      </c>
      <c r="P917" t="s">
        <v>7</v>
      </c>
      <c r="Q917">
        <v>14.1</v>
      </c>
    </row>
    <row r="918" spans="1:17">
      <c r="A918">
        <v>504</v>
      </c>
      <c r="B918" t="s">
        <v>76</v>
      </c>
      <c r="C918">
        <v>0.6</v>
      </c>
      <c r="D918">
        <v>0.505</v>
      </c>
      <c r="E918">
        <v>0.19</v>
      </c>
      <c r="F918">
        <v>1.129</v>
      </c>
      <c r="G918">
        <v>0.4385</v>
      </c>
      <c r="H918">
        <v>0.25600000000000001</v>
      </c>
      <c r="I918">
        <v>0.36</v>
      </c>
      <c r="J918">
        <v>13</v>
      </c>
      <c r="K918">
        <v>15</v>
      </c>
      <c r="L918" t="s">
        <v>60</v>
      </c>
      <c r="M918" t="s">
        <v>61</v>
      </c>
      <c r="N918" t="s">
        <v>45</v>
      </c>
      <c r="O918">
        <v>7</v>
      </c>
      <c r="P918" t="s">
        <v>6</v>
      </c>
      <c r="Q918">
        <v>2.5</v>
      </c>
    </row>
    <row r="919" spans="1:17">
      <c r="A919">
        <v>2507</v>
      </c>
      <c r="B919" t="s">
        <v>76</v>
      </c>
      <c r="C919">
        <v>0.375</v>
      </c>
      <c r="D919">
        <v>0.3</v>
      </c>
      <c r="E919">
        <v>7.4999999999999997E-2</v>
      </c>
      <c r="F919">
        <v>0.14399999999999999</v>
      </c>
      <c r="G919">
        <v>5.8999999999999997E-2</v>
      </c>
      <c r="H919">
        <v>0.03</v>
      </c>
      <c r="I919">
        <v>4.3999999999999997E-2</v>
      </c>
      <c r="J919">
        <v>7</v>
      </c>
      <c r="K919">
        <v>3</v>
      </c>
      <c r="L919" t="s">
        <v>52</v>
      </c>
      <c r="M919" t="s">
        <v>53</v>
      </c>
      <c r="N919" t="s">
        <v>54</v>
      </c>
      <c r="O919">
        <v>8</v>
      </c>
      <c r="P919" t="s">
        <v>13</v>
      </c>
      <c r="Q919">
        <v>12.3</v>
      </c>
    </row>
    <row r="920" spans="1:17">
      <c r="A920">
        <v>1062</v>
      </c>
      <c r="B920" t="s">
        <v>76</v>
      </c>
      <c r="C920">
        <v>0.27500000000000002</v>
      </c>
      <c r="D920">
        <v>0.19500000000000001</v>
      </c>
      <c r="E920">
        <v>6.5000000000000002E-2</v>
      </c>
      <c r="F920">
        <v>0.106</v>
      </c>
      <c r="G920">
        <v>5.3999999999999999E-2</v>
      </c>
      <c r="H920">
        <v>0.02</v>
      </c>
      <c r="I920">
        <v>2.8000000000000001E-2</v>
      </c>
      <c r="J920">
        <v>6</v>
      </c>
      <c r="K920">
        <v>10</v>
      </c>
      <c r="L920" t="s">
        <v>37</v>
      </c>
      <c r="M920" t="s">
        <v>38</v>
      </c>
      <c r="N920" t="s">
        <v>39</v>
      </c>
      <c r="O920">
        <v>4</v>
      </c>
      <c r="P920" t="s">
        <v>8</v>
      </c>
      <c r="Q920">
        <v>6.1</v>
      </c>
    </row>
    <row r="921" spans="1:17">
      <c r="A921">
        <v>476</v>
      </c>
      <c r="B921" t="s">
        <v>76</v>
      </c>
      <c r="C921">
        <v>0.53</v>
      </c>
      <c r="D921">
        <v>0.41499999999999998</v>
      </c>
      <c r="E921">
        <v>0.17499999999999999</v>
      </c>
      <c r="F921">
        <v>0.73950000000000005</v>
      </c>
      <c r="G921">
        <v>0.26100000000000001</v>
      </c>
      <c r="H921">
        <v>0.13950000000000001</v>
      </c>
      <c r="I921">
        <v>0.26450000000000001</v>
      </c>
      <c r="J921">
        <v>17</v>
      </c>
      <c r="K921">
        <v>13</v>
      </c>
      <c r="L921" t="s">
        <v>43</v>
      </c>
      <c r="M921" t="s">
        <v>44</v>
      </c>
      <c r="N921" t="s">
        <v>45</v>
      </c>
      <c r="O921">
        <v>6</v>
      </c>
      <c r="P921" t="s">
        <v>7</v>
      </c>
      <c r="Q921">
        <v>14.1</v>
      </c>
    </row>
    <row r="922" spans="1:17">
      <c r="A922">
        <v>600</v>
      </c>
      <c r="B922" t="s">
        <v>76</v>
      </c>
      <c r="C922">
        <v>0.56000000000000005</v>
      </c>
      <c r="D922">
        <v>0.44500000000000001</v>
      </c>
      <c r="E922">
        <v>0.19500000000000001</v>
      </c>
      <c r="F922">
        <v>0.98099999999999998</v>
      </c>
      <c r="G922">
        <v>0.30499999999999999</v>
      </c>
      <c r="H922">
        <v>0.22450000000000001</v>
      </c>
      <c r="I922">
        <v>0.33500000000000002</v>
      </c>
      <c r="J922">
        <v>16</v>
      </c>
      <c r="K922">
        <v>4</v>
      </c>
      <c r="L922" t="s">
        <v>40</v>
      </c>
      <c r="M922" t="s">
        <v>41</v>
      </c>
      <c r="N922" t="s">
        <v>42</v>
      </c>
      <c r="O922">
        <v>5</v>
      </c>
      <c r="P922" t="s">
        <v>12</v>
      </c>
      <c r="Q922">
        <v>12.8</v>
      </c>
    </row>
    <row r="923" spans="1:17">
      <c r="A923">
        <v>2930</v>
      </c>
      <c r="B923" t="s">
        <v>76</v>
      </c>
      <c r="C923">
        <v>0.61</v>
      </c>
      <c r="D923">
        <v>0.49</v>
      </c>
      <c r="E923">
        <v>0.16</v>
      </c>
      <c r="F923">
        <v>1.1545000000000001</v>
      </c>
      <c r="G923">
        <v>0.58650000000000002</v>
      </c>
      <c r="H923">
        <v>0.23849999999999999</v>
      </c>
      <c r="I923">
        <v>0.29149999999999998</v>
      </c>
      <c r="J923">
        <v>11</v>
      </c>
      <c r="K923">
        <v>6</v>
      </c>
      <c r="L923" t="s">
        <v>46</v>
      </c>
      <c r="M923" t="s">
        <v>47</v>
      </c>
      <c r="N923" t="s">
        <v>48</v>
      </c>
      <c r="O923">
        <v>1</v>
      </c>
      <c r="P923" t="s">
        <v>4</v>
      </c>
      <c r="Q923">
        <v>22.1</v>
      </c>
    </row>
    <row r="924" spans="1:17">
      <c r="A924">
        <v>1879</v>
      </c>
      <c r="B924" t="s">
        <v>76</v>
      </c>
      <c r="C924">
        <v>0.54500000000000004</v>
      </c>
      <c r="D924">
        <v>0.42499999999999999</v>
      </c>
      <c r="E924">
        <v>0.14000000000000001</v>
      </c>
      <c r="F924">
        <v>0.8145</v>
      </c>
      <c r="G924">
        <v>0.30499999999999999</v>
      </c>
      <c r="H924">
        <v>0.23100000000000001</v>
      </c>
      <c r="I924">
        <v>0.24399999999999999</v>
      </c>
      <c r="J924">
        <v>10</v>
      </c>
      <c r="K924">
        <v>12</v>
      </c>
      <c r="L924" t="s">
        <v>58</v>
      </c>
      <c r="M924" t="s">
        <v>59</v>
      </c>
      <c r="N924" t="s">
        <v>45</v>
      </c>
      <c r="O924">
        <v>5</v>
      </c>
      <c r="P924" t="s">
        <v>12</v>
      </c>
      <c r="Q924">
        <v>12.8</v>
      </c>
    </row>
    <row r="925" spans="1:17">
      <c r="A925">
        <v>1389</v>
      </c>
      <c r="B925" t="s">
        <v>76</v>
      </c>
      <c r="C925">
        <v>0.63</v>
      </c>
      <c r="D925">
        <v>0.495</v>
      </c>
      <c r="E925">
        <v>0.16</v>
      </c>
      <c r="F925">
        <v>1.093</v>
      </c>
      <c r="G925">
        <v>0.497</v>
      </c>
      <c r="H925">
        <v>0.221</v>
      </c>
      <c r="I925">
        <v>0.315</v>
      </c>
      <c r="J925">
        <v>12</v>
      </c>
      <c r="K925">
        <v>5</v>
      </c>
      <c r="L925" t="s">
        <v>67</v>
      </c>
      <c r="M925" t="s">
        <v>68</v>
      </c>
      <c r="N925" t="s">
        <v>69</v>
      </c>
      <c r="O925">
        <v>10</v>
      </c>
      <c r="P925" t="s">
        <v>11</v>
      </c>
      <c r="Q925">
        <v>24.1</v>
      </c>
    </row>
    <row r="926" spans="1:17">
      <c r="A926">
        <v>2671</v>
      </c>
      <c r="B926" t="s">
        <v>76</v>
      </c>
      <c r="C926">
        <v>0.59</v>
      </c>
      <c r="D926">
        <v>0.46</v>
      </c>
      <c r="E926">
        <v>0.14000000000000001</v>
      </c>
      <c r="F926">
        <v>1.004</v>
      </c>
      <c r="G926">
        <v>0.496</v>
      </c>
      <c r="H926">
        <v>0.2165</v>
      </c>
      <c r="I926">
        <v>0.26</v>
      </c>
      <c r="J926">
        <v>9</v>
      </c>
      <c r="K926">
        <v>10</v>
      </c>
      <c r="L926" t="s">
        <v>37</v>
      </c>
      <c r="M926" t="s">
        <v>38</v>
      </c>
      <c r="N926" t="s">
        <v>39</v>
      </c>
      <c r="O926">
        <v>5</v>
      </c>
      <c r="P926" t="s">
        <v>12</v>
      </c>
      <c r="Q926">
        <v>12.8</v>
      </c>
    </row>
    <row r="927" spans="1:17">
      <c r="A927">
        <v>2781</v>
      </c>
      <c r="B927" t="s">
        <v>76</v>
      </c>
      <c r="C927">
        <v>0.59</v>
      </c>
      <c r="D927">
        <v>0.47499999999999998</v>
      </c>
      <c r="E927">
        <v>0.14000000000000001</v>
      </c>
      <c r="F927">
        <v>0.97699999999999998</v>
      </c>
      <c r="G927">
        <v>0.46250000000000002</v>
      </c>
      <c r="H927">
        <v>0.20250000000000001</v>
      </c>
      <c r="I927">
        <v>0.27500000000000002</v>
      </c>
      <c r="J927">
        <v>10</v>
      </c>
      <c r="K927">
        <v>5</v>
      </c>
      <c r="L927" t="s">
        <v>67</v>
      </c>
      <c r="M927" t="s">
        <v>68</v>
      </c>
      <c r="N927" t="s">
        <v>69</v>
      </c>
      <c r="O927">
        <v>9</v>
      </c>
      <c r="P927" t="s">
        <v>9</v>
      </c>
      <c r="Q927">
        <v>1.9</v>
      </c>
    </row>
    <row r="928" spans="1:17">
      <c r="A928">
        <v>1900</v>
      </c>
      <c r="B928" t="s">
        <v>76</v>
      </c>
      <c r="C928">
        <v>0.57499999999999996</v>
      </c>
      <c r="D928">
        <v>0.45</v>
      </c>
      <c r="E928">
        <v>0.13</v>
      </c>
      <c r="F928">
        <v>0.78500000000000003</v>
      </c>
      <c r="G928">
        <v>0.318</v>
      </c>
      <c r="H928">
        <v>0.193</v>
      </c>
      <c r="I928">
        <v>0.22650000000000001</v>
      </c>
      <c r="J928">
        <v>9</v>
      </c>
      <c r="K928">
        <v>8</v>
      </c>
      <c r="L928" t="s">
        <v>55</v>
      </c>
      <c r="M928" t="s">
        <v>56</v>
      </c>
      <c r="N928" t="s">
        <v>57</v>
      </c>
      <c r="O928">
        <v>3</v>
      </c>
      <c r="P928" t="s">
        <v>10</v>
      </c>
      <c r="Q928">
        <v>3.6</v>
      </c>
    </row>
    <row r="929" spans="1:17">
      <c r="A929">
        <v>2846</v>
      </c>
      <c r="B929" t="s">
        <v>76</v>
      </c>
      <c r="C929">
        <v>0.62</v>
      </c>
      <c r="D929">
        <v>0.48</v>
      </c>
      <c r="E929">
        <v>0.17</v>
      </c>
      <c r="F929">
        <v>1.1045</v>
      </c>
      <c r="G929">
        <v>0.53500000000000003</v>
      </c>
      <c r="H929">
        <v>0.25</v>
      </c>
      <c r="I929">
        <v>0.28699999999999998</v>
      </c>
      <c r="J929">
        <v>10</v>
      </c>
      <c r="K929">
        <v>1</v>
      </c>
      <c r="L929" t="s">
        <v>70</v>
      </c>
      <c r="M929" t="s">
        <v>71</v>
      </c>
      <c r="N929" t="s">
        <v>45</v>
      </c>
      <c r="O929">
        <v>10</v>
      </c>
      <c r="P929" t="s">
        <v>11</v>
      </c>
      <c r="Q929">
        <v>24.1</v>
      </c>
    </row>
    <row r="930" spans="1:17">
      <c r="A930">
        <v>3905</v>
      </c>
      <c r="B930" t="s">
        <v>76</v>
      </c>
      <c r="C930">
        <v>0.57499999999999996</v>
      </c>
      <c r="D930">
        <v>0.47</v>
      </c>
      <c r="E930">
        <v>0.16500000000000001</v>
      </c>
      <c r="F930">
        <v>0.85299999999999998</v>
      </c>
      <c r="G930">
        <v>0.29199999999999998</v>
      </c>
      <c r="H930">
        <v>0.17899999999999999</v>
      </c>
      <c r="I930">
        <v>0.35</v>
      </c>
      <c r="J930">
        <v>16</v>
      </c>
      <c r="K930">
        <v>3</v>
      </c>
      <c r="L930" t="s">
        <v>52</v>
      </c>
      <c r="M930" t="s">
        <v>53</v>
      </c>
      <c r="N930" t="s">
        <v>54</v>
      </c>
      <c r="O930">
        <v>7</v>
      </c>
      <c r="P930" t="s">
        <v>6</v>
      </c>
      <c r="Q930">
        <v>2.5</v>
      </c>
    </row>
    <row r="931" spans="1:17">
      <c r="A931">
        <v>2312</v>
      </c>
      <c r="B931" t="s">
        <v>76</v>
      </c>
      <c r="C931">
        <v>0.35</v>
      </c>
      <c r="D931">
        <v>0.26500000000000001</v>
      </c>
      <c r="E931">
        <v>0.11</v>
      </c>
      <c r="F931">
        <v>0.29649999999999999</v>
      </c>
      <c r="G931">
        <v>0.13650000000000001</v>
      </c>
      <c r="H931">
        <v>6.3E-2</v>
      </c>
      <c r="I931">
        <v>8.5000000000000006E-2</v>
      </c>
      <c r="J931">
        <v>7</v>
      </c>
      <c r="K931">
        <v>6</v>
      </c>
      <c r="L931" t="s">
        <v>46</v>
      </c>
      <c r="M931" t="s">
        <v>47</v>
      </c>
      <c r="N931" t="s">
        <v>48</v>
      </c>
      <c r="O931">
        <v>5</v>
      </c>
      <c r="P931" t="s">
        <v>12</v>
      </c>
      <c r="Q931">
        <v>12.8</v>
      </c>
    </row>
    <row r="932" spans="1:17">
      <c r="A932">
        <v>238</v>
      </c>
      <c r="B932" t="s">
        <v>76</v>
      </c>
      <c r="C932">
        <v>0.13</v>
      </c>
      <c r="D932">
        <v>0.1</v>
      </c>
      <c r="E932">
        <v>0.03</v>
      </c>
      <c r="F932">
        <v>1.2999999999999999E-2</v>
      </c>
      <c r="G932">
        <v>4.4999999999999997E-3</v>
      </c>
      <c r="H932">
        <v>3.0000000000000001E-3</v>
      </c>
      <c r="I932">
        <v>4.0000000000000001E-3</v>
      </c>
      <c r="J932">
        <v>3</v>
      </c>
      <c r="K932">
        <v>1</v>
      </c>
      <c r="L932" t="s">
        <v>70</v>
      </c>
      <c r="M932" t="s">
        <v>71</v>
      </c>
      <c r="N932" t="s">
        <v>45</v>
      </c>
      <c r="O932">
        <v>6</v>
      </c>
      <c r="P932" t="s">
        <v>7</v>
      </c>
      <c r="Q932">
        <v>14.1</v>
      </c>
    </row>
    <row r="933" spans="1:17">
      <c r="A933">
        <v>2869</v>
      </c>
      <c r="B933" t="s">
        <v>76</v>
      </c>
      <c r="C933">
        <v>0.33500000000000002</v>
      </c>
      <c r="D933">
        <v>0.26</v>
      </c>
      <c r="E933">
        <v>0.09</v>
      </c>
      <c r="F933">
        <v>0.19650000000000001</v>
      </c>
      <c r="G933">
        <v>8.7499999999999994E-2</v>
      </c>
      <c r="H933">
        <v>4.1000000000000002E-2</v>
      </c>
      <c r="I933">
        <v>5.6000000000000001E-2</v>
      </c>
      <c r="J933">
        <v>7</v>
      </c>
      <c r="K933">
        <v>7</v>
      </c>
      <c r="L933" t="s">
        <v>62</v>
      </c>
      <c r="M933" t="s">
        <v>63</v>
      </c>
      <c r="N933" t="s">
        <v>64</v>
      </c>
      <c r="O933">
        <v>5</v>
      </c>
      <c r="P933" t="s">
        <v>12</v>
      </c>
      <c r="Q933">
        <v>12.8</v>
      </c>
    </row>
    <row r="934" spans="1:17">
      <c r="A934">
        <v>3661</v>
      </c>
      <c r="B934" t="s">
        <v>76</v>
      </c>
      <c r="C934">
        <v>0.54500000000000004</v>
      </c>
      <c r="D934">
        <v>0.41</v>
      </c>
      <c r="E934">
        <v>0.125</v>
      </c>
      <c r="F934">
        <v>0.65400000000000003</v>
      </c>
      <c r="G934">
        <v>0.29449999999999998</v>
      </c>
      <c r="H934">
        <v>0.13150000000000001</v>
      </c>
      <c r="I934">
        <v>0.20499999999999999</v>
      </c>
      <c r="J934">
        <v>10</v>
      </c>
      <c r="K934">
        <v>11</v>
      </c>
      <c r="L934" t="s">
        <v>65</v>
      </c>
      <c r="M934" t="s">
        <v>66</v>
      </c>
      <c r="N934" t="s">
        <v>45</v>
      </c>
      <c r="O934">
        <v>9</v>
      </c>
      <c r="P934" t="s">
        <v>9</v>
      </c>
      <c r="Q934">
        <v>1.9</v>
      </c>
    </row>
    <row r="935" spans="1:17">
      <c r="A935">
        <v>577</v>
      </c>
      <c r="B935" t="s">
        <v>76</v>
      </c>
      <c r="C935">
        <v>0.56000000000000005</v>
      </c>
      <c r="D935">
        <v>0.42499999999999999</v>
      </c>
      <c r="E935">
        <v>0.14000000000000001</v>
      </c>
      <c r="F935">
        <v>0.91749999999999998</v>
      </c>
      <c r="G935">
        <v>0.40050000000000002</v>
      </c>
      <c r="H935">
        <v>0.19750000000000001</v>
      </c>
      <c r="I935">
        <v>0.26</v>
      </c>
      <c r="J935">
        <v>10</v>
      </c>
      <c r="K935">
        <v>5</v>
      </c>
      <c r="L935" t="s">
        <v>67</v>
      </c>
      <c r="M935" t="s">
        <v>68</v>
      </c>
      <c r="N935" t="s">
        <v>69</v>
      </c>
      <c r="O935">
        <v>9</v>
      </c>
      <c r="P935" t="s">
        <v>9</v>
      </c>
      <c r="Q935">
        <v>1.9</v>
      </c>
    </row>
    <row r="936" spans="1:17">
      <c r="A936">
        <v>623</v>
      </c>
      <c r="B936" t="s">
        <v>76</v>
      </c>
      <c r="C936">
        <v>0.5</v>
      </c>
      <c r="D936">
        <v>0.38500000000000001</v>
      </c>
      <c r="E936">
        <v>0.115</v>
      </c>
      <c r="F936">
        <v>0.67849999999999999</v>
      </c>
      <c r="G936">
        <v>0.29449999999999998</v>
      </c>
      <c r="H936">
        <v>0.13800000000000001</v>
      </c>
      <c r="I936">
        <v>0.19500000000000001</v>
      </c>
      <c r="J936">
        <v>12</v>
      </c>
      <c r="K936">
        <v>8</v>
      </c>
      <c r="L936" t="s">
        <v>55</v>
      </c>
      <c r="M936" t="s">
        <v>56</v>
      </c>
      <c r="N936" t="s">
        <v>57</v>
      </c>
      <c r="O936">
        <v>6</v>
      </c>
      <c r="P936" t="s">
        <v>7</v>
      </c>
      <c r="Q936">
        <v>14.1</v>
      </c>
    </row>
    <row r="937" spans="1:17">
      <c r="A937">
        <v>383</v>
      </c>
      <c r="B937" t="s">
        <v>76</v>
      </c>
      <c r="C937">
        <v>0.48499999999999999</v>
      </c>
      <c r="D937">
        <v>0.4</v>
      </c>
      <c r="E937">
        <v>0.13500000000000001</v>
      </c>
      <c r="F937">
        <v>0.66300000000000003</v>
      </c>
      <c r="G937">
        <v>0.313</v>
      </c>
      <c r="H937">
        <v>0.13700000000000001</v>
      </c>
      <c r="I937">
        <v>0.2</v>
      </c>
      <c r="J937">
        <v>10</v>
      </c>
      <c r="K937">
        <v>13</v>
      </c>
      <c r="L937" t="s">
        <v>43</v>
      </c>
      <c r="M937" t="s">
        <v>44</v>
      </c>
      <c r="N937" t="s">
        <v>45</v>
      </c>
      <c r="O937">
        <v>6</v>
      </c>
      <c r="P937" t="s">
        <v>7</v>
      </c>
      <c r="Q937">
        <v>14.1</v>
      </c>
    </row>
    <row r="938" spans="1:17">
      <c r="A938">
        <v>273</v>
      </c>
      <c r="B938" t="s">
        <v>76</v>
      </c>
      <c r="C938">
        <v>0.62</v>
      </c>
      <c r="D938">
        <v>0.48499999999999999</v>
      </c>
      <c r="E938">
        <v>0.20499999999999999</v>
      </c>
      <c r="F938">
        <v>1.2190000000000001</v>
      </c>
      <c r="G938">
        <v>0.38750000000000001</v>
      </c>
      <c r="H938">
        <v>0.2505</v>
      </c>
      <c r="I938">
        <v>0.38500000000000001</v>
      </c>
      <c r="J938">
        <v>14</v>
      </c>
      <c r="K938">
        <v>3</v>
      </c>
      <c r="L938" t="s">
        <v>52</v>
      </c>
      <c r="M938" t="s">
        <v>53</v>
      </c>
      <c r="N938" t="s">
        <v>54</v>
      </c>
      <c r="O938">
        <v>10</v>
      </c>
      <c r="P938" t="s">
        <v>11</v>
      </c>
      <c r="Q938">
        <v>24.1</v>
      </c>
    </row>
    <row r="939" spans="1:17">
      <c r="A939">
        <v>1344</v>
      </c>
      <c r="B939" t="s">
        <v>76</v>
      </c>
      <c r="C939">
        <v>0.58499999999999996</v>
      </c>
      <c r="D939">
        <v>0.46</v>
      </c>
      <c r="E939">
        <v>0.16500000000000001</v>
      </c>
      <c r="F939">
        <v>1.1134999999999999</v>
      </c>
      <c r="G939">
        <v>0.58250000000000002</v>
      </c>
      <c r="H939">
        <v>0.23449999999999999</v>
      </c>
      <c r="I939">
        <v>0.27400000000000002</v>
      </c>
      <c r="J939">
        <v>10</v>
      </c>
      <c r="K939">
        <v>7</v>
      </c>
      <c r="L939" t="s">
        <v>62</v>
      </c>
      <c r="M939" t="s">
        <v>63</v>
      </c>
      <c r="N939" t="s">
        <v>64</v>
      </c>
      <c r="O939">
        <v>10</v>
      </c>
      <c r="P939" t="s">
        <v>11</v>
      </c>
      <c r="Q939">
        <v>24.1</v>
      </c>
    </row>
    <row r="940" spans="1:17">
      <c r="A940">
        <v>527</v>
      </c>
      <c r="B940" t="s">
        <v>76</v>
      </c>
      <c r="C940">
        <v>0.155</v>
      </c>
      <c r="D940">
        <v>0.11</v>
      </c>
      <c r="E940">
        <v>0.04</v>
      </c>
      <c r="F940">
        <v>1.55E-2</v>
      </c>
      <c r="G940">
        <v>6.4999999999999997E-3</v>
      </c>
      <c r="H940">
        <v>3.0000000000000001E-3</v>
      </c>
      <c r="I940">
        <v>5.0000000000000001E-3</v>
      </c>
      <c r="J940">
        <v>3</v>
      </c>
      <c r="K940">
        <v>1</v>
      </c>
      <c r="L940" t="s">
        <v>70</v>
      </c>
      <c r="M940" t="s">
        <v>71</v>
      </c>
      <c r="N940" t="s">
        <v>45</v>
      </c>
      <c r="O940">
        <v>10</v>
      </c>
      <c r="P940" t="s">
        <v>11</v>
      </c>
      <c r="Q940">
        <v>24.1</v>
      </c>
    </row>
    <row r="941" spans="1:17">
      <c r="A941">
        <v>3936</v>
      </c>
      <c r="B941" t="s">
        <v>76</v>
      </c>
      <c r="C941">
        <v>0.52</v>
      </c>
      <c r="D941">
        <v>0.41</v>
      </c>
      <c r="E941">
        <v>0.115</v>
      </c>
      <c r="F941">
        <v>0.77</v>
      </c>
      <c r="G941">
        <v>0.26300000000000001</v>
      </c>
      <c r="H941">
        <v>0.157</v>
      </c>
      <c r="I941">
        <v>0.26</v>
      </c>
      <c r="J941">
        <v>11</v>
      </c>
      <c r="K941">
        <v>5</v>
      </c>
      <c r="L941" t="s">
        <v>67</v>
      </c>
      <c r="M941" t="s">
        <v>68</v>
      </c>
      <c r="N941" t="s">
        <v>69</v>
      </c>
      <c r="O941">
        <v>6</v>
      </c>
      <c r="P941" t="s">
        <v>7</v>
      </c>
      <c r="Q941">
        <v>14.1</v>
      </c>
    </row>
    <row r="942" spans="1:17">
      <c r="A942">
        <v>2517</v>
      </c>
      <c r="B942" t="s">
        <v>76</v>
      </c>
      <c r="C942">
        <v>0.47499999999999998</v>
      </c>
      <c r="D942">
        <v>0.36499999999999999</v>
      </c>
      <c r="E942">
        <v>0.12</v>
      </c>
      <c r="F942">
        <v>0.53</v>
      </c>
      <c r="G942">
        <v>0.2505</v>
      </c>
      <c r="H942">
        <v>9.7500000000000003E-2</v>
      </c>
      <c r="I942">
        <v>0.16250000000000001</v>
      </c>
      <c r="J942">
        <v>10</v>
      </c>
      <c r="K942">
        <v>7</v>
      </c>
      <c r="L942" t="s">
        <v>62</v>
      </c>
      <c r="M942" t="s">
        <v>63</v>
      </c>
      <c r="N942" t="s">
        <v>64</v>
      </c>
      <c r="O942">
        <v>10</v>
      </c>
      <c r="P942" t="s">
        <v>11</v>
      </c>
      <c r="Q942">
        <v>24.1</v>
      </c>
    </row>
    <row r="943" spans="1:17">
      <c r="A943">
        <v>2717</v>
      </c>
      <c r="B943" t="s">
        <v>76</v>
      </c>
      <c r="C943">
        <v>0.34</v>
      </c>
      <c r="D943">
        <v>0.245</v>
      </c>
      <c r="E943">
        <v>8.5000000000000006E-2</v>
      </c>
      <c r="F943">
        <v>0.20150000000000001</v>
      </c>
      <c r="G943">
        <v>0.10050000000000001</v>
      </c>
      <c r="H943">
        <v>3.7999999999999999E-2</v>
      </c>
      <c r="I943">
        <v>5.2999999999999999E-2</v>
      </c>
      <c r="J943">
        <v>6</v>
      </c>
      <c r="K943">
        <v>1</v>
      </c>
      <c r="L943" t="s">
        <v>70</v>
      </c>
      <c r="M943" t="s">
        <v>71</v>
      </c>
      <c r="N943" t="s">
        <v>45</v>
      </c>
      <c r="O943">
        <v>1</v>
      </c>
      <c r="P943" t="s">
        <v>4</v>
      </c>
      <c r="Q943">
        <v>22.1</v>
      </c>
    </row>
    <row r="944" spans="1:17">
      <c r="A944">
        <v>430</v>
      </c>
      <c r="B944" t="s">
        <v>76</v>
      </c>
      <c r="C944">
        <v>0.57499999999999996</v>
      </c>
      <c r="D944">
        <v>0.45</v>
      </c>
      <c r="E944">
        <v>0.17</v>
      </c>
      <c r="F944">
        <v>1.0475000000000001</v>
      </c>
      <c r="G944">
        <v>0.3775</v>
      </c>
      <c r="H944">
        <v>0.17050000000000001</v>
      </c>
      <c r="I944">
        <v>0.38500000000000001</v>
      </c>
      <c r="J944">
        <v>18</v>
      </c>
      <c r="K944">
        <v>3</v>
      </c>
      <c r="L944" t="s">
        <v>52</v>
      </c>
      <c r="M944" t="s">
        <v>53</v>
      </c>
      <c r="N944" t="s">
        <v>54</v>
      </c>
      <c r="O944">
        <v>6</v>
      </c>
      <c r="P944" t="s">
        <v>7</v>
      </c>
      <c r="Q944">
        <v>14.1</v>
      </c>
    </row>
    <row r="945" spans="1:17">
      <c r="A945">
        <v>3775</v>
      </c>
      <c r="B945" t="s">
        <v>76</v>
      </c>
      <c r="C945">
        <v>0.57999999999999996</v>
      </c>
      <c r="D945">
        <v>0.42</v>
      </c>
      <c r="E945">
        <v>0.14000000000000001</v>
      </c>
      <c r="F945">
        <v>0.70099999999999996</v>
      </c>
      <c r="G945">
        <v>0.32850000000000001</v>
      </c>
      <c r="H945">
        <v>0.10199999999999999</v>
      </c>
      <c r="I945">
        <v>0.22550000000000001</v>
      </c>
      <c r="J945">
        <v>9</v>
      </c>
      <c r="K945">
        <v>14</v>
      </c>
      <c r="L945" t="s">
        <v>72</v>
      </c>
      <c r="M945" t="s">
        <v>73</v>
      </c>
      <c r="N945" t="s">
        <v>74</v>
      </c>
      <c r="O945">
        <v>4</v>
      </c>
      <c r="P945" t="s">
        <v>8</v>
      </c>
      <c r="Q945">
        <v>6.1</v>
      </c>
    </row>
    <row r="946" spans="1:17">
      <c r="A946">
        <v>2791</v>
      </c>
      <c r="B946" t="s">
        <v>76</v>
      </c>
      <c r="C946">
        <v>0.62</v>
      </c>
      <c r="D946">
        <v>0.48</v>
      </c>
      <c r="E946">
        <v>0.16500000000000001</v>
      </c>
      <c r="F946">
        <v>1.0125</v>
      </c>
      <c r="G946">
        <v>0.53249999999999997</v>
      </c>
      <c r="H946">
        <v>0.4365</v>
      </c>
      <c r="I946">
        <v>0.32400000000000001</v>
      </c>
      <c r="J946">
        <v>10</v>
      </c>
      <c r="K946">
        <v>14</v>
      </c>
      <c r="L946" t="s">
        <v>72</v>
      </c>
      <c r="M946" t="s">
        <v>73</v>
      </c>
      <c r="N946" t="s">
        <v>74</v>
      </c>
      <c r="O946">
        <v>6</v>
      </c>
      <c r="P946" t="s">
        <v>7</v>
      </c>
      <c r="Q946">
        <v>14.1</v>
      </c>
    </row>
    <row r="947" spans="1:17">
      <c r="A947">
        <v>4096</v>
      </c>
      <c r="B947" t="s">
        <v>76</v>
      </c>
      <c r="C947">
        <v>0.63500000000000001</v>
      </c>
      <c r="D947">
        <v>0.48499999999999999</v>
      </c>
      <c r="E947">
        <v>0.155</v>
      </c>
      <c r="F947">
        <v>1.073</v>
      </c>
      <c r="G947">
        <v>0.46700000000000003</v>
      </c>
      <c r="H947">
        <v>0.19750000000000001</v>
      </c>
      <c r="I947">
        <v>0.35</v>
      </c>
      <c r="J947">
        <v>11</v>
      </c>
      <c r="K947">
        <v>11</v>
      </c>
      <c r="L947" t="s">
        <v>65</v>
      </c>
      <c r="M947" t="s">
        <v>66</v>
      </c>
      <c r="N947" t="s">
        <v>45</v>
      </c>
      <c r="O947">
        <v>9</v>
      </c>
      <c r="P947" t="s">
        <v>9</v>
      </c>
      <c r="Q947">
        <v>1.9</v>
      </c>
    </row>
    <row r="948" spans="1:17">
      <c r="A948">
        <v>3459</v>
      </c>
      <c r="B948" t="s">
        <v>76</v>
      </c>
      <c r="C948">
        <v>0.61</v>
      </c>
      <c r="D948">
        <v>0.47</v>
      </c>
      <c r="E948">
        <v>0.16</v>
      </c>
      <c r="F948">
        <v>1.0745</v>
      </c>
      <c r="G948">
        <v>0.49249999999999999</v>
      </c>
      <c r="H948">
        <v>0.23599999999999999</v>
      </c>
      <c r="I948">
        <v>0.28999999999999998</v>
      </c>
      <c r="J948">
        <v>8</v>
      </c>
      <c r="K948">
        <v>10</v>
      </c>
      <c r="L948" t="s">
        <v>37</v>
      </c>
      <c r="M948" t="s">
        <v>38</v>
      </c>
      <c r="N948" t="s">
        <v>39</v>
      </c>
      <c r="O948">
        <v>6</v>
      </c>
      <c r="P948" t="s">
        <v>7</v>
      </c>
      <c r="Q948">
        <v>14.1</v>
      </c>
    </row>
    <row r="949" spans="1:17">
      <c r="A949">
        <v>2508</v>
      </c>
      <c r="B949" t="s">
        <v>76</v>
      </c>
      <c r="C949">
        <v>0.41499999999999998</v>
      </c>
      <c r="D949">
        <v>0.32500000000000001</v>
      </c>
      <c r="E949">
        <v>0.1</v>
      </c>
      <c r="F949">
        <v>0.46650000000000003</v>
      </c>
      <c r="G949">
        <v>0.22850000000000001</v>
      </c>
      <c r="H949">
        <v>0.1065</v>
      </c>
      <c r="I949">
        <v>0.114</v>
      </c>
      <c r="J949">
        <v>7</v>
      </c>
      <c r="K949">
        <v>5</v>
      </c>
      <c r="L949" t="s">
        <v>67</v>
      </c>
      <c r="M949" t="s">
        <v>68</v>
      </c>
      <c r="N949" t="s">
        <v>69</v>
      </c>
      <c r="O949">
        <v>3</v>
      </c>
      <c r="P949" t="s">
        <v>10</v>
      </c>
      <c r="Q949">
        <v>3.6</v>
      </c>
    </row>
    <row r="950" spans="1:17">
      <c r="A950">
        <v>700</v>
      </c>
      <c r="B950" t="s">
        <v>76</v>
      </c>
      <c r="C950">
        <v>0.39500000000000002</v>
      </c>
      <c r="D950">
        <v>0.315</v>
      </c>
      <c r="E950">
        <v>0.105</v>
      </c>
      <c r="F950">
        <v>0.35149999999999998</v>
      </c>
      <c r="G950">
        <v>0.11849999999999999</v>
      </c>
      <c r="H950">
        <v>9.0999999999999998E-2</v>
      </c>
      <c r="I950">
        <v>0.1195</v>
      </c>
      <c r="J950">
        <v>16</v>
      </c>
      <c r="K950">
        <v>12</v>
      </c>
      <c r="L950" t="s">
        <v>58</v>
      </c>
      <c r="M950" t="s">
        <v>59</v>
      </c>
      <c r="N950" t="s">
        <v>45</v>
      </c>
      <c r="O950">
        <v>8</v>
      </c>
      <c r="P950" t="s">
        <v>13</v>
      </c>
      <c r="Q950">
        <v>12.3</v>
      </c>
    </row>
    <row r="951" spans="1:17">
      <c r="A951">
        <v>2883</v>
      </c>
      <c r="B951" t="s">
        <v>76</v>
      </c>
      <c r="C951">
        <v>0.5</v>
      </c>
      <c r="D951">
        <v>0.39</v>
      </c>
      <c r="E951">
        <v>0.13</v>
      </c>
      <c r="F951">
        <v>0.50749999999999995</v>
      </c>
      <c r="G951">
        <v>0.21149999999999999</v>
      </c>
      <c r="H951">
        <v>0.104</v>
      </c>
      <c r="I951">
        <v>0.17549999999999999</v>
      </c>
      <c r="J951">
        <v>9</v>
      </c>
      <c r="K951">
        <v>14</v>
      </c>
      <c r="L951" t="s">
        <v>72</v>
      </c>
      <c r="M951" t="s">
        <v>73</v>
      </c>
      <c r="N951" t="s">
        <v>74</v>
      </c>
      <c r="O951">
        <v>5</v>
      </c>
      <c r="P951" t="s">
        <v>12</v>
      </c>
      <c r="Q951">
        <v>12.8</v>
      </c>
    </row>
    <row r="952" spans="1:17">
      <c r="A952">
        <v>3653</v>
      </c>
      <c r="B952" t="s">
        <v>76</v>
      </c>
      <c r="C952">
        <v>0.52500000000000002</v>
      </c>
      <c r="D952">
        <v>0.42499999999999999</v>
      </c>
      <c r="E952">
        <v>0.14000000000000001</v>
      </c>
      <c r="F952">
        <v>0.87350000000000005</v>
      </c>
      <c r="G952">
        <v>0.42049999999999998</v>
      </c>
      <c r="H952">
        <v>0.182</v>
      </c>
      <c r="I952">
        <v>0.2225</v>
      </c>
      <c r="J952">
        <v>10</v>
      </c>
      <c r="K952">
        <v>3</v>
      </c>
      <c r="L952" t="s">
        <v>52</v>
      </c>
      <c r="M952" t="s">
        <v>53</v>
      </c>
      <c r="N952" t="s">
        <v>54</v>
      </c>
      <c r="O952">
        <v>7</v>
      </c>
      <c r="P952" t="s">
        <v>6</v>
      </c>
      <c r="Q952">
        <v>2.5</v>
      </c>
    </row>
    <row r="953" spans="1:17">
      <c r="A953">
        <v>3087</v>
      </c>
      <c r="B953" t="s">
        <v>76</v>
      </c>
      <c r="C953">
        <v>0.35499999999999998</v>
      </c>
      <c r="D953">
        <v>0.27</v>
      </c>
      <c r="E953">
        <v>7.4999999999999997E-2</v>
      </c>
      <c r="F953">
        <v>0.20399999999999999</v>
      </c>
      <c r="G953">
        <v>0.30449999999999999</v>
      </c>
      <c r="H953">
        <v>4.5999999999999999E-2</v>
      </c>
      <c r="I953">
        <v>5.9499999999999997E-2</v>
      </c>
      <c r="J953">
        <v>7</v>
      </c>
      <c r="K953">
        <v>15</v>
      </c>
      <c r="L953" t="s">
        <v>60</v>
      </c>
      <c r="M953" t="s">
        <v>61</v>
      </c>
      <c r="N953" t="s">
        <v>45</v>
      </c>
      <c r="O953">
        <v>8</v>
      </c>
      <c r="P953" t="s">
        <v>13</v>
      </c>
      <c r="Q953">
        <v>12.3</v>
      </c>
    </row>
    <row r="954" spans="1:17">
      <c r="A954">
        <v>3727</v>
      </c>
      <c r="B954" t="s">
        <v>76</v>
      </c>
      <c r="C954">
        <v>0.5</v>
      </c>
      <c r="D954">
        <v>0.39500000000000002</v>
      </c>
      <c r="E954">
        <v>0.14499999999999999</v>
      </c>
      <c r="F954">
        <v>0.78649999999999998</v>
      </c>
      <c r="G954">
        <v>0.33200000000000002</v>
      </c>
      <c r="H954">
        <v>0.18149999999999999</v>
      </c>
      <c r="I954">
        <v>0.2455</v>
      </c>
      <c r="J954">
        <v>8</v>
      </c>
      <c r="K954">
        <v>6</v>
      </c>
      <c r="L954" t="s">
        <v>46</v>
      </c>
      <c r="M954" t="s">
        <v>47</v>
      </c>
      <c r="N954" t="s">
        <v>48</v>
      </c>
      <c r="O954">
        <v>6</v>
      </c>
      <c r="P954" t="s">
        <v>7</v>
      </c>
      <c r="Q954">
        <v>14.1</v>
      </c>
    </row>
    <row r="955" spans="1:17">
      <c r="A955">
        <v>2724</v>
      </c>
      <c r="B955" t="s">
        <v>76</v>
      </c>
      <c r="C955">
        <v>0.38500000000000001</v>
      </c>
      <c r="D955">
        <v>0.3</v>
      </c>
      <c r="E955">
        <v>0.125</v>
      </c>
      <c r="F955">
        <v>0.34300000000000003</v>
      </c>
      <c r="G955">
        <v>0.17050000000000001</v>
      </c>
      <c r="H955">
        <v>7.3499999999999996E-2</v>
      </c>
      <c r="I955">
        <v>8.1000000000000003E-2</v>
      </c>
      <c r="J955">
        <v>7</v>
      </c>
      <c r="K955">
        <v>12</v>
      </c>
      <c r="L955" t="s">
        <v>58</v>
      </c>
      <c r="M955" t="s">
        <v>59</v>
      </c>
      <c r="N955" t="s">
        <v>45</v>
      </c>
      <c r="O955">
        <v>1</v>
      </c>
      <c r="P955" t="s">
        <v>4</v>
      </c>
      <c r="Q955">
        <v>22.1</v>
      </c>
    </row>
    <row r="956" spans="1:17">
      <c r="A956">
        <v>1140</v>
      </c>
      <c r="B956" t="s">
        <v>76</v>
      </c>
      <c r="C956">
        <v>0.57499999999999996</v>
      </c>
      <c r="D956">
        <v>0.47</v>
      </c>
      <c r="E956">
        <v>0.16500000000000001</v>
      </c>
      <c r="F956">
        <v>0.86899999999999999</v>
      </c>
      <c r="G956">
        <v>0.435</v>
      </c>
      <c r="H956">
        <v>0.19700000000000001</v>
      </c>
      <c r="I956">
        <v>0.23799999999999999</v>
      </c>
      <c r="J956">
        <v>9</v>
      </c>
      <c r="K956">
        <v>5</v>
      </c>
      <c r="L956" t="s">
        <v>67</v>
      </c>
      <c r="M956" t="s">
        <v>68</v>
      </c>
      <c r="N956" t="s">
        <v>69</v>
      </c>
      <c r="O956">
        <v>8</v>
      </c>
      <c r="P956" t="s">
        <v>13</v>
      </c>
      <c r="Q956">
        <v>12.3</v>
      </c>
    </row>
    <row r="957" spans="1:17">
      <c r="A957">
        <v>2667</v>
      </c>
      <c r="B957" t="s">
        <v>76</v>
      </c>
      <c r="C957">
        <v>0.57999999999999996</v>
      </c>
      <c r="D957">
        <v>0.45500000000000002</v>
      </c>
      <c r="E957">
        <v>0.13</v>
      </c>
      <c r="F957">
        <v>0.85199999999999998</v>
      </c>
      <c r="G957">
        <v>0.41</v>
      </c>
      <c r="H957">
        <v>0.17249999999999999</v>
      </c>
      <c r="I957">
        <v>0.22500000000000001</v>
      </c>
      <c r="J957">
        <v>8</v>
      </c>
      <c r="K957">
        <v>10</v>
      </c>
      <c r="L957" t="s">
        <v>37</v>
      </c>
      <c r="M957" t="s">
        <v>38</v>
      </c>
      <c r="N957" t="s">
        <v>39</v>
      </c>
      <c r="O957">
        <v>7</v>
      </c>
      <c r="P957" t="s">
        <v>6</v>
      </c>
      <c r="Q957">
        <v>2.5</v>
      </c>
    </row>
    <row r="958" spans="1:17">
      <c r="A958">
        <v>1567</v>
      </c>
      <c r="B958" t="s">
        <v>76</v>
      </c>
      <c r="C958">
        <v>0.46500000000000002</v>
      </c>
      <c r="D958">
        <v>0.37</v>
      </c>
      <c r="E958">
        <v>0.12</v>
      </c>
      <c r="F958">
        <v>0.4365</v>
      </c>
      <c r="G958">
        <v>0.188</v>
      </c>
      <c r="H958">
        <v>8.1500000000000003E-2</v>
      </c>
      <c r="I958">
        <v>0.14699999999999999</v>
      </c>
      <c r="J958">
        <v>9</v>
      </c>
      <c r="K958">
        <v>10</v>
      </c>
      <c r="L958" t="s">
        <v>37</v>
      </c>
      <c r="M958" t="s">
        <v>38</v>
      </c>
      <c r="N958" t="s">
        <v>39</v>
      </c>
      <c r="O958">
        <v>9</v>
      </c>
      <c r="P958" t="s">
        <v>9</v>
      </c>
      <c r="Q958">
        <v>1.9</v>
      </c>
    </row>
    <row r="959" spans="1:17">
      <c r="A959">
        <v>2761</v>
      </c>
      <c r="B959" t="s">
        <v>76</v>
      </c>
      <c r="C959">
        <v>0.55000000000000004</v>
      </c>
      <c r="D959">
        <v>0.43</v>
      </c>
      <c r="E959">
        <v>0.14499999999999999</v>
      </c>
      <c r="F959">
        <v>0.71199999999999997</v>
      </c>
      <c r="G959">
        <v>0.30249999999999999</v>
      </c>
      <c r="H959">
        <v>0.152</v>
      </c>
      <c r="I959">
        <v>0.22500000000000001</v>
      </c>
      <c r="J959">
        <v>10</v>
      </c>
      <c r="K959">
        <v>8</v>
      </c>
      <c r="L959" t="s">
        <v>55</v>
      </c>
      <c r="M959" t="s">
        <v>56</v>
      </c>
      <c r="N959" t="s">
        <v>57</v>
      </c>
      <c r="O959">
        <v>9</v>
      </c>
      <c r="P959" t="s">
        <v>9</v>
      </c>
      <c r="Q959">
        <v>1.9</v>
      </c>
    </row>
    <row r="960" spans="1:17">
      <c r="A960">
        <v>3916</v>
      </c>
      <c r="B960" t="s">
        <v>76</v>
      </c>
      <c r="C960">
        <v>0.56000000000000005</v>
      </c>
      <c r="D960">
        <v>0.44500000000000001</v>
      </c>
      <c r="E960">
        <v>0.16500000000000001</v>
      </c>
      <c r="F960">
        <v>1.0285</v>
      </c>
      <c r="G960">
        <v>0.45350000000000001</v>
      </c>
      <c r="H960">
        <v>0.253</v>
      </c>
      <c r="I960">
        <v>0.27500000000000002</v>
      </c>
      <c r="J960">
        <v>11</v>
      </c>
      <c r="K960">
        <v>15</v>
      </c>
      <c r="L960" t="s">
        <v>60</v>
      </c>
      <c r="M960" t="s">
        <v>61</v>
      </c>
      <c r="N960" t="s">
        <v>45</v>
      </c>
      <c r="O960">
        <v>8</v>
      </c>
      <c r="P960" t="s">
        <v>13</v>
      </c>
      <c r="Q960">
        <v>12.3</v>
      </c>
    </row>
    <row r="961" spans="1:17">
      <c r="A961">
        <v>704</v>
      </c>
      <c r="B961" t="s">
        <v>76</v>
      </c>
      <c r="C961">
        <v>0.39500000000000002</v>
      </c>
      <c r="D961">
        <v>0.29499999999999998</v>
      </c>
      <c r="E961">
        <v>0.115</v>
      </c>
      <c r="F961">
        <v>0.316</v>
      </c>
      <c r="G961">
        <v>0.1205</v>
      </c>
      <c r="H961">
        <v>5.9499999999999997E-2</v>
      </c>
      <c r="I961">
        <v>0.1105</v>
      </c>
      <c r="J961">
        <v>12</v>
      </c>
      <c r="K961">
        <v>8</v>
      </c>
      <c r="L961" t="s">
        <v>55</v>
      </c>
      <c r="M961" t="s">
        <v>56</v>
      </c>
      <c r="N961" t="s">
        <v>57</v>
      </c>
      <c r="O961">
        <v>10</v>
      </c>
      <c r="P961" t="s">
        <v>11</v>
      </c>
      <c r="Q961">
        <v>24.1</v>
      </c>
    </row>
    <row r="962" spans="1:17">
      <c r="A962">
        <v>3124</v>
      </c>
      <c r="B962" t="s">
        <v>76</v>
      </c>
      <c r="C962">
        <v>0.57499999999999996</v>
      </c>
      <c r="D962">
        <v>0.45</v>
      </c>
      <c r="E962">
        <v>0.13500000000000001</v>
      </c>
      <c r="F962">
        <v>0.92149999999999999</v>
      </c>
      <c r="G962">
        <v>0.35399999999999998</v>
      </c>
      <c r="H962">
        <v>0.20899999999999999</v>
      </c>
      <c r="I962">
        <v>0.23649999999999999</v>
      </c>
      <c r="J962">
        <v>9</v>
      </c>
      <c r="K962">
        <v>7</v>
      </c>
      <c r="L962" t="s">
        <v>62</v>
      </c>
      <c r="M962" t="s">
        <v>63</v>
      </c>
      <c r="N962" t="s">
        <v>64</v>
      </c>
      <c r="O962">
        <v>5</v>
      </c>
      <c r="P962" t="s">
        <v>12</v>
      </c>
      <c r="Q962">
        <v>12.8</v>
      </c>
    </row>
    <row r="963" spans="1:17">
      <c r="A963">
        <v>4175</v>
      </c>
      <c r="B963" t="s">
        <v>76</v>
      </c>
      <c r="C963">
        <v>0.6</v>
      </c>
      <c r="D963">
        <v>0.47499999999999998</v>
      </c>
      <c r="E963">
        <v>0.20499999999999999</v>
      </c>
      <c r="F963">
        <v>1.1759999999999999</v>
      </c>
      <c r="G963">
        <v>0.52549999999999997</v>
      </c>
      <c r="H963">
        <v>0.28749999999999998</v>
      </c>
      <c r="I963">
        <v>0.308</v>
      </c>
      <c r="J963">
        <v>9</v>
      </c>
      <c r="K963">
        <v>9</v>
      </c>
      <c r="L963" t="s">
        <v>34</v>
      </c>
      <c r="M963" t="s">
        <v>35</v>
      </c>
      <c r="N963" t="s">
        <v>36</v>
      </c>
      <c r="O963">
        <v>2</v>
      </c>
      <c r="P963" t="s">
        <v>5</v>
      </c>
      <c r="Q963">
        <v>18</v>
      </c>
    </row>
    <row r="964" spans="1:17">
      <c r="A964">
        <v>2297</v>
      </c>
      <c r="B964" t="s">
        <v>76</v>
      </c>
      <c r="C964">
        <v>0.53500000000000003</v>
      </c>
      <c r="D964">
        <v>0.45</v>
      </c>
      <c r="E964">
        <v>0.13500000000000001</v>
      </c>
      <c r="F964">
        <v>0.8075</v>
      </c>
      <c r="G964">
        <v>0.32200000000000001</v>
      </c>
      <c r="H964">
        <v>0.18099999999999999</v>
      </c>
      <c r="I964">
        <v>0.25</v>
      </c>
      <c r="J964">
        <v>13</v>
      </c>
      <c r="K964">
        <v>2</v>
      </c>
      <c r="L964" t="s">
        <v>49</v>
      </c>
      <c r="M964" t="s">
        <v>50</v>
      </c>
      <c r="N964" t="s">
        <v>51</v>
      </c>
      <c r="O964">
        <v>10</v>
      </c>
      <c r="P964" t="s">
        <v>11</v>
      </c>
      <c r="Q964">
        <v>24.1</v>
      </c>
    </row>
    <row r="965" spans="1:17">
      <c r="A965">
        <v>2328</v>
      </c>
      <c r="B965" t="s">
        <v>76</v>
      </c>
      <c r="C965">
        <v>0.47499999999999998</v>
      </c>
      <c r="D965">
        <v>0.39500000000000002</v>
      </c>
      <c r="E965">
        <v>0.13500000000000001</v>
      </c>
      <c r="F965">
        <v>0.59199999999999997</v>
      </c>
      <c r="G965">
        <v>0.2465</v>
      </c>
      <c r="H965">
        <v>0.16450000000000001</v>
      </c>
      <c r="I965">
        <v>0.2</v>
      </c>
      <c r="J965">
        <v>13</v>
      </c>
      <c r="K965">
        <v>15</v>
      </c>
      <c r="L965" t="s">
        <v>60</v>
      </c>
      <c r="M965" t="s">
        <v>61</v>
      </c>
      <c r="N965" t="s">
        <v>45</v>
      </c>
      <c r="O965">
        <v>1</v>
      </c>
      <c r="P965" t="s">
        <v>4</v>
      </c>
      <c r="Q965">
        <v>22.1</v>
      </c>
    </row>
    <row r="966" spans="1:17">
      <c r="A966">
        <v>3448</v>
      </c>
      <c r="B966" t="s">
        <v>76</v>
      </c>
      <c r="C966">
        <v>0.505</v>
      </c>
      <c r="D966">
        <v>0.39</v>
      </c>
      <c r="E966">
        <v>0.12</v>
      </c>
      <c r="F966">
        <v>0.57250000000000001</v>
      </c>
      <c r="G966">
        <v>0.2555</v>
      </c>
      <c r="H966">
        <v>0.13250000000000001</v>
      </c>
      <c r="I966">
        <v>0.14599999999999999</v>
      </c>
      <c r="J966">
        <v>8</v>
      </c>
      <c r="K966">
        <v>2</v>
      </c>
      <c r="L966" t="s">
        <v>49</v>
      </c>
      <c r="M966" t="s">
        <v>50</v>
      </c>
      <c r="N966" t="s">
        <v>51</v>
      </c>
      <c r="O966">
        <v>7</v>
      </c>
      <c r="P966" t="s">
        <v>6</v>
      </c>
      <c r="Q966">
        <v>2.5</v>
      </c>
    </row>
    <row r="967" spans="1:17">
      <c r="A967">
        <v>1471</v>
      </c>
      <c r="B967" t="s">
        <v>76</v>
      </c>
      <c r="C967">
        <v>0.53</v>
      </c>
      <c r="D967">
        <v>0.43</v>
      </c>
      <c r="E967">
        <v>0.13</v>
      </c>
      <c r="F967">
        <v>0.70450000000000002</v>
      </c>
      <c r="G967">
        <v>0.34599999999999997</v>
      </c>
      <c r="H967">
        <v>0.14149999999999999</v>
      </c>
      <c r="I967">
        <v>0.189</v>
      </c>
      <c r="J967">
        <v>9</v>
      </c>
      <c r="K967">
        <v>11</v>
      </c>
      <c r="L967" t="s">
        <v>65</v>
      </c>
      <c r="M967" t="s">
        <v>66</v>
      </c>
      <c r="N967" t="s">
        <v>45</v>
      </c>
      <c r="O967">
        <v>8</v>
      </c>
      <c r="P967" t="s">
        <v>13</v>
      </c>
      <c r="Q967">
        <v>12.3</v>
      </c>
    </row>
    <row r="968" spans="1:17">
      <c r="A968">
        <v>459</v>
      </c>
      <c r="B968" t="s">
        <v>76</v>
      </c>
      <c r="C968">
        <v>0.41499999999999998</v>
      </c>
      <c r="D968">
        <v>0.31</v>
      </c>
      <c r="E968">
        <v>0.11</v>
      </c>
      <c r="F968">
        <v>0.29649999999999999</v>
      </c>
      <c r="G968">
        <v>0.123</v>
      </c>
      <c r="H968">
        <v>5.7000000000000002E-2</v>
      </c>
      <c r="I968">
        <v>9.9500000000000005E-2</v>
      </c>
      <c r="J968">
        <v>10</v>
      </c>
      <c r="K968">
        <v>13</v>
      </c>
      <c r="L968" t="s">
        <v>43</v>
      </c>
      <c r="M968" t="s">
        <v>44</v>
      </c>
      <c r="N968" t="s">
        <v>45</v>
      </c>
      <c r="O968">
        <v>10</v>
      </c>
      <c r="P968" t="s">
        <v>11</v>
      </c>
      <c r="Q968">
        <v>24.1</v>
      </c>
    </row>
    <row r="969" spans="1:17">
      <c r="A969">
        <v>672</v>
      </c>
      <c r="B969" t="s">
        <v>76</v>
      </c>
      <c r="C969">
        <v>0.5</v>
      </c>
      <c r="D969">
        <v>0.38</v>
      </c>
      <c r="E969">
        <v>0.155</v>
      </c>
      <c r="F969">
        <v>0.65500000000000003</v>
      </c>
      <c r="G969">
        <v>0.24049999999999999</v>
      </c>
      <c r="H969">
        <v>0.14299999999999999</v>
      </c>
      <c r="I969">
        <v>0.20499999999999999</v>
      </c>
      <c r="J969">
        <v>17</v>
      </c>
      <c r="K969">
        <v>10</v>
      </c>
      <c r="L969" t="s">
        <v>37</v>
      </c>
      <c r="M969" t="s">
        <v>38</v>
      </c>
      <c r="N969" t="s">
        <v>39</v>
      </c>
      <c r="O969">
        <v>1</v>
      </c>
      <c r="P969" t="s">
        <v>4</v>
      </c>
      <c r="Q969">
        <v>22.1</v>
      </c>
    </row>
    <row r="970" spans="1:17">
      <c r="A970">
        <v>2910</v>
      </c>
      <c r="B970" t="s">
        <v>76</v>
      </c>
      <c r="C970">
        <v>0.57999999999999996</v>
      </c>
      <c r="D970">
        <v>0.45</v>
      </c>
      <c r="E970">
        <v>0.15</v>
      </c>
      <c r="F970">
        <v>0.92</v>
      </c>
      <c r="G970">
        <v>0.39300000000000002</v>
      </c>
      <c r="H970">
        <v>0.21199999999999999</v>
      </c>
      <c r="I970">
        <v>0.28949999999999998</v>
      </c>
      <c r="J970">
        <v>9</v>
      </c>
      <c r="K970">
        <v>14</v>
      </c>
      <c r="L970" t="s">
        <v>72</v>
      </c>
      <c r="M970" t="s">
        <v>73</v>
      </c>
      <c r="N970" t="s">
        <v>74</v>
      </c>
      <c r="O970">
        <v>9</v>
      </c>
      <c r="P970" t="s">
        <v>9</v>
      </c>
      <c r="Q970">
        <v>1.9</v>
      </c>
    </row>
    <row r="971" spans="1:17">
      <c r="A971">
        <v>2133</v>
      </c>
      <c r="B971" t="s">
        <v>76</v>
      </c>
      <c r="C971">
        <v>0.52</v>
      </c>
      <c r="D971">
        <v>0.41</v>
      </c>
      <c r="E971">
        <v>0.125</v>
      </c>
      <c r="F971">
        <v>0.69850000000000001</v>
      </c>
      <c r="G971">
        <v>0.29449999999999998</v>
      </c>
      <c r="H971">
        <v>0.16250000000000001</v>
      </c>
      <c r="I971">
        <v>0.215</v>
      </c>
      <c r="J971">
        <v>10</v>
      </c>
      <c r="K971">
        <v>14</v>
      </c>
      <c r="L971" t="s">
        <v>72</v>
      </c>
      <c r="M971" t="s">
        <v>73</v>
      </c>
      <c r="N971" t="s">
        <v>74</v>
      </c>
      <c r="O971">
        <v>7</v>
      </c>
      <c r="P971" t="s">
        <v>6</v>
      </c>
      <c r="Q971">
        <v>2.5</v>
      </c>
    </row>
    <row r="972" spans="1:17">
      <c r="A972">
        <v>2749</v>
      </c>
      <c r="B972" t="s">
        <v>76</v>
      </c>
      <c r="C972">
        <v>0.505</v>
      </c>
      <c r="D972">
        <v>0.38500000000000001</v>
      </c>
      <c r="E972">
        <v>0.125</v>
      </c>
      <c r="F972">
        <v>0.59599999999999997</v>
      </c>
      <c r="G972">
        <v>0.245</v>
      </c>
      <c r="H972">
        <v>9.7000000000000003E-2</v>
      </c>
      <c r="I972">
        <v>0.21</v>
      </c>
      <c r="J972">
        <v>9</v>
      </c>
      <c r="K972">
        <v>1</v>
      </c>
      <c r="L972" t="s">
        <v>70</v>
      </c>
      <c r="M972" t="s">
        <v>71</v>
      </c>
      <c r="N972" t="s">
        <v>45</v>
      </c>
      <c r="O972">
        <v>6</v>
      </c>
      <c r="P972" t="s">
        <v>7</v>
      </c>
      <c r="Q972">
        <v>14.1</v>
      </c>
    </row>
    <row r="973" spans="1:17">
      <c r="A973">
        <v>2648</v>
      </c>
      <c r="B973" t="s">
        <v>76</v>
      </c>
      <c r="C973">
        <v>0.5</v>
      </c>
      <c r="D973">
        <v>0.39</v>
      </c>
      <c r="E973">
        <v>0.125</v>
      </c>
      <c r="F973">
        <v>0.58299999999999996</v>
      </c>
      <c r="G973">
        <v>0.29399999999999998</v>
      </c>
      <c r="H973">
        <v>0.13200000000000001</v>
      </c>
      <c r="I973">
        <v>0.1605</v>
      </c>
      <c r="J973">
        <v>8</v>
      </c>
      <c r="K973">
        <v>5</v>
      </c>
      <c r="L973" t="s">
        <v>67</v>
      </c>
      <c r="M973" t="s">
        <v>68</v>
      </c>
      <c r="N973" t="s">
        <v>69</v>
      </c>
      <c r="O973">
        <v>8</v>
      </c>
      <c r="P973" t="s">
        <v>13</v>
      </c>
      <c r="Q973">
        <v>12.3</v>
      </c>
    </row>
    <row r="974" spans="1:17">
      <c r="A974">
        <v>2999</v>
      </c>
      <c r="B974" t="s">
        <v>76</v>
      </c>
      <c r="C974">
        <v>0.63500000000000001</v>
      </c>
      <c r="D974">
        <v>0.51</v>
      </c>
      <c r="E974">
        <v>0.17</v>
      </c>
      <c r="F974">
        <v>1.2235</v>
      </c>
      <c r="G974">
        <v>0.53200000000000003</v>
      </c>
      <c r="H974">
        <v>0.27100000000000002</v>
      </c>
      <c r="I974">
        <v>0.35399999999999998</v>
      </c>
      <c r="J974">
        <v>9</v>
      </c>
      <c r="K974">
        <v>2</v>
      </c>
      <c r="L974" t="s">
        <v>49</v>
      </c>
      <c r="M974" t="s">
        <v>50</v>
      </c>
      <c r="N974" t="s">
        <v>51</v>
      </c>
      <c r="O974">
        <v>5</v>
      </c>
      <c r="P974" t="s">
        <v>12</v>
      </c>
      <c r="Q974">
        <v>12.8</v>
      </c>
    </row>
    <row r="975" spans="1:17">
      <c r="A975">
        <v>3557</v>
      </c>
      <c r="B975" t="s">
        <v>76</v>
      </c>
      <c r="C975">
        <v>0.53500000000000003</v>
      </c>
      <c r="D975">
        <v>0.41</v>
      </c>
      <c r="E975">
        <v>0.13</v>
      </c>
      <c r="F975">
        <v>0.60750000000000004</v>
      </c>
      <c r="G975">
        <v>0.26800000000000002</v>
      </c>
      <c r="H975">
        <v>0.1225</v>
      </c>
      <c r="I975">
        <v>0.19750000000000001</v>
      </c>
      <c r="J975">
        <v>9</v>
      </c>
      <c r="K975">
        <v>9</v>
      </c>
      <c r="L975" t="s">
        <v>34</v>
      </c>
      <c r="M975" t="s">
        <v>35</v>
      </c>
      <c r="N975" t="s">
        <v>36</v>
      </c>
      <c r="O975">
        <v>3</v>
      </c>
      <c r="P975" t="s">
        <v>10</v>
      </c>
      <c r="Q975">
        <v>3.6</v>
      </c>
    </row>
    <row r="976" spans="1:17">
      <c r="A976">
        <v>1324</v>
      </c>
      <c r="B976" t="s">
        <v>76</v>
      </c>
      <c r="C976">
        <v>0.56000000000000005</v>
      </c>
      <c r="D976">
        <v>0.45500000000000002</v>
      </c>
      <c r="E976">
        <v>0.14499999999999999</v>
      </c>
      <c r="F976">
        <v>0.97399999999999998</v>
      </c>
      <c r="G976">
        <v>0.54700000000000004</v>
      </c>
      <c r="H976">
        <v>0.1615</v>
      </c>
      <c r="I976">
        <v>0.23499999999999999</v>
      </c>
      <c r="J976">
        <v>9</v>
      </c>
      <c r="K976">
        <v>9</v>
      </c>
      <c r="L976" t="s">
        <v>34</v>
      </c>
      <c r="M976" t="s">
        <v>35</v>
      </c>
      <c r="N976" t="s">
        <v>36</v>
      </c>
      <c r="O976">
        <v>10</v>
      </c>
      <c r="P976" t="s">
        <v>11</v>
      </c>
      <c r="Q976">
        <v>24.1</v>
      </c>
    </row>
    <row r="977" spans="1:17">
      <c r="A977">
        <v>2563</v>
      </c>
      <c r="B977" t="s">
        <v>76</v>
      </c>
      <c r="C977">
        <v>0.44</v>
      </c>
      <c r="D977">
        <v>0.32500000000000001</v>
      </c>
      <c r="E977">
        <v>0.1</v>
      </c>
      <c r="F977">
        <v>0.41649999999999998</v>
      </c>
      <c r="G977">
        <v>0.185</v>
      </c>
      <c r="H977">
        <v>8.6499999999999994E-2</v>
      </c>
      <c r="I977">
        <v>0.11</v>
      </c>
      <c r="J977">
        <v>6</v>
      </c>
      <c r="K977">
        <v>3</v>
      </c>
      <c r="L977" t="s">
        <v>52</v>
      </c>
      <c r="M977" t="s">
        <v>53</v>
      </c>
      <c r="N977" t="s">
        <v>54</v>
      </c>
      <c r="O977">
        <v>2</v>
      </c>
      <c r="P977" t="s">
        <v>5</v>
      </c>
      <c r="Q977">
        <v>18</v>
      </c>
    </row>
    <row r="978" spans="1:17">
      <c r="A978">
        <v>439</v>
      </c>
      <c r="B978" t="s">
        <v>76</v>
      </c>
      <c r="C978">
        <v>0.39</v>
      </c>
      <c r="D978">
        <v>0.3</v>
      </c>
      <c r="E978">
        <v>0.09</v>
      </c>
      <c r="F978">
        <v>0.30549999999999999</v>
      </c>
      <c r="G978">
        <v>0.14299999999999999</v>
      </c>
      <c r="H978">
        <v>6.4500000000000002E-2</v>
      </c>
      <c r="I978">
        <v>8.5000000000000006E-2</v>
      </c>
      <c r="J978">
        <v>9</v>
      </c>
      <c r="K978">
        <v>3</v>
      </c>
      <c r="L978" t="s">
        <v>52</v>
      </c>
      <c r="M978" t="s">
        <v>53</v>
      </c>
      <c r="N978" t="s">
        <v>54</v>
      </c>
      <c r="O978">
        <v>4</v>
      </c>
      <c r="P978" t="s">
        <v>8</v>
      </c>
      <c r="Q978">
        <v>6.1</v>
      </c>
    </row>
    <row r="979" spans="1:17">
      <c r="A979">
        <v>3891</v>
      </c>
      <c r="B979" t="s">
        <v>76</v>
      </c>
      <c r="C979">
        <v>0.51500000000000001</v>
      </c>
      <c r="D979">
        <v>0.4</v>
      </c>
      <c r="E979">
        <v>0.14000000000000001</v>
      </c>
      <c r="F979">
        <v>0.73650000000000004</v>
      </c>
      <c r="G979">
        <v>0.29549999999999998</v>
      </c>
      <c r="H979">
        <v>0.184</v>
      </c>
      <c r="I979">
        <v>0.185</v>
      </c>
      <c r="J979">
        <v>16</v>
      </c>
      <c r="K979">
        <v>3</v>
      </c>
      <c r="L979" t="s">
        <v>52</v>
      </c>
      <c r="M979" t="s">
        <v>53</v>
      </c>
      <c r="N979" t="s">
        <v>54</v>
      </c>
      <c r="O979">
        <v>4</v>
      </c>
      <c r="P979" t="s">
        <v>8</v>
      </c>
      <c r="Q979">
        <v>6.1</v>
      </c>
    </row>
    <row r="980" spans="1:17">
      <c r="A980">
        <v>3884</v>
      </c>
      <c r="B980" t="s">
        <v>76</v>
      </c>
      <c r="C980">
        <v>0.54</v>
      </c>
      <c r="D980">
        <v>0.42499999999999999</v>
      </c>
      <c r="E980">
        <v>0.12</v>
      </c>
      <c r="F980">
        <v>0.81699999999999995</v>
      </c>
      <c r="G980">
        <v>0.29449999999999998</v>
      </c>
      <c r="H980">
        <v>0.153</v>
      </c>
      <c r="I980">
        <v>0.19500000000000001</v>
      </c>
      <c r="J980">
        <v>10</v>
      </c>
      <c r="K980">
        <v>12</v>
      </c>
      <c r="L980" t="s">
        <v>58</v>
      </c>
      <c r="M980" t="s">
        <v>59</v>
      </c>
      <c r="N980" t="s">
        <v>45</v>
      </c>
      <c r="O980">
        <v>3</v>
      </c>
      <c r="P980" t="s">
        <v>10</v>
      </c>
      <c r="Q980">
        <v>3.6</v>
      </c>
    </row>
    <row r="981" spans="1:17">
      <c r="A981">
        <v>1959</v>
      </c>
      <c r="B981" t="s">
        <v>76</v>
      </c>
      <c r="C981">
        <v>0.65</v>
      </c>
      <c r="D981">
        <v>0.52</v>
      </c>
      <c r="E981">
        <v>0.15</v>
      </c>
      <c r="F981">
        <v>1.238</v>
      </c>
      <c r="G981">
        <v>0.54949999999999999</v>
      </c>
      <c r="H981">
        <v>0.29599999999999999</v>
      </c>
      <c r="I981">
        <v>0.33050000000000002</v>
      </c>
      <c r="J981">
        <v>10</v>
      </c>
      <c r="K981">
        <v>4</v>
      </c>
      <c r="L981" t="s">
        <v>40</v>
      </c>
      <c r="M981" t="s">
        <v>41</v>
      </c>
      <c r="N981" t="s">
        <v>42</v>
      </c>
      <c r="O981">
        <v>5</v>
      </c>
      <c r="P981" t="s">
        <v>12</v>
      </c>
      <c r="Q981">
        <v>12.8</v>
      </c>
    </row>
    <row r="982" spans="1:17">
      <c r="A982">
        <v>4038</v>
      </c>
      <c r="B982" t="s">
        <v>76</v>
      </c>
      <c r="C982">
        <v>0.54</v>
      </c>
      <c r="D982">
        <v>0.41499999999999998</v>
      </c>
      <c r="E982">
        <v>0.155</v>
      </c>
      <c r="F982">
        <v>0.70199999999999996</v>
      </c>
      <c r="G982">
        <v>0.32200000000000001</v>
      </c>
      <c r="H982">
        <v>0.16700000000000001</v>
      </c>
      <c r="I982">
        <v>0.19</v>
      </c>
      <c r="J982">
        <v>10</v>
      </c>
      <c r="K982">
        <v>13</v>
      </c>
      <c r="L982" t="s">
        <v>43</v>
      </c>
      <c r="M982" t="s">
        <v>44</v>
      </c>
      <c r="N982" t="s">
        <v>45</v>
      </c>
      <c r="O982">
        <v>3</v>
      </c>
      <c r="P982" t="s">
        <v>10</v>
      </c>
      <c r="Q982">
        <v>3.6</v>
      </c>
    </row>
    <row r="983" spans="1:17">
      <c r="A983">
        <v>2220</v>
      </c>
      <c r="B983" t="s">
        <v>76</v>
      </c>
      <c r="C983">
        <v>0.48499999999999999</v>
      </c>
      <c r="D983">
        <v>0.375</v>
      </c>
      <c r="E983">
        <v>0.14499999999999999</v>
      </c>
      <c r="F983">
        <v>0.58850000000000002</v>
      </c>
      <c r="G983">
        <v>0.23849999999999999</v>
      </c>
      <c r="H983">
        <v>0.11550000000000001</v>
      </c>
      <c r="I983">
        <v>0.19</v>
      </c>
      <c r="J983">
        <v>13</v>
      </c>
      <c r="K983">
        <v>14</v>
      </c>
      <c r="L983" t="s">
        <v>72</v>
      </c>
      <c r="M983" t="s">
        <v>73</v>
      </c>
      <c r="N983" t="s">
        <v>74</v>
      </c>
      <c r="O983">
        <v>5</v>
      </c>
      <c r="P983" t="s">
        <v>12</v>
      </c>
      <c r="Q983">
        <v>12.8</v>
      </c>
    </row>
    <row r="984" spans="1:17">
      <c r="A984">
        <v>3165</v>
      </c>
      <c r="B984" t="s">
        <v>76</v>
      </c>
      <c r="C984">
        <v>0.64</v>
      </c>
      <c r="D984">
        <v>0.47499999999999998</v>
      </c>
      <c r="E984">
        <v>0.19</v>
      </c>
      <c r="F984">
        <v>1.151</v>
      </c>
      <c r="G984">
        <v>0.4365</v>
      </c>
      <c r="H984">
        <v>0.28100000000000003</v>
      </c>
      <c r="I984">
        <v>0.3805</v>
      </c>
      <c r="J984">
        <v>13</v>
      </c>
      <c r="K984">
        <v>6</v>
      </c>
      <c r="L984" t="s">
        <v>46</v>
      </c>
      <c r="M984" t="s">
        <v>47</v>
      </c>
      <c r="N984" t="s">
        <v>48</v>
      </c>
      <c r="O984">
        <v>3</v>
      </c>
      <c r="P984" t="s">
        <v>10</v>
      </c>
      <c r="Q984">
        <v>3.6</v>
      </c>
    </row>
    <row r="985" spans="1:17">
      <c r="A985">
        <v>2417</v>
      </c>
      <c r="B985" t="s">
        <v>76</v>
      </c>
      <c r="C985">
        <v>0.42499999999999999</v>
      </c>
      <c r="D985">
        <v>0.315</v>
      </c>
      <c r="E985">
        <v>0.125</v>
      </c>
      <c r="F985">
        <v>0.35249999999999998</v>
      </c>
      <c r="G985">
        <v>0.1135</v>
      </c>
      <c r="H985">
        <v>5.6500000000000002E-2</v>
      </c>
      <c r="I985">
        <v>0.13</v>
      </c>
      <c r="J985">
        <v>18</v>
      </c>
      <c r="K985">
        <v>14</v>
      </c>
      <c r="L985" t="s">
        <v>72</v>
      </c>
      <c r="M985" t="s">
        <v>73</v>
      </c>
      <c r="N985" t="s">
        <v>74</v>
      </c>
      <c r="O985">
        <v>2</v>
      </c>
      <c r="P985" t="s">
        <v>5</v>
      </c>
      <c r="Q985">
        <v>18</v>
      </c>
    </row>
    <row r="986" spans="1:17">
      <c r="A986">
        <v>3646</v>
      </c>
      <c r="B986" t="s">
        <v>76</v>
      </c>
      <c r="C986">
        <v>0.47499999999999998</v>
      </c>
      <c r="D986">
        <v>0.33500000000000002</v>
      </c>
      <c r="E986">
        <v>0.1</v>
      </c>
      <c r="F986">
        <v>0.4425</v>
      </c>
      <c r="G986">
        <v>0.1895</v>
      </c>
      <c r="H986">
        <v>8.5999999999999993E-2</v>
      </c>
      <c r="I986">
        <v>0.13500000000000001</v>
      </c>
      <c r="J986">
        <v>9</v>
      </c>
      <c r="K986">
        <v>10</v>
      </c>
      <c r="L986" t="s">
        <v>37</v>
      </c>
      <c r="M986" t="s">
        <v>38</v>
      </c>
      <c r="N986" t="s">
        <v>39</v>
      </c>
      <c r="O986">
        <v>3</v>
      </c>
      <c r="P986" t="s">
        <v>10</v>
      </c>
      <c r="Q986">
        <v>3.6</v>
      </c>
    </row>
    <row r="987" spans="1:17">
      <c r="A987">
        <v>1646</v>
      </c>
      <c r="B987" t="s">
        <v>76</v>
      </c>
      <c r="C987">
        <v>0.57999999999999996</v>
      </c>
      <c r="D987">
        <v>0.43</v>
      </c>
      <c r="E987">
        <v>0.13</v>
      </c>
      <c r="F987">
        <v>0.79800000000000004</v>
      </c>
      <c r="G987">
        <v>0.36499999999999999</v>
      </c>
      <c r="H987">
        <v>0.17299999999999999</v>
      </c>
      <c r="I987">
        <v>0.22850000000000001</v>
      </c>
      <c r="J987">
        <v>10</v>
      </c>
      <c r="K987">
        <v>4</v>
      </c>
      <c r="L987" t="s">
        <v>40</v>
      </c>
      <c r="M987" t="s">
        <v>41</v>
      </c>
      <c r="N987" t="s">
        <v>42</v>
      </c>
      <c r="O987">
        <v>1</v>
      </c>
      <c r="P987" t="s">
        <v>4</v>
      </c>
      <c r="Q987">
        <v>22.1</v>
      </c>
    </row>
    <row r="988" spans="1:17">
      <c r="A988">
        <v>485</v>
      </c>
      <c r="B988" t="s">
        <v>76</v>
      </c>
      <c r="C988">
        <v>0.63</v>
      </c>
      <c r="D988">
        <v>0.48</v>
      </c>
      <c r="E988">
        <v>0.14499999999999999</v>
      </c>
      <c r="F988">
        <v>1.0115000000000001</v>
      </c>
      <c r="G988">
        <v>0.42349999999999999</v>
      </c>
      <c r="H988">
        <v>0.23699999999999999</v>
      </c>
      <c r="I988">
        <v>0.30499999999999999</v>
      </c>
      <c r="J988">
        <v>12</v>
      </c>
      <c r="K988">
        <v>12</v>
      </c>
      <c r="L988" t="s">
        <v>58</v>
      </c>
      <c r="M988" t="s">
        <v>59</v>
      </c>
      <c r="N988" t="s">
        <v>45</v>
      </c>
      <c r="O988">
        <v>2</v>
      </c>
      <c r="P988" t="s">
        <v>5</v>
      </c>
      <c r="Q988">
        <v>18</v>
      </c>
    </row>
    <row r="989" spans="1:17">
      <c r="A989">
        <v>3340</v>
      </c>
      <c r="B989" t="s">
        <v>76</v>
      </c>
      <c r="C989">
        <v>0.58499999999999996</v>
      </c>
      <c r="D989">
        <v>0.47499999999999998</v>
      </c>
      <c r="E989">
        <v>0.185</v>
      </c>
      <c r="F989">
        <v>0.85750000000000004</v>
      </c>
      <c r="G989">
        <v>0.34649999999999997</v>
      </c>
      <c r="H989">
        <v>0.17849999999999999</v>
      </c>
      <c r="I989">
        <v>0.27500000000000002</v>
      </c>
      <c r="J989">
        <v>12</v>
      </c>
      <c r="K989">
        <v>6</v>
      </c>
      <c r="L989" t="s">
        <v>46</v>
      </c>
      <c r="M989" t="s">
        <v>47</v>
      </c>
      <c r="N989" t="s">
        <v>48</v>
      </c>
      <c r="O989">
        <v>1</v>
      </c>
      <c r="P989" t="s">
        <v>4</v>
      </c>
      <c r="Q989">
        <v>22.1</v>
      </c>
    </row>
    <row r="990" spans="1:17">
      <c r="A990">
        <v>23</v>
      </c>
      <c r="B990" t="s">
        <v>76</v>
      </c>
      <c r="C990">
        <v>0.56499999999999995</v>
      </c>
      <c r="D990">
        <v>0.44</v>
      </c>
      <c r="E990">
        <v>0.155</v>
      </c>
      <c r="F990">
        <v>0.9395</v>
      </c>
      <c r="G990">
        <v>0.42749999999999999</v>
      </c>
      <c r="H990">
        <v>0.214</v>
      </c>
      <c r="I990">
        <v>0.27</v>
      </c>
      <c r="J990">
        <v>12</v>
      </c>
      <c r="K990">
        <v>8</v>
      </c>
      <c r="L990" t="s">
        <v>55</v>
      </c>
      <c r="M990" t="s">
        <v>56</v>
      </c>
      <c r="N990" t="s">
        <v>57</v>
      </c>
      <c r="O990">
        <v>8</v>
      </c>
      <c r="P990" t="s">
        <v>13</v>
      </c>
      <c r="Q990">
        <v>12.3</v>
      </c>
    </row>
    <row r="991" spans="1:17">
      <c r="A991">
        <v>2001</v>
      </c>
      <c r="B991" t="s">
        <v>76</v>
      </c>
      <c r="C991">
        <v>0.35499999999999998</v>
      </c>
      <c r="D991">
        <v>0.27</v>
      </c>
      <c r="E991">
        <v>0.105</v>
      </c>
      <c r="F991">
        <v>0.27100000000000002</v>
      </c>
      <c r="G991">
        <v>0.14249999999999999</v>
      </c>
      <c r="H991">
        <v>5.2499999999999998E-2</v>
      </c>
      <c r="I991">
        <v>7.3499999999999996E-2</v>
      </c>
      <c r="J991">
        <v>9</v>
      </c>
      <c r="K991">
        <v>15</v>
      </c>
      <c r="L991" t="s">
        <v>60</v>
      </c>
      <c r="M991" t="s">
        <v>61</v>
      </c>
      <c r="N991" t="s">
        <v>45</v>
      </c>
      <c r="O991">
        <v>4</v>
      </c>
      <c r="P991" t="s">
        <v>8</v>
      </c>
      <c r="Q991">
        <v>6.1</v>
      </c>
    </row>
    <row r="992" spans="1:17">
      <c r="A992">
        <v>1254</v>
      </c>
      <c r="B992" t="s">
        <v>76</v>
      </c>
      <c r="C992">
        <v>0.42</v>
      </c>
      <c r="D992">
        <v>0.30499999999999999</v>
      </c>
      <c r="E992">
        <v>0.09</v>
      </c>
      <c r="F992">
        <v>0.32800000000000001</v>
      </c>
      <c r="G992">
        <v>0.16800000000000001</v>
      </c>
      <c r="H992">
        <v>6.1499999999999999E-2</v>
      </c>
      <c r="I992">
        <v>8.2000000000000003E-2</v>
      </c>
      <c r="J992">
        <v>6</v>
      </c>
      <c r="K992">
        <v>6</v>
      </c>
      <c r="L992" t="s">
        <v>46</v>
      </c>
      <c r="M992" t="s">
        <v>47</v>
      </c>
      <c r="N992" t="s">
        <v>48</v>
      </c>
      <c r="O992">
        <v>6</v>
      </c>
      <c r="P992" t="s">
        <v>7</v>
      </c>
      <c r="Q992">
        <v>14.1</v>
      </c>
    </row>
    <row r="993" spans="1:17">
      <c r="A993">
        <v>2840</v>
      </c>
      <c r="B993" t="s">
        <v>76</v>
      </c>
      <c r="C993">
        <v>0.59</v>
      </c>
      <c r="D993">
        <v>0.45500000000000002</v>
      </c>
      <c r="E993">
        <v>0.15</v>
      </c>
      <c r="F993">
        <v>0.97599999999999998</v>
      </c>
      <c r="G993">
        <v>0.46500000000000002</v>
      </c>
      <c r="H993">
        <v>0.20549999999999999</v>
      </c>
      <c r="I993">
        <v>0.27650000000000002</v>
      </c>
      <c r="J993">
        <v>10</v>
      </c>
      <c r="K993">
        <v>10</v>
      </c>
      <c r="L993" t="s">
        <v>37</v>
      </c>
      <c r="M993" t="s">
        <v>38</v>
      </c>
      <c r="N993" t="s">
        <v>39</v>
      </c>
      <c r="O993">
        <v>8</v>
      </c>
      <c r="P993" t="s">
        <v>13</v>
      </c>
      <c r="Q993">
        <v>12.3</v>
      </c>
    </row>
    <row r="994" spans="1:17">
      <c r="A994">
        <v>1915</v>
      </c>
      <c r="B994" t="s">
        <v>76</v>
      </c>
      <c r="C994">
        <v>0.59499999999999997</v>
      </c>
      <c r="D994">
        <v>0.45500000000000002</v>
      </c>
      <c r="E994">
        <v>0.15</v>
      </c>
      <c r="F994">
        <v>0.88600000000000001</v>
      </c>
      <c r="G994">
        <v>0.43149999999999999</v>
      </c>
      <c r="H994">
        <v>0.20100000000000001</v>
      </c>
      <c r="I994">
        <v>0.223</v>
      </c>
      <c r="J994">
        <v>10</v>
      </c>
      <c r="K994">
        <v>4</v>
      </c>
      <c r="L994" t="s">
        <v>40</v>
      </c>
      <c r="M994" t="s">
        <v>41</v>
      </c>
      <c r="N994" t="s">
        <v>42</v>
      </c>
      <c r="O994">
        <v>7</v>
      </c>
      <c r="P994" t="s">
        <v>6</v>
      </c>
      <c r="Q994">
        <v>2.5</v>
      </c>
    </row>
    <row r="995" spans="1:17">
      <c r="A995">
        <v>634</v>
      </c>
      <c r="B995" t="s">
        <v>76</v>
      </c>
      <c r="C995">
        <v>0.47</v>
      </c>
      <c r="D995">
        <v>0.36</v>
      </c>
      <c r="E995">
        <v>0.13</v>
      </c>
      <c r="F995">
        <v>0.52249999999999996</v>
      </c>
      <c r="G995">
        <v>0.19800000000000001</v>
      </c>
      <c r="H995">
        <v>0.1065</v>
      </c>
      <c r="I995">
        <v>0.16500000000000001</v>
      </c>
      <c r="J995">
        <v>9</v>
      </c>
      <c r="K995">
        <v>8</v>
      </c>
      <c r="L995" t="s">
        <v>55</v>
      </c>
      <c r="M995" t="s">
        <v>56</v>
      </c>
      <c r="N995" t="s">
        <v>57</v>
      </c>
      <c r="O995">
        <v>7</v>
      </c>
      <c r="P995" t="s">
        <v>6</v>
      </c>
      <c r="Q995">
        <v>2.5</v>
      </c>
    </row>
    <row r="996" spans="1:17">
      <c r="A996">
        <v>3025</v>
      </c>
      <c r="B996" t="s">
        <v>76</v>
      </c>
      <c r="C996">
        <v>0.47499999999999998</v>
      </c>
      <c r="D996">
        <v>0.375</v>
      </c>
      <c r="E996">
        <v>0.11</v>
      </c>
      <c r="F996">
        <v>0.45600000000000002</v>
      </c>
      <c r="G996">
        <v>0.182</v>
      </c>
      <c r="H996">
        <v>9.9000000000000005E-2</v>
      </c>
      <c r="I996">
        <v>0.16</v>
      </c>
      <c r="J996">
        <v>9</v>
      </c>
      <c r="K996">
        <v>14</v>
      </c>
      <c r="L996" t="s">
        <v>72</v>
      </c>
      <c r="M996" t="s">
        <v>73</v>
      </c>
      <c r="N996" t="s">
        <v>74</v>
      </c>
      <c r="O996">
        <v>5</v>
      </c>
      <c r="P996" t="s">
        <v>12</v>
      </c>
      <c r="Q996">
        <v>12.8</v>
      </c>
    </row>
    <row r="997" spans="1:17">
      <c r="A997">
        <v>773</v>
      </c>
      <c r="B997" t="s">
        <v>76</v>
      </c>
      <c r="C997">
        <v>0.38500000000000001</v>
      </c>
      <c r="D997">
        <v>0.27500000000000002</v>
      </c>
      <c r="E997">
        <v>0.115</v>
      </c>
      <c r="F997">
        <v>0.26850000000000002</v>
      </c>
      <c r="G997">
        <v>9.7500000000000003E-2</v>
      </c>
      <c r="H997">
        <v>8.2500000000000004E-2</v>
      </c>
      <c r="I997">
        <v>8.5000000000000006E-2</v>
      </c>
      <c r="J997">
        <v>8</v>
      </c>
      <c r="K997">
        <v>2</v>
      </c>
      <c r="L997" t="s">
        <v>49</v>
      </c>
      <c r="M997" t="s">
        <v>50</v>
      </c>
      <c r="N997" t="s">
        <v>51</v>
      </c>
      <c r="O997">
        <v>10</v>
      </c>
      <c r="P997" t="s">
        <v>11</v>
      </c>
      <c r="Q997">
        <v>24.1</v>
      </c>
    </row>
    <row r="998" spans="1:17">
      <c r="A998">
        <v>1465</v>
      </c>
      <c r="B998" t="s">
        <v>76</v>
      </c>
      <c r="C998">
        <v>0.505</v>
      </c>
      <c r="D998">
        <v>0.38</v>
      </c>
      <c r="E998">
        <v>0.13500000000000001</v>
      </c>
      <c r="F998">
        <v>0.6855</v>
      </c>
      <c r="G998">
        <v>0.36099999999999999</v>
      </c>
      <c r="H998">
        <v>0.1565</v>
      </c>
      <c r="I998">
        <v>0.161</v>
      </c>
      <c r="J998">
        <v>9</v>
      </c>
      <c r="K998">
        <v>15</v>
      </c>
      <c r="L998" t="s">
        <v>60</v>
      </c>
      <c r="M998" t="s">
        <v>61</v>
      </c>
      <c r="N998" t="s">
        <v>45</v>
      </c>
      <c r="O998">
        <v>3</v>
      </c>
      <c r="P998" t="s">
        <v>10</v>
      </c>
      <c r="Q998">
        <v>3.6</v>
      </c>
    </row>
    <row r="999" spans="1:17">
      <c r="A999">
        <v>833</v>
      </c>
      <c r="B999" t="s">
        <v>76</v>
      </c>
      <c r="C999">
        <v>0.44</v>
      </c>
      <c r="D999">
        <v>0.36499999999999999</v>
      </c>
      <c r="E999">
        <v>0.115</v>
      </c>
      <c r="F999">
        <v>0.501</v>
      </c>
      <c r="G999">
        <v>0.24349999999999999</v>
      </c>
      <c r="H999">
        <v>8.4000000000000005E-2</v>
      </c>
      <c r="I999">
        <v>0.14649999999999999</v>
      </c>
      <c r="J999">
        <v>9</v>
      </c>
      <c r="K999">
        <v>12</v>
      </c>
      <c r="L999" t="s">
        <v>58</v>
      </c>
      <c r="M999" t="s">
        <v>59</v>
      </c>
      <c r="N999" t="s">
        <v>45</v>
      </c>
      <c r="O999">
        <v>3</v>
      </c>
      <c r="P999" t="s">
        <v>10</v>
      </c>
      <c r="Q999">
        <v>3.6</v>
      </c>
    </row>
    <row r="1000" spans="1:17">
      <c r="A1000">
        <v>4083</v>
      </c>
      <c r="B1000" t="s">
        <v>76</v>
      </c>
      <c r="C1000">
        <v>0.56499999999999995</v>
      </c>
      <c r="D1000">
        <v>0.46500000000000002</v>
      </c>
      <c r="E1000">
        <v>0.15</v>
      </c>
      <c r="F1000">
        <v>1.1815</v>
      </c>
      <c r="G1000">
        <v>0.58099999999999996</v>
      </c>
      <c r="H1000">
        <v>0.2215</v>
      </c>
      <c r="I1000">
        <v>0.3095</v>
      </c>
      <c r="J1000">
        <v>9</v>
      </c>
      <c r="K1000">
        <v>9</v>
      </c>
      <c r="L1000" t="s">
        <v>34</v>
      </c>
      <c r="M1000" t="s">
        <v>35</v>
      </c>
      <c r="N1000" t="s">
        <v>36</v>
      </c>
      <c r="O1000">
        <v>7</v>
      </c>
      <c r="P1000" t="s">
        <v>6</v>
      </c>
      <c r="Q1000">
        <v>2.5</v>
      </c>
    </row>
    <row r="1001" spans="1:17">
      <c r="A1001">
        <v>2207</v>
      </c>
      <c r="B1001" t="s">
        <v>76</v>
      </c>
      <c r="C1001">
        <v>0.28999999999999998</v>
      </c>
      <c r="D1001">
        <v>0.22500000000000001</v>
      </c>
      <c r="E1001">
        <v>7.4999999999999997E-2</v>
      </c>
      <c r="F1001">
        <v>0.14000000000000001</v>
      </c>
      <c r="G1001">
        <v>5.1499999999999997E-2</v>
      </c>
      <c r="H1001">
        <v>2.35E-2</v>
      </c>
      <c r="I1001">
        <v>0.04</v>
      </c>
      <c r="J1001">
        <v>5</v>
      </c>
      <c r="K1001">
        <v>3</v>
      </c>
      <c r="L1001" t="s">
        <v>52</v>
      </c>
      <c r="M1001" t="s">
        <v>53</v>
      </c>
      <c r="N1001" t="s">
        <v>54</v>
      </c>
      <c r="O1001">
        <v>5</v>
      </c>
      <c r="P1001" t="s">
        <v>12</v>
      </c>
      <c r="Q1001">
        <v>12.8</v>
      </c>
    </row>
    <row r="1002" spans="1:17">
      <c r="B1002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2514-5672-489E-9178-F08A237BAB84}">
  <dimension ref="A1:R1031"/>
  <sheetViews>
    <sheetView topLeftCell="A75" workbookViewId="0">
      <selection activeCell="E81" sqref="E81"/>
    </sheetView>
  </sheetViews>
  <sheetFormatPr defaultRowHeight="15"/>
  <cols>
    <col min="1" max="1" width="13" bestFit="1" customWidth="1"/>
    <col min="2" max="2" width="9.7109375" bestFit="1" customWidth="1"/>
    <col min="4" max="4" width="11.42578125" bestFit="1" customWidth="1"/>
    <col min="6" max="6" width="15.5703125" bestFit="1" customWidth="1"/>
    <col min="7" max="7" width="17.5703125" bestFit="1" customWidth="1"/>
    <col min="8" max="8" width="16.5703125" bestFit="1" customWidth="1"/>
    <col min="9" max="9" width="14.42578125" bestFit="1" customWidth="1"/>
    <col min="11" max="11" width="11.42578125" bestFit="1" customWidth="1"/>
    <col min="12" max="12" width="16.28515625" bestFit="1" customWidth="1"/>
    <col min="13" max="13" width="15.5703125" bestFit="1" customWidth="1"/>
    <col min="14" max="14" width="30.7109375" bestFit="1" customWidth="1"/>
    <col min="16" max="16" width="19.28515625" bestFit="1" customWidth="1"/>
    <col min="17" max="17" width="11.85546875" bestFit="1" customWidth="1"/>
    <col min="18" max="18" width="12.28515625" customWidth="1"/>
  </cols>
  <sheetData>
    <row r="1" spans="1:18">
      <c r="A1" t="s">
        <v>77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79</v>
      </c>
      <c r="Q1" t="s">
        <v>32</v>
      </c>
      <c r="R1" t="s">
        <v>80</v>
      </c>
    </row>
    <row r="2" spans="1:18" ht="18" customHeight="1">
      <c r="A2">
        <v>2110</v>
      </c>
      <c r="B2" t="s">
        <v>33</v>
      </c>
      <c r="C2">
        <v>0.62</v>
      </c>
      <c r="D2">
        <v>0.49</v>
      </c>
      <c r="E2">
        <v>0.17</v>
      </c>
      <c r="F2">
        <v>1.2104999999999999</v>
      </c>
      <c r="G2">
        <v>0.51849999999999996</v>
      </c>
      <c r="H2">
        <v>0.2555</v>
      </c>
      <c r="I2">
        <v>0.33500000000000002</v>
      </c>
      <c r="J2">
        <v>13</v>
      </c>
      <c r="K2">
        <v>8</v>
      </c>
      <c r="L2" t="s">
        <v>55</v>
      </c>
      <c r="M2" t="s">
        <v>56</v>
      </c>
      <c r="N2" t="s">
        <v>57</v>
      </c>
      <c r="O2">
        <v>8</v>
      </c>
      <c r="P2" t="s">
        <v>13</v>
      </c>
      <c r="Q2">
        <v>12.3</v>
      </c>
      <c r="R2" s="1" t="str">
        <f t="shared" ref="R2:R33" si="0">IF(OR(AND(J2 &gt; 15, B2 = "Infant"), AND(D2 = "Male", C2 &gt; 0.75),
    OR(I2 &gt; 0.8, G2 &gt; 0.5), G2 &gt; 1.2),
    "I",
    IF(OR(AND(I2 &lt; 0.4, G2 &lt; 0.4), AND(J2 &gt; 15, D2 = "Male"), AND(J2 &gt; 18, D2 = "Female"), C2 &lt; 0.36),
    "II",
    "III"))</f>
        <v>I</v>
      </c>
    </row>
    <row r="3" spans="1:18">
      <c r="A3">
        <v>1671</v>
      </c>
      <c r="B3" t="s">
        <v>33</v>
      </c>
      <c r="C3">
        <v>0.61</v>
      </c>
      <c r="D3">
        <v>0.48499999999999999</v>
      </c>
      <c r="E3">
        <v>0.15</v>
      </c>
      <c r="F3">
        <v>1.2404999999999999</v>
      </c>
      <c r="G3">
        <v>0.60250000000000004</v>
      </c>
      <c r="H3">
        <v>0.29149999999999998</v>
      </c>
      <c r="I3">
        <v>0.3085</v>
      </c>
      <c r="J3">
        <v>12</v>
      </c>
      <c r="K3">
        <v>13</v>
      </c>
      <c r="L3" t="s">
        <v>43</v>
      </c>
      <c r="M3" t="s">
        <v>44</v>
      </c>
      <c r="N3" t="s">
        <v>45</v>
      </c>
      <c r="O3">
        <v>10</v>
      </c>
      <c r="P3" t="s">
        <v>11</v>
      </c>
      <c r="Q3">
        <v>24.1</v>
      </c>
      <c r="R3" s="1" t="str">
        <f t="shared" si="0"/>
        <v>I</v>
      </c>
    </row>
    <row r="4" spans="1:18">
      <c r="A4">
        <v>1202</v>
      </c>
      <c r="B4" t="s">
        <v>33</v>
      </c>
      <c r="C4">
        <v>0.72</v>
      </c>
      <c r="D4">
        <v>0.56499999999999995</v>
      </c>
      <c r="E4">
        <v>0.14499999999999999</v>
      </c>
      <c r="F4">
        <v>1.1870000000000001</v>
      </c>
      <c r="G4">
        <v>0.69099999999999995</v>
      </c>
      <c r="H4">
        <v>0.19450000000000001</v>
      </c>
      <c r="I4">
        <v>0.26850000000000002</v>
      </c>
      <c r="J4">
        <v>8</v>
      </c>
      <c r="K4">
        <v>7</v>
      </c>
      <c r="L4" t="s">
        <v>62</v>
      </c>
      <c r="M4" t="s">
        <v>63</v>
      </c>
      <c r="N4" t="s">
        <v>64</v>
      </c>
      <c r="O4">
        <v>2</v>
      </c>
      <c r="P4" t="s">
        <v>5</v>
      </c>
      <c r="Q4">
        <v>18</v>
      </c>
      <c r="R4" s="1" t="str">
        <f t="shared" si="0"/>
        <v>I</v>
      </c>
    </row>
    <row r="5" spans="1:18">
      <c r="A5">
        <v>2664</v>
      </c>
      <c r="B5" t="s">
        <v>33</v>
      </c>
      <c r="C5">
        <v>0.56999999999999995</v>
      </c>
      <c r="D5">
        <v>0.45</v>
      </c>
      <c r="E5">
        <v>0.13500000000000001</v>
      </c>
      <c r="F5">
        <v>1.02</v>
      </c>
      <c r="G5">
        <v>0.54600000000000004</v>
      </c>
      <c r="H5">
        <v>0.20399999999999999</v>
      </c>
      <c r="I5">
        <v>0.25</v>
      </c>
      <c r="J5">
        <v>9</v>
      </c>
      <c r="K5">
        <v>7</v>
      </c>
      <c r="L5" t="s">
        <v>62</v>
      </c>
      <c r="M5" t="s">
        <v>63</v>
      </c>
      <c r="N5" t="s">
        <v>64</v>
      </c>
      <c r="O5">
        <v>5</v>
      </c>
      <c r="P5" t="s">
        <v>12</v>
      </c>
      <c r="Q5">
        <v>12.8</v>
      </c>
      <c r="R5" s="1" t="str">
        <f t="shared" si="0"/>
        <v>I</v>
      </c>
    </row>
    <row r="6" spans="1:18">
      <c r="A6">
        <v>1168</v>
      </c>
      <c r="B6" t="s">
        <v>33</v>
      </c>
      <c r="C6">
        <v>0.62</v>
      </c>
      <c r="D6">
        <v>0.47</v>
      </c>
      <c r="E6">
        <v>0.13500000000000001</v>
      </c>
      <c r="F6">
        <v>1.0195000000000001</v>
      </c>
      <c r="G6">
        <v>0.53149999999999997</v>
      </c>
      <c r="H6">
        <v>0.20050000000000001</v>
      </c>
      <c r="I6">
        <v>0.2475</v>
      </c>
      <c r="J6">
        <v>8</v>
      </c>
      <c r="K6">
        <v>11</v>
      </c>
      <c r="L6" t="s">
        <v>65</v>
      </c>
      <c r="M6" t="s">
        <v>66</v>
      </c>
      <c r="N6" t="s">
        <v>45</v>
      </c>
      <c r="O6">
        <v>9</v>
      </c>
      <c r="P6" t="s">
        <v>9</v>
      </c>
      <c r="Q6">
        <v>1.9</v>
      </c>
      <c r="R6" s="1" t="str">
        <f t="shared" si="0"/>
        <v>I</v>
      </c>
    </row>
    <row r="7" spans="1:18">
      <c r="A7">
        <v>488</v>
      </c>
      <c r="B7" t="s">
        <v>33</v>
      </c>
      <c r="C7">
        <v>0.625</v>
      </c>
      <c r="D7">
        <v>0.51500000000000001</v>
      </c>
      <c r="E7">
        <v>0.15</v>
      </c>
      <c r="F7">
        <v>1.2415</v>
      </c>
      <c r="G7">
        <v>0.52349999999999997</v>
      </c>
      <c r="H7">
        <v>0.30649999999999999</v>
      </c>
      <c r="I7">
        <v>0.36</v>
      </c>
      <c r="J7">
        <v>15</v>
      </c>
      <c r="K7">
        <v>1</v>
      </c>
      <c r="L7" t="s">
        <v>70</v>
      </c>
      <c r="M7" t="s">
        <v>71</v>
      </c>
      <c r="N7" t="s">
        <v>45</v>
      </c>
      <c r="O7">
        <v>7</v>
      </c>
      <c r="P7" t="s">
        <v>6</v>
      </c>
      <c r="Q7">
        <v>2.5</v>
      </c>
      <c r="R7" s="1" t="str">
        <f t="shared" si="0"/>
        <v>I</v>
      </c>
    </row>
    <row r="8" spans="1:18">
      <c r="A8">
        <v>341</v>
      </c>
      <c r="B8" t="s">
        <v>33</v>
      </c>
      <c r="C8">
        <v>0.57499999999999996</v>
      </c>
      <c r="D8">
        <v>0.45500000000000002</v>
      </c>
      <c r="E8">
        <v>0.14499999999999999</v>
      </c>
      <c r="F8">
        <v>1.165</v>
      </c>
      <c r="G8">
        <v>0.58099999999999996</v>
      </c>
      <c r="H8">
        <v>0.22750000000000001</v>
      </c>
      <c r="I8">
        <v>0.3</v>
      </c>
      <c r="J8">
        <v>14</v>
      </c>
      <c r="K8">
        <v>13</v>
      </c>
      <c r="L8" t="s">
        <v>43</v>
      </c>
      <c r="M8" t="s">
        <v>44</v>
      </c>
      <c r="N8" t="s">
        <v>45</v>
      </c>
      <c r="O8">
        <v>4</v>
      </c>
      <c r="P8" t="s">
        <v>8</v>
      </c>
      <c r="Q8">
        <v>6.1</v>
      </c>
      <c r="R8" s="1" t="str">
        <f t="shared" si="0"/>
        <v>I</v>
      </c>
    </row>
    <row r="9" spans="1:18">
      <c r="A9">
        <v>3740</v>
      </c>
      <c r="B9" t="s">
        <v>33</v>
      </c>
      <c r="C9">
        <v>0.65</v>
      </c>
      <c r="D9">
        <v>0.52500000000000002</v>
      </c>
      <c r="E9">
        <v>0.16500000000000001</v>
      </c>
      <c r="F9">
        <v>1.238</v>
      </c>
      <c r="G9">
        <v>0.64700000000000002</v>
      </c>
      <c r="H9">
        <v>0.2485</v>
      </c>
      <c r="I9">
        <v>0.30049999999999999</v>
      </c>
      <c r="J9">
        <v>9</v>
      </c>
      <c r="K9">
        <v>7</v>
      </c>
      <c r="L9" t="s">
        <v>62</v>
      </c>
      <c r="M9" t="s">
        <v>63</v>
      </c>
      <c r="N9" t="s">
        <v>64</v>
      </c>
      <c r="O9">
        <v>3</v>
      </c>
      <c r="P9" t="s">
        <v>10</v>
      </c>
      <c r="Q9">
        <v>3.6</v>
      </c>
      <c r="R9" s="1" t="str">
        <f t="shared" si="0"/>
        <v>I</v>
      </c>
    </row>
    <row r="10" spans="1:18">
      <c r="A10">
        <v>2990</v>
      </c>
      <c r="B10" t="s">
        <v>33</v>
      </c>
      <c r="C10">
        <v>0.56000000000000005</v>
      </c>
      <c r="D10">
        <v>0.42499999999999999</v>
      </c>
      <c r="E10">
        <v>0.13500000000000001</v>
      </c>
      <c r="F10">
        <v>0.9415</v>
      </c>
      <c r="G10">
        <v>0.50900000000000001</v>
      </c>
      <c r="H10">
        <v>0.20150000000000001</v>
      </c>
      <c r="I10">
        <v>0.19750000000000001</v>
      </c>
      <c r="J10">
        <v>9</v>
      </c>
      <c r="K10">
        <v>15</v>
      </c>
      <c r="L10" t="s">
        <v>60</v>
      </c>
      <c r="M10" t="s">
        <v>61</v>
      </c>
      <c r="N10" t="s">
        <v>45</v>
      </c>
      <c r="O10">
        <v>8</v>
      </c>
      <c r="P10" t="s">
        <v>13</v>
      </c>
      <c r="Q10">
        <v>12.3</v>
      </c>
      <c r="R10" s="1" t="str">
        <f t="shared" si="0"/>
        <v>I</v>
      </c>
    </row>
    <row r="11" spans="1:18">
      <c r="A11">
        <v>2531</v>
      </c>
      <c r="B11" t="s">
        <v>33</v>
      </c>
      <c r="C11">
        <v>0.6</v>
      </c>
      <c r="D11">
        <v>0.48499999999999999</v>
      </c>
      <c r="E11">
        <v>0.16500000000000001</v>
      </c>
      <c r="F11">
        <v>1.1405000000000001</v>
      </c>
      <c r="G11">
        <v>0.58699999999999997</v>
      </c>
      <c r="H11">
        <v>0.2175</v>
      </c>
      <c r="I11">
        <v>0.28799999999999998</v>
      </c>
      <c r="J11">
        <v>9</v>
      </c>
      <c r="K11">
        <v>12</v>
      </c>
      <c r="L11" t="s">
        <v>58</v>
      </c>
      <c r="M11" t="s">
        <v>59</v>
      </c>
      <c r="N11" t="s">
        <v>45</v>
      </c>
      <c r="O11">
        <v>8</v>
      </c>
      <c r="P11" t="s">
        <v>13</v>
      </c>
      <c r="Q11">
        <v>12.3</v>
      </c>
      <c r="R11" s="1" t="str">
        <f t="shared" si="0"/>
        <v>I</v>
      </c>
    </row>
    <row r="12" spans="1:18">
      <c r="A12">
        <v>2605</v>
      </c>
      <c r="B12" t="s">
        <v>33</v>
      </c>
      <c r="C12">
        <v>0.62</v>
      </c>
      <c r="D12">
        <v>0.48499999999999999</v>
      </c>
      <c r="E12">
        <v>0.17499999999999999</v>
      </c>
      <c r="F12">
        <v>1.2155</v>
      </c>
      <c r="G12">
        <v>0.54500000000000004</v>
      </c>
      <c r="H12">
        <v>0.253</v>
      </c>
      <c r="I12">
        <v>0.34499999999999997</v>
      </c>
      <c r="J12">
        <v>10</v>
      </c>
      <c r="K12">
        <v>5</v>
      </c>
      <c r="L12" t="s">
        <v>67</v>
      </c>
      <c r="M12" t="s">
        <v>68</v>
      </c>
      <c r="N12" t="s">
        <v>69</v>
      </c>
      <c r="O12">
        <v>5</v>
      </c>
      <c r="P12" t="s">
        <v>12</v>
      </c>
      <c r="Q12">
        <v>12.8</v>
      </c>
      <c r="R12" s="1" t="str">
        <f t="shared" si="0"/>
        <v>I</v>
      </c>
    </row>
    <row r="13" spans="1:18">
      <c r="A13">
        <v>1807</v>
      </c>
      <c r="B13" t="s">
        <v>33</v>
      </c>
      <c r="C13">
        <v>0.625</v>
      </c>
      <c r="D13">
        <v>0.49</v>
      </c>
      <c r="E13">
        <v>0.185</v>
      </c>
      <c r="F13">
        <v>1.169</v>
      </c>
      <c r="G13">
        <v>0.52749999999999997</v>
      </c>
      <c r="H13">
        <v>0.2535</v>
      </c>
      <c r="I13">
        <v>0.34399999999999997</v>
      </c>
      <c r="J13">
        <v>11</v>
      </c>
      <c r="K13">
        <v>7</v>
      </c>
      <c r="L13" t="s">
        <v>62</v>
      </c>
      <c r="M13" t="s">
        <v>63</v>
      </c>
      <c r="N13" t="s">
        <v>64</v>
      </c>
      <c r="O13">
        <v>1</v>
      </c>
      <c r="P13" t="s">
        <v>4</v>
      </c>
      <c r="Q13">
        <v>22.1</v>
      </c>
      <c r="R13" s="1" t="str">
        <f t="shared" si="0"/>
        <v>I</v>
      </c>
    </row>
    <row r="14" spans="1:18">
      <c r="A14">
        <v>1008</v>
      </c>
      <c r="B14" t="s">
        <v>33</v>
      </c>
      <c r="C14">
        <v>0.61</v>
      </c>
      <c r="D14">
        <v>0.47</v>
      </c>
      <c r="E14">
        <v>0.15</v>
      </c>
      <c r="F14">
        <v>1.1625000000000001</v>
      </c>
      <c r="G14">
        <v>0.56499999999999995</v>
      </c>
      <c r="H14">
        <v>0.25800000000000001</v>
      </c>
      <c r="I14">
        <v>0.3085</v>
      </c>
      <c r="J14">
        <v>11</v>
      </c>
      <c r="K14">
        <v>6</v>
      </c>
      <c r="L14" t="s">
        <v>46</v>
      </c>
      <c r="M14" t="s">
        <v>47</v>
      </c>
      <c r="N14" t="s">
        <v>48</v>
      </c>
      <c r="O14">
        <v>9</v>
      </c>
      <c r="P14" t="s">
        <v>9</v>
      </c>
      <c r="Q14">
        <v>1.9</v>
      </c>
      <c r="R14" s="1" t="str">
        <f t="shared" si="0"/>
        <v>I</v>
      </c>
    </row>
    <row r="15" spans="1:18">
      <c r="A15">
        <v>3507</v>
      </c>
      <c r="B15" t="s">
        <v>33</v>
      </c>
      <c r="C15">
        <v>0.625</v>
      </c>
      <c r="D15">
        <v>0.47</v>
      </c>
      <c r="E15">
        <v>0.17499999999999999</v>
      </c>
      <c r="F15">
        <v>1.179</v>
      </c>
      <c r="G15">
        <v>0.60499999999999998</v>
      </c>
      <c r="H15">
        <v>0.25800000000000001</v>
      </c>
      <c r="I15">
        <v>0.27100000000000002</v>
      </c>
      <c r="J15">
        <v>9</v>
      </c>
      <c r="K15">
        <v>12</v>
      </c>
      <c r="L15" t="s">
        <v>58</v>
      </c>
      <c r="M15" t="s">
        <v>59</v>
      </c>
      <c r="N15" t="s">
        <v>45</v>
      </c>
      <c r="O15">
        <v>3</v>
      </c>
      <c r="P15" t="s">
        <v>10</v>
      </c>
      <c r="Q15">
        <v>3.6</v>
      </c>
      <c r="R15" s="1" t="str">
        <f t="shared" si="0"/>
        <v>I</v>
      </c>
    </row>
    <row r="16" spans="1:18">
      <c r="A16">
        <v>1009</v>
      </c>
      <c r="B16" t="s">
        <v>33</v>
      </c>
      <c r="C16">
        <v>0.61</v>
      </c>
      <c r="D16">
        <v>0.47499999999999998</v>
      </c>
      <c r="E16">
        <v>0.155</v>
      </c>
      <c r="F16">
        <v>1.1679999999999999</v>
      </c>
      <c r="G16">
        <v>0.55400000000000005</v>
      </c>
      <c r="H16">
        <v>0.23899999999999999</v>
      </c>
      <c r="I16">
        <v>0.32950000000000002</v>
      </c>
      <c r="J16">
        <v>10</v>
      </c>
      <c r="K16">
        <v>10</v>
      </c>
      <c r="L16" t="s">
        <v>37</v>
      </c>
      <c r="M16" t="s">
        <v>38</v>
      </c>
      <c r="N16" t="s">
        <v>39</v>
      </c>
      <c r="O16">
        <v>3</v>
      </c>
      <c r="P16" t="s">
        <v>10</v>
      </c>
      <c r="Q16">
        <v>3.6</v>
      </c>
      <c r="R16" s="1" t="str">
        <f t="shared" si="0"/>
        <v>I</v>
      </c>
    </row>
    <row r="17" spans="1:18">
      <c r="A17">
        <v>1949</v>
      </c>
      <c r="B17" t="s">
        <v>33</v>
      </c>
      <c r="C17">
        <v>0.63500000000000001</v>
      </c>
      <c r="D17">
        <v>0.51500000000000001</v>
      </c>
      <c r="E17">
        <v>0.16500000000000001</v>
      </c>
      <c r="F17">
        <v>1.2290000000000001</v>
      </c>
      <c r="G17">
        <v>0.50549999999999995</v>
      </c>
      <c r="H17">
        <v>0.29749999999999999</v>
      </c>
      <c r="I17">
        <v>0.35349999999999998</v>
      </c>
      <c r="J17">
        <v>10</v>
      </c>
      <c r="K17">
        <v>13</v>
      </c>
      <c r="L17" t="s">
        <v>43</v>
      </c>
      <c r="M17" t="s">
        <v>44</v>
      </c>
      <c r="N17" t="s">
        <v>45</v>
      </c>
      <c r="O17">
        <v>4</v>
      </c>
      <c r="P17" t="s">
        <v>8</v>
      </c>
      <c r="Q17">
        <v>6.1</v>
      </c>
      <c r="R17" s="1" t="str">
        <f t="shared" si="0"/>
        <v>I</v>
      </c>
    </row>
    <row r="18" spans="1:18">
      <c r="A18">
        <v>1382</v>
      </c>
      <c r="B18" t="s">
        <v>33</v>
      </c>
      <c r="C18">
        <v>0.625</v>
      </c>
      <c r="D18">
        <v>0.505</v>
      </c>
      <c r="E18">
        <v>0.17499999999999999</v>
      </c>
      <c r="F18">
        <v>1.1499999999999999</v>
      </c>
      <c r="G18">
        <v>0.54749999999999999</v>
      </c>
      <c r="H18">
        <v>0.25600000000000001</v>
      </c>
      <c r="I18">
        <v>0.30449999999999999</v>
      </c>
      <c r="J18">
        <v>11</v>
      </c>
      <c r="K18">
        <v>7</v>
      </c>
      <c r="L18" t="s">
        <v>62</v>
      </c>
      <c r="M18" t="s">
        <v>63</v>
      </c>
      <c r="N18" t="s">
        <v>64</v>
      </c>
      <c r="O18">
        <v>7</v>
      </c>
      <c r="P18" t="s">
        <v>6</v>
      </c>
      <c r="Q18">
        <v>2.5</v>
      </c>
      <c r="R18" s="1" t="str">
        <f t="shared" si="0"/>
        <v>I</v>
      </c>
    </row>
    <row r="19" spans="1:18">
      <c r="A19">
        <v>2793</v>
      </c>
      <c r="B19" t="s">
        <v>33</v>
      </c>
      <c r="C19">
        <v>0.625</v>
      </c>
      <c r="D19">
        <v>0.49</v>
      </c>
      <c r="E19">
        <v>0.16500000000000001</v>
      </c>
      <c r="F19">
        <v>1.2050000000000001</v>
      </c>
      <c r="G19">
        <v>0.51749999999999996</v>
      </c>
      <c r="H19">
        <v>0.3105</v>
      </c>
      <c r="I19">
        <v>0.34649999999999997</v>
      </c>
      <c r="J19">
        <v>10</v>
      </c>
      <c r="K19">
        <v>4</v>
      </c>
      <c r="L19" t="s">
        <v>40</v>
      </c>
      <c r="M19" t="s">
        <v>41</v>
      </c>
      <c r="N19" t="s">
        <v>42</v>
      </c>
      <c r="O19">
        <v>7</v>
      </c>
      <c r="P19" t="s">
        <v>6</v>
      </c>
      <c r="Q19">
        <v>2.5</v>
      </c>
      <c r="R19" s="1" t="str">
        <f t="shared" si="0"/>
        <v>I</v>
      </c>
    </row>
    <row r="20" spans="1:18">
      <c r="A20">
        <v>3502</v>
      </c>
      <c r="B20" t="s">
        <v>33</v>
      </c>
      <c r="C20">
        <v>0.6</v>
      </c>
      <c r="D20">
        <v>0.47499999999999998</v>
      </c>
      <c r="E20">
        <v>0.16</v>
      </c>
      <c r="F20">
        <v>1.1639999999999999</v>
      </c>
      <c r="G20">
        <v>0.50449999999999995</v>
      </c>
      <c r="H20">
        <v>0.26350000000000001</v>
      </c>
      <c r="I20">
        <v>0.33500000000000002</v>
      </c>
      <c r="J20">
        <v>12</v>
      </c>
      <c r="K20">
        <v>13</v>
      </c>
      <c r="L20" t="s">
        <v>43</v>
      </c>
      <c r="M20" t="s">
        <v>44</v>
      </c>
      <c r="N20" t="s">
        <v>45</v>
      </c>
      <c r="O20">
        <v>7</v>
      </c>
      <c r="P20" t="s">
        <v>6</v>
      </c>
      <c r="Q20">
        <v>2.5</v>
      </c>
      <c r="R20" s="1" t="str">
        <f t="shared" si="0"/>
        <v>I</v>
      </c>
    </row>
    <row r="21" spans="1:18">
      <c r="A21">
        <v>4115</v>
      </c>
      <c r="B21" t="s">
        <v>75</v>
      </c>
      <c r="C21">
        <v>0.56999999999999995</v>
      </c>
      <c r="D21">
        <v>0.45</v>
      </c>
      <c r="E21">
        <v>0.15</v>
      </c>
      <c r="F21">
        <v>0.96450000000000002</v>
      </c>
      <c r="G21">
        <v>0.53100000000000003</v>
      </c>
      <c r="H21">
        <v>0.189</v>
      </c>
      <c r="I21">
        <v>0.20899999999999999</v>
      </c>
      <c r="J21">
        <v>9</v>
      </c>
      <c r="K21">
        <v>5</v>
      </c>
      <c r="L21" t="s">
        <v>67</v>
      </c>
      <c r="M21" t="s">
        <v>68</v>
      </c>
      <c r="N21" t="s">
        <v>69</v>
      </c>
      <c r="O21">
        <v>8</v>
      </c>
      <c r="P21" t="s">
        <v>13</v>
      </c>
      <c r="Q21">
        <v>12.3</v>
      </c>
      <c r="R21" s="1" t="str">
        <f t="shared" si="0"/>
        <v>I</v>
      </c>
    </row>
    <row r="22" spans="1:18">
      <c r="A22">
        <v>1336</v>
      </c>
      <c r="B22" t="s">
        <v>75</v>
      </c>
      <c r="C22">
        <v>0.57499999999999996</v>
      </c>
      <c r="D22">
        <v>0.48</v>
      </c>
      <c r="E22">
        <v>0.16500000000000001</v>
      </c>
      <c r="F22">
        <v>1.0780000000000001</v>
      </c>
      <c r="G22">
        <v>0.51100000000000001</v>
      </c>
      <c r="H22">
        <v>0.20949999999999999</v>
      </c>
      <c r="I22">
        <v>0.30599999999999999</v>
      </c>
      <c r="J22">
        <v>9</v>
      </c>
      <c r="K22">
        <v>7</v>
      </c>
      <c r="L22" t="s">
        <v>62</v>
      </c>
      <c r="M22" t="s">
        <v>63</v>
      </c>
      <c r="N22" t="s">
        <v>64</v>
      </c>
      <c r="O22">
        <v>3</v>
      </c>
      <c r="P22" t="s">
        <v>10</v>
      </c>
      <c r="Q22">
        <v>3.6</v>
      </c>
      <c r="R22" s="1" t="str">
        <f t="shared" si="0"/>
        <v>I</v>
      </c>
    </row>
    <row r="23" spans="1:18">
      <c r="A23">
        <v>1662</v>
      </c>
      <c r="B23" t="s">
        <v>75</v>
      </c>
      <c r="C23">
        <v>0.6</v>
      </c>
      <c r="D23">
        <v>0.47</v>
      </c>
      <c r="E23">
        <v>0.16</v>
      </c>
      <c r="F23">
        <v>1.194</v>
      </c>
      <c r="G23">
        <v>0.5625</v>
      </c>
      <c r="H23">
        <v>0.30449999999999999</v>
      </c>
      <c r="I23">
        <v>0.26350000000000001</v>
      </c>
      <c r="J23">
        <v>10</v>
      </c>
      <c r="K23">
        <v>11</v>
      </c>
      <c r="L23" t="s">
        <v>65</v>
      </c>
      <c r="M23" t="s">
        <v>66</v>
      </c>
      <c r="N23" t="s">
        <v>45</v>
      </c>
      <c r="O23">
        <v>6</v>
      </c>
      <c r="P23" t="s">
        <v>7</v>
      </c>
      <c r="Q23">
        <v>14.1</v>
      </c>
      <c r="R23" s="1" t="str">
        <f t="shared" si="0"/>
        <v>I</v>
      </c>
    </row>
    <row r="24" spans="1:18">
      <c r="A24">
        <v>1156</v>
      </c>
      <c r="B24" t="s">
        <v>75</v>
      </c>
      <c r="C24">
        <v>0.6</v>
      </c>
      <c r="D24">
        <v>0.46500000000000002</v>
      </c>
      <c r="E24">
        <v>0.15</v>
      </c>
      <c r="F24">
        <v>1.1025</v>
      </c>
      <c r="G24">
        <v>0.54549999999999998</v>
      </c>
      <c r="H24">
        <v>0.26200000000000001</v>
      </c>
      <c r="I24">
        <v>0.25</v>
      </c>
      <c r="J24">
        <v>8</v>
      </c>
      <c r="K24">
        <v>5</v>
      </c>
      <c r="L24" t="s">
        <v>67</v>
      </c>
      <c r="M24" t="s">
        <v>68</v>
      </c>
      <c r="N24" t="s">
        <v>69</v>
      </c>
      <c r="O24">
        <v>10</v>
      </c>
      <c r="P24" t="s">
        <v>11</v>
      </c>
      <c r="Q24">
        <v>24.1</v>
      </c>
      <c r="R24" s="1" t="str">
        <f t="shared" si="0"/>
        <v>I</v>
      </c>
    </row>
    <row r="25" spans="1:18">
      <c r="A25">
        <v>2532</v>
      </c>
      <c r="B25" t="s">
        <v>75</v>
      </c>
      <c r="C25">
        <v>0.60499999999999998</v>
      </c>
      <c r="D25">
        <v>0.47499999999999998</v>
      </c>
      <c r="E25">
        <v>0.17499999999999999</v>
      </c>
      <c r="F25">
        <v>1.2010000000000001</v>
      </c>
      <c r="G25">
        <v>0.53949999999999998</v>
      </c>
      <c r="H25">
        <v>0.27500000000000002</v>
      </c>
      <c r="I25">
        <v>0.309</v>
      </c>
      <c r="J25">
        <v>10</v>
      </c>
      <c r="K25">
        <v>10</v>
      </c>
      <c r="L25" t="s">
        <v>37</v>
      </c>
      <c r="M25" t="s">
        <v>38</v>
      </c>
      <c r="N25" t="s">
        <v>39</v>
      </c>
      <c r="O25">
        <v>10</v>
      </c>
      <c r="P25" t="s">
        <v>11</v>
      </c>
      <c r="Q25">
        <v>24.1</v>
      </c>
      <c r="R25" s="1" t="str">
        <f t="shared" si="0"/>
        <v>I</v>
      </c>
    </row>
    <row r="26" spans="1:18">
      <c r="A26">
        <v>4010</v>
      </c>
      <c r="B26" t="s">
        <v>75</v>
      </c>
      <c r="C26">
        <v>0.61</v>
      </c>
      <c r="D26">
        <v>0.49</v>
      </c>
      <c r="E26">
        <v>0.16</v>
      </c>
      <c r="F26">
        <v>1.1459999999999999</v>
      </c>
      <c r="G26">
        <v>0.59699999999999998</v>
      </c>
      <c r="H26">
        <v>0.246</v>
      </c>
      <c r="I26">
        <v>0.26500000000000001</v>
      </c>
      <c r="J26">
        <v>8</v>
      </c>
      <c r="K26">
        <v>11</v>
      </c>
      <c r="L26" t="s">
        <v>65</v>
      </c>
      <c r="M26" t="s">
        <v>66</v>
      </c>
      <c r="N26" t="s">
        <v>45</v>
      </c>
      <c r="O26">
        <v>6</v>
      </c>
      <c r="P26" t="s">
        <v>7</v>
      </c>
      <c r="Q26">
        <v>14.1</v>
      </c>
      <c r="R26" s="1" t="str">
        <f t="shared" si="0"/>
        <v>I</v>
      </c>
    </row>
    <row r="27" spans="1:18">
      <c r="A27">
        <v>1170</v>
      </c>
      <c r="B27" t="s">
        <v>75</v>
      </c>
      <c r="C27">
        <v>0.62</v>
      </c>
      <c r="D27">
        <v>0.48</v>
      </c>
      <c r="E27">
        <v>0.16</v>
      </c>
      <c r="F27">
        <v>1.1125</v>
      </c>
      <c r="G27">
        <v>0.5635</v>
      </c>
      <c r="H27">
        <v>0.2445</v>
      </c>
      <c r="I27">
        <v>0.28100000000000003</v>
      </c>
      <c r="J27">
        <v>8</v>
      </c>
      <c r="K27">
        <v>3</v>
      </c>
      <c r="L27" t="s">
        <v>52</v>
      </c>
      <c r="M27" t="s">
        <v>53</v>
      </c>
      <c r="N27" t="s">
        <v>54</v>
      </c>
      <c r="O27">
        <v>9</v>
      </c>
      <c r="P27" t="s">
        <v>9</v>
      </c>
      <c r="Q27">
        <v>1.9</v>
      </c>
      <c r="R27" s="1" t="str">
        <f t="shared" si="0"/>
        <v>I</v>
      </c>
    </row>
    <row r="28" spans="1:18">
      <c r="A28">
        <v>1939</v>
      </c>
      <c r="B28" t="s">
        <v>75</v>
      </c>
      <c r="C28">
        <v>0.625</v>
      </c>
      <c r="D28">
        <v>0.505</v>
      </c>
      <c r="E28">
        <v>0.185</v>
      </c>
      <c r="F28">
        <v>1.1565000000000001</v>
      </c>
      <c r="G28">
        <v>0.52</v>
      </c>
      <c r="H28">
        <v>0.24049999999999999</v>
      </c>
      <c r="I28">
        <v>0.35349999999999998</v>
      </c>
      <c r="J28">
        <v>10</v>
      </c>
      <c r="K28">
        <v>4</v>
      </c>
      <c r="L28" t="s">
        <v>40</v>
      </c>
      <c r="M28" t="s">
        <v>41</v>
      </c>
      <c r="N28" t="s">
        <v>42</v>
      </c>
      <c r="O28">
        <v>10</v>
      </c>
      <c r="P28" t="s">
        <v>11</v>
      </c>
      <c r="Q28">
        <v>24.1</v>
      </c>
      <c r="R28" s="1" t="str">
        <f t="shared" si="0"/>
        <v>I</v>
      </c>
    </row>
    <row r="29" spans="1:18">
      <c r="A29">
        <v>4140</v>
      </c>
      <c r="B29" t="s">
        <v>75</v>
      </c>
      <c r="C29">
        <v>0.63500000000000001</v>
      </c>
      <c r="D29">
        <v>0.495</v>
      </c>
      <c r="E29">
        <v>0.17499999999999999</v>
      </c>
      <c r="F29">
        <v>1.2355</v>
      </c>
      <c r="G29">
        <v>0.52049999999999996</v>
      </c>
      <c r="H29">
        <v>0.3085</v>
      </c>
      <c r="I29">
        <v>0.34699999999999998</v>
      </c>
      <c r="J29">
        <v>10</v>
      </c>
      <c r="K29">
        <v>5</v>
      </c>
      <c r="L29" t="s">
        <v>67</v>
      </c>
      <c r="M29" t="s">
        <v>68</v>
      </c>
      <c r="N29" t="s">
        <v>69</v>
      </c>
      <c r="O29">
        <v>1</v>
      </c>
      <c r="P29" t="s">
        <v>4</v>
      </c>
      <c r="Q29">
        <v>22.1</v>
      </c>
      <c r="R29" s="1" t="str">
        <f t="shared" si="0"/>
        <v>I</v>
      </c>
    </row>
    <row r="30" spans="1:18">
      <c r="A30">
        <v>4116</v>
      </c>
      <c r="B30" t="s">
        <v>75</v>
      </c>
      <c r="C30">
        <v>0.60499999999999998</v>
      </c>
      <c r="D30">
        <v>0.46500000000000002</v>
      </c>
      <c r="E30">
        <v>0.155</v>
      </c>
      <c r="F30">
        <v>1.1000000000000001</v>
      </c>
      <c r="G30">
        <v>0.54700000000000004</v>
      </c>
      <c r="H30">
        <v>0.26650000000000001</v>
      </c>
      <c r="I30">
        <v>0.25850000000000001</v>
      </c>
      <c r="J30">
        <v>10</v>
      </c>
      <c r="K30">
        <v>14</v>
      </c>
      <c r="L30" t="s">
        <v>72</v>
      </c>
      <c r="M30" t="s">
        <v>73</v>
      </c>
      <c r="N30" t="s">
        <v>74</v>
      </c>
      <c r="O30">
        <v>7</v>
      </c>
      <c r="P30" t="s">
        <v>6</v>
      </c>
      <c r="Q30">
        <v>2.5</v>
      </c>
      <c r="R30" s="1" t="str">
        <f t="shared" si="0"/>
        <v>I</v>
      </c>
    </row>
    <row r="31" spans="1:18">
      <c r="A31">
        <v>862</v>
      </c>
      <c r="B31" t="s">
        <v>75</v>
      </c>
      <c r="C31">
        <v>0.59499999999999997</v>
      </c>
      <c r="D31">
        <v>0.46500000000000002</v>
      </c>
      <c r="E31">
        <v>0.14000000000000001</v>
      </c>
      <c r="F31">
        <v>1.113</v>
      </c>
      <c r="G31">
        <v>0.51749999999999996</v>
      </c>
      <c r="H31">
        <v>0.24399999999999999</v>
      </c>
      <c r="I31">
        <v>0.30499999999999999</v>
      </c>
      <c r="J31">
        <v>12</v>
      </c>
      <c r="K31">
        <v>1</v>
      </c>
      <c r="L31" t="s">
        <v>70</v>
      </c>
      <c r="M31" t="s">
        <v>71</v>
      </c>
      <c r="N31" t="s">
        <v>45</v>
      </c>
      <c r="O31">
        <v>1</v>
      </c>
      <c r="P31" t="s">
        <v>4</v>
      </c>
      <c r="Q31">
        <v>22.1</v>
      </c>
      <c r="R31" s="1" t="str">
        <f t="shared" si="0"/>
        <v>I</v>
      </c>
    </row>
    <row r="32" spans="1:18">
      <c r="A32">
        <v>2679</v>
      </c>
      <c r="B32" t="s">
        <v>75</v>
      </c>
      <c r="C32">
        <v>0.61499999999999999</v>
      </c>
      <c r="D32">
        <v>0.45</v>
      </c>
      <c r="E32">
        <v>0.15</v>
      </c>
      <c r="F32">
        <v>1.198</v>
      </c>
      <c r="G32">
        <v>0.70699999999999996</v>
      </c>
      <c r="H32">
        <v>0.20949999999999999</v>
      </c>
      <c r="I32">
        <v>0.2505</v>
      </c>
      <c r="J32">
        <v>7</v>
      </c>
      <c r="K32">
        <v>12</v>
      </c>
      <c r="L32" t="s">
        <v>58</v>
      </c>
      <c r="M32" t="s">
        <v>59</v>
      </c>
      <c r="N32" t="s">
        <v>45</v>
      </c>
      <c r="O32">
        <v>9</v>
      </c>
      <c r="P32" t="s">
        <v>9</v>
      </c>
      <c r="Q32">
        <v>1.9</v>
      </c>
      <c r="R32" s="1" t="str">
        <f t="shared" si="0"/>
        <v>I</v>
      </c>
    </row>
    <row r="33" spans="1:18">
      <c r="A33">
        <v>995</v>
      </c>
      <c r="B33" t="s">
        <v>75</v>
      </c>
      <c r="C33">
        <v>0.57999999999999996</v>
      </c>
      <c r="D33">
        <v>0.45</v>
      </c>
      <c r="E33">
        <v>0.14499999999999999</v>
      </c>
      <c r="F33">
        <v>1.137</v>
      </c>
      <c r="G33">
        <v>0.5585</v>
      </c>
      <c r="H33">
        <v>0.22</v>
      </c>
      <c r="I33">
        <v>0.28999999999999998</v>
      </c>
      <c r="J33">
        <v>8</v>
      </c>
      <c r="K33">
        <v>9</v>
      </c>
      <c r="L33" t="s">
        <v>34</v>
      </c>
      <c r="M33" t="s">
        <v>35</v>
      </c>
      <c r="N33" t="s">
        <v>36</v>
      </c>
      <c r="O33">
        <v>3</v>
      </c>
      <c r="P33" t="s">
        <v>10</v>
      </c>
      <c r="Q33">
        <v>3.6</v>
      </c>
      <c r="R33" s="1" t="str">
        <f t="shared" si="0"/>
        <v>I</v>
      </c>
    </row>
    <row r="34" spans="1:18">
      <c r="A34">
        <v>2931</v>
      </c>
      <c r="B34" t="s">
        <v>75</v>
      </c>
      <c r="C34">
        <v>0.61499999999999999</v>
      </c>
      <c r="D34">
        <v>0.47499999999999998</v>
      </c>
      <c r="E34">
        <v>0.17499999999999999</v>
      </c>
      <c r="F34">
        <v>1.194</v>
      </c>
      <c r="G34">
        <v>0.55900000000000005</v>
      </c>
      <c r="H34">
        <v>0.25900000000000001</v>
      </c>
      <c r="I34">
        <v>0.3165</v>
      </c>
      <c r="J34">
        <v>11</v>
      </c>
      <c r="K34">
        <v>8</v>
      </c>
      <c r="L34" t="s">
        <v>55</v>
      </c>
      <c r="M34" t="s">
        <v>56</v>
      </c>
      <c r="N34" t="s">
        <v>57</v>
      </c>
      <c r="O34">
        <v>6</v>
      </c>
      <c r="P34" t="s">
        <v>7</v>
      </c>
      <c r="Q34">
        <v>14.1</v>
      </c>
      <c r="R34" s="1" t="str">
        <f t="shared" ref="R34:R69" si="1">IF(OR(AND(J34 &gt; 15, B34 = "Infant"), AND(D34 = "Male", C34 &gt; 0.75),
    OR(I34 &gt; 0.8, G34 &gt; 0.5), G34 &gt; 1.2),
    "I",
    IF(OR(AND(I34 &lt; 0.4, G34 &lt; 0.4), AND(J34 &gt; 15, D34 = "Male"), AND(J34 &gt; 18, D34 = "Female"), C34 &lt; 0.36),
    "II",
    "III"))</f>
        <v>I</v>
      </c>
    </row>
    <row r="35" spans="1:18">
      <c r="A35">
        <v>1716</v>
      </c>
      <c r="B35" t="s">
        <v>75</v>
      </c>
      <c r="C35">
        <v>0.64500000000000002</v>
      </c>
      <c r="D35">
        <v>0.48499999999999999</v>
      </c>
      <c r="E35">
        <v>0.15</v>
      </c>
      <c r="F35">
        <v>1.2215</v>
      </c>
      <c r="G35">
        <v>0.56950000000000001</v>
      </c>
      <c r="H35">
        <v>0.27350000000000002</v>
      </c>
      <c r="I35">
        <v>0.33</v>
      </c>
      <c r="J35">
        <v>9</v>
      </c>
      <c r="K35">
        <v>1</v>
      </c>
      <c r="L35" t="s">
        <v>70</v>
      </c>
      <c r="M35" t="s">
        <v>71</v>
      </c>
      <c r="N35" t="s">
        <v>45</v>
      </c>
      <c r="O35">
        <v>9</v>
      </c>
      <c r="P35" t="s">
        <v>9</v>
      </c>
      <c r="Q35">
        <v>1.9</v>
      </c>
      <c r="R35" s="1" t="str">
        <f t="shared" si="1"/>
        <v>I</v>
      </c>
    </row>
    <row r="36" spans="1:18">
      <c r="A36">
        <v>2800</v>
      </c>
      <c r="B36" t="s">
        <v>75</v>
      </c>
      <c r="C36">
        <v>0.64</v>
      </c>
      <c r="D36">
        <v>0.495</v>
      </c>
      <c r="E36">
        <v>0.17</v>
      </c>
      <c r="F36">
        <v>1.139</v>
      </c>
      <c r="G36">
        <v>0.53949999999999998</v>
      </c>
      <c r="H36">
        <v>0.28199999999999997</v>
      </c>
      <c r="I36">
        <v>0.28499999999999998</v>
      </c>
      <c r="J36">
        <v>10</v>
      </c>
      <c r="K36">
        <v>5</v>
      </c>
      <c r="L36" t="s">
        <v>67</v>
      </c>
      <c r="M36" t="s">
        <v>68</v>
      </c>
      <c r="N36" t="s">
        <v>69</v>
      </c>
      <c r="O36">
        <v>8</v>
      </c>
      <c r="P36" t="s">
        <v>13</v>
      </c>
      <c r="Q36">
        <v>12.3</v>
      </c>
      <c r="R36" s="1" t="str">
        <f t="shared" si="1"/>
        <v>I</v>
      </c>
    </row>
    <row r="37" spans="1:18">
      <c r="A37">
        <v>1159</v>
      </c>
      <c r="B37" t="s">
        <v>75</v>
      </c>
      <c r="C37">
        <v>0.60499999999999998</v>
      </c>
      <c r="D37">
        <v>0.47499999999999998</v>
      </c>
      <c r="E37">
        <v>0.14000000000000001</v>
      </c>
      <c r="F37">
        <v>1.1174999999999999</v>
      </c>
      <c r="G37">
        <v>0.55500000000000005</v>
      </c>
      <c r="H37">
        <v>0.25700000000000001</v>
      </c>
      <c r="I37">
        <v>0.27400000000000002</v>
      </c>
      <c r="J37">
        <v>9</v>
      </c>
      <c r="K37">
        <v>7</v>
      </c>
      <c r="L37" t="s">
        <v>62</v>
      </c>
      <c r="M37" t="s">
        <v>63</v>
      </c>
      <c r="N37" t="s">
        <v>64</v>
      </c>
      <c r="O37">
        <v>5</v>
      </c>
      <c r="P37" t="s">
        <v>12</v>
      </c>
      <c r="Q37">
        <v>12.8</v>
      </c>
      <c r="R37" s="1" t="str">
        <f t="shared" si="1"/>
        <v>I</v>
      </c>
    </row>
    <row r="38" spans="1:18">
      <c r="A38">
        <v>1359</v>
      </c>
      <c r="B38" t="s">
        <v>75</v>
      </c>
      <c r="C38">
        <v>0.60499999999999998</v>
      </c>
      <c r="D38">
        <v>0.48499999999999999</v>
      </c>
      <c r="E38">
        <v>0.15</v>
      </c>
      <c r="F38">
        <v>1.238</v>
      </c>
      <c r="G38">
        <v>0.63149999999999995</v>
      </c>
      <c r="H38">
        <v>0.22600000000000001</v>
      </c>
      <c r="I38">
        <v>0.33</v>
      </c>
      <c r="J38">
        <v>11</v>
      </c>
      <c r="K38">
        <v>15</v>
      </c>
      <c r="L38" t="s">
        <v>60</v>
      </c>
      <c r="M38" t="s">
        <v>61</v>
      </c>
      <c r="N38" t="s">
        <v>45</v>
      </c>
      <c r="O38">
        <v>7</v>
      </c>
      <c r="P38" t="s">
        <v>6</v>
      </c>
      <c r="Q38">
        <v>2.5</v>
      </c>
      <c r="R38" s="1" t="str">
        <f t="shared" si="1"/>
        <v>I</v>
      </c>
    </row>
    <row r="39" spans="1:18">
      <c r="A39">
        <v>1964</v>
      </c>
      <c r="B39" t="s">
        <v>75</v>
      </c>
      <c r="C39">
        <v>0.65500000000000003</v>
      </c>
      <c r="D39">
        <v>0.52</v>
      </c>
      <c r="E39">
        <v>0.17</v>
      </c>
      <c r="F39">
        <v>1.1445000000000001</v>
      </c>
      <c r="G39">
        <v>0.53</v>
      </c>
      <c r="H39">
        <v>0.223</v>
      </c>
      <c r="I39">
        <v>0.34799999999999998</v>
      </c>
      <c r="J39">
        <v>9</v>
      </c>
      <c r="K39">
        <v>2</v>
      </c>
      <c r="L39" t="s">
        <v>49</v>
      </c>
      <c r="M39" t="s">
        <v>50</v>
      </c>
      <c r="N39" t="s">
        <v>51</v>
      </c>
      <c r="O39">
        <v>3</v>
      </c>
      <c r="P39" t="s">
        <v>10</v>
      </c>
      <c r="Q39">
        <v>3.6</v>
      </c>
      <c r="R39" s="1" t="str">
        <f t="shared" si="1"/>
        <v>I</v>
      </c>
    </row>
    <row r="40" spans="1:18">
      <c r="A40">
        <v>1173</v>
      </c>
      <c r="B40" t="s">
        <v>75</v>
      </c>
      <c r="C40">
        <v>0.63</v>
      </c>
      <c r="D40">
        <v>0.47</v>
      </c>
      <c r="E40">
        <v>0.155</v>
      </c>
      <c r="F40">
        <v>1.1325000000000001</v>
      </c>
      <c r="G40">
        <v>0.58899999999999997</v>
      </c>
      <c r="H40">
        <v>0.21099999999999999</v>
      </c>
      <c r="I40">
        <v>0.28699999999999998</v>
      </c>
      <c r="J40">
        <v>8</v>
      </c>
      <c r="K40">
        <v>3</v>
      </c>
      <c r="L40" t="s">
        <v>52</v>
      </c>
      <c r="M40" t="s">
        <v>53</v>
      </c>
      <c r="N40" t="s">
        <v>54</v>
      </c>
      <c r="O40">
        <v>7</v>
      </c>
      <c r="P40" t="s">
        <v>6</v>
      </c>
      <c r="Q40">
        <v>2.5</v>
      </c>
      <c r="R40" s="1" t="str">
        <f t="shared" si="1"/>
        <v>I</v>
      </c>
    </row>
    <row r="41" spans="1:18">
      <c r="A41">
        <v>1175</v>
      </c>
      <c r="B41" t="s">
        <v>76</v>
      </c>
      <c r="C41">
        <v>0.63500000000000001</v>
      </c>
      <c r="D41">
        <v>0.495</v>
      </c>
      <c r="E41">
        <v>1.4999999999999999E-2</v>
      </c>
      <c r="F41">
        <v>1.1565000000000001</v>
      </c>
      <c r="G41">
        <v>0.51149999999999995</v>
      </c>
      <c r="H41">
        <v>0.308</v>
      </c>
      <c r="I41">
        <v>0.28849999999999998</v>
      </c>
      <c r="J41">
        <v>9</v>
      </c>
      <c r="K41">
        <v>12</v>
      </c>
      <c r="L41" t="s">
        <v>58</v>
      </c>
      <c r="M41" t="s">
        <v>59</v>
      </c>
      <c r="N41" t="s">
        <v>45</v>
      </c>
      <c r="O41">
        <v>10</v>
      </c>
      <c r="P41" t="s">
        <v>11</v>
      </c>
      <c r="Q41">
        <v>24.1</v>
      </c>
      <c r="R41" s="1" t="str">
        <f t="shared" si="1"/>
        <v>I</v>
      </c>
    </row>
    <row r="42" spans="1:18">
      <c r="A42">
        <v>2690</v>
      </c>
      <c r="B42" t="s">
        <v>76</v>
      </c>
      <c r="C42">
        <v>0.64500000000000002</v>
      </c>
      <c r="D42">
        <v>0.51500000000000001</v>
      </c>
      <c r="E42">
        <v>0.16</v>
      </c>
      <c r="F42">
        <v>1.1845000000000001</v>
      </c>
      <c r="G42">
        <v>0.50600000000000001</v>
      </c>
      <c r="H42">
        <v>0.311</v>
      </c>
      <c r="I42">
        <v>0.33500000000000002</v>
      </c>
      <c r="J42">
        <v>9</v>
      </c>
      <c r="K42">
        <v>2</v>
      </c>
      <c r="L42" t="s">
        <v>49</v>
      </c>
      <c r="M42" t="s">
        <v>50</v>
      </c>
      <c r="N42" t="s">
        <v>51</v>
      </c>
      <c r="O42">
        <v>3</v>
      </c>
      <c r="P42" t="s">
        <v>10</v>
      </c>
      <c r="Q42">
        <v>3.6</v>
      </c>
      <c r="R42" s="1" t="str">
        <f t="shared" si="1"/>
        <v>I</v>
      </c>
    </row>
    <row r="43" spans="1:18">
      <c r="A43">
        <v>1912</v>
      </c>
      <c r="B43" t="s">
        <v>76</v>
      </c>
      <c r="C43">
        <v>0.57999999999999996</v>
      </c>
      <c r="D43">
        <v>0.44</v>
      </c>
      <c r="E43">
        <v>0.15</v>
      </c>
      <c r="F43">
        <v>1.0465</v>
      </c>
      <c r="G43">
        <v>0.51800000000000002</v>
      </c>
      <c r="H43">
        <v>0.2185</v>
      </c>
      <c r="I43">
        <v>0.27950000000000003</v>
      </c>
      <c r="J43">
        <v>10</v>
      </c>
      <c r="K43">
        <v>13</v>
      </c>
      <c r="L43" t="s">
        <v>43</v>
      </c>
      <c r="M43" t="s">
        <v>44</v>
      </c>
      <c r="N43" t="s">
        <v>45</v>
      </c>
      <c r="O43">
        <v>1</v>
      </c>
      <c r="P43" t="s">
        <v>4</v>
      </c>
      <c r="Q43">
        <v>22.1</v>
      </c>
      <c r="R43" s="1" t="str">
        <f t="shared" si="1"/>
        <v>I</v>
      </c>
    </row>
    <row r="44" spans="1:18">
      <c r="A44">
        <v>2985</v>
      </c>
      <c r="B44" t="s">
        <v>76</v>
      </c>
      <c r="C44">
        <v>0.53500000000000003</v>
      </c>
      <c r="D44">
        <v>0.4</v>
      </c>
      <c r="E44">
        <v>0.15</v>
      </c>
      <c r="F44">
        <v>1.224</v>
      </c>
      <c r="G44">
        <v>0.61799999999999999</v>
      </c>
      <c r="H44">
        <v>0.27500000000000002</v>
      </c>
      <c r="I44">
        <v>0.28749999999999998</v>
      </c>
      <c r="J44">
        <v>10</v>
      </c>
      <c r="K44">
        <v>11</v>
      </c>
      <c r="L44" t="s">
        <v>65</v>
      </c>
      <c r="M44" t="s">
        <v>66</v>
      </c>
      <c r="N44" t="s">
        <v>45</v>
      </c>
      <c r="O44">
        <v>2</v>
      </c>
      <c r="P44" t="s">
        <v>5</v>
      </c>
      <c r="Q44">
        <v>18</v>
      </c>
      <c r="R44" s="1" t="str">
        <f t="shared" si="1"/>
        <v>I</v>
      </c>
    </row>
    <row r="45" spans="1:18">
      <c r="A45">
        <v>3585</v>
      </c>
      <c r="B45" t="s">
        <v>76</v>
      </c>
      <c r="C45">
        <v>0.625</v>
      </c>
      <c r="D45">
        <v>0.49</v>
      </c>
      <c r="E45">
        <v>0.16500000000000001</v>
      </c>
      <c r="F45">
        <v>1.1835</v>
      </c>
      <c r="G45">
        <v>0.51700000000000002</v>
      </c>
      <c r="H45">
        <v>0.23749999999999999</v>
      </c>
      <c r="I45">
        <v>0.39</v>
      </c>
      <c r="J45">
        <v>11</v>
      </c>
      <c r="K45">
        <v>14</v>
      </c>
      <c r="L45" t="s">
        <v>72</v>
      </c>
      <c r="M45" t="s">
        <v>73</v>
      </c>
      <c r="N45" t="s">
        <v>74</v>
      </c>
      <c r="O45">
        <v>1</v>
      </c>
      <c r="P45" t="s">
        <v>4</v>
      </c>
      <c r="Q45">
        <v>22.1</v>
      </c>
      <c r="R45" s="1" t="str">
        <f t="shared" si="1"/>
        <v>I</v>
      </c>
    </row>
    <row r="46" spans="1:18">
      <c r="A46">
        <v>1157</v>
      </c>
      <c r="B46" t="s">
        <v>76</v>
      </c>
      <c r="C46">
        <v>0.6</v>
      </c>
      <c r="D46">
        <v>0.46500000000000002</v>
      </c>
      <c r="E46">
        <v>0.155</v>
      </c>
      <c r="F46">
        <v>1.0165</v>
      </c>
      <c r="G46">
        <v>0.51200000000000001</v>
      </c>
      <c r="H46">
        <v>0.2465</v>
      </c>
      <c r="I46">
        <v>0.22500000000000001</v>
      </c>
      <c r="J46">
        <v>10</v>
      </c>
      <c r="K46">
        <v>5</v>
      </c>
      <c r="L46" t="s">
        <v>67</v>
      </c>
      <c r="M46" t="s">
        <v>68</v>
      </c>
      <c r="N46" t="s">
        <v>69</v>
      </c>
      <c r="O46">
        <v>7</v>
      </c>
      <c r="P46" t="s">
        <v>6</v>
      </c>
      <c r="Q46">
        <v>2.5</v>
      </c>
      <c r="R46" s="1" t="str">
        <f t="shared" si="1"/>
        <v>I</v>
      </c>
    </row>
    <row r="47" spans="1:18">
      <c r="A47">
        <v>3784</v>
      </c>
      <c r="B47" t="s">
        <v>76</v>
      </c>
      <c r="C47">
        <v>0.62</v>
      </c>
      <c r="D47">
        <v>0.48</v>
      </c>
      <c r="E47">
        <v>0.18</v>
      </c>
      <c r="F47">
        <v>1.1305000000000001</v>
      </c>
      <c r="G47">
        <v>0.52849999999999997</v>
      </c>
      <c r="H47">
        <v>0.26550000000000001</v>
      </c>
      <c r="I47">
        <v>0.30599999999999999</v>
      </c>
      <c r="J47">
        <v>12</v>
      </c>
      <c r="K47">
        <v>14</v>
      </c>
      <c r="L47" t="s">
        <v>72</v>
      </c>
      <c r="M47" t="s">
        <v>73</v>
      </c>
      <c r="N47" t="s">
        <v>74</v>
      </c>
      <c r="O47">
        <v>9</v>
      </c>
      <c r="P47" t="s">
        <v>9</v>
      </c>
      <c r="Q47">
        <v>1.9</v>
      </c>
      <c r="R47" s="1" t="str">
        <f t="shared" si="1"/>
        <v>I</v>
      </c>
    </row>
    <row r="48" spans="1:18">
      <c r="A48">
        <v>3673</v>
      </c>
      <c r="B48" t="s">
        <v>76</v>
      </c>
      <c r="C48">
        <v>0.59499999999999997</v>
      </c>
      <c r="D48">
        <v>0.44</v>
      </c>
      <c r="E48">
        <v>0.13500000000000001</v>
      </c>
      <c r="F48">
        <v>0.96399999999999997</v>
      </c>
      <c r="G48">
        <v>0.50049999999999994</v>
      </c>
      <c r="H48">
        <v>0.17150000000000001</v>
      </c>
      <c r="I48">
        <v>0.25750000000000001</v>
      </c>
      <c r="J48">
        <v>10</v>
      </c>
      <c r="K48">
        <v>10</v>
      </c>
      <c r="L48" t="s">
        <v>37</v>
      </c>
      <c r="M48" t="s">
        <v>38</v>
      </c>
      <c r="N48" t="s">
        <v>39</v>
      </c>
      <c r="O48">
        <v>3</v>
      </c>
      <c r="P48" t="s">
        <v>10</v>
      </c>
      <c r="Q48">
        <v>3.6</v>
      </c>
      <c r="R48" s="1" t="str">
        <f t="shared" si="1"/>
        <v>I</v>
      </c>
    </row>
    <row r="49" spans="1:18">
      <c r="A49">
        <v>2934</v>
      </c>
      <c r="B49" t="s">
        <v>76</v>
      </c>
      <c r="C49">
        <v>0.61499999999999999</v>
      </c>
      <c r="D49">
        <v>0.495</v>
      </c>
      <c r="E49">
        <v>0.16500000000000001</v>
      </c>
      <c r="F49">
        <v>1.198</v>
      </c>
      <c r="G49">
        <v>0.54149999999999998</v>
      </c>
      <c r="H49">
        <v>0.28649999999999998</v>
      </c>
      <c r="I49">
        <v>0.31850000000000001</v>
      </c>
      <c r="J49">
        <v>10</v>
      </c>
      <c r="K49">
        <v>6</v>
      </c>
      <c r="L49" t="s">
        <v>46</v>
      </c>
      <c r="M49" t="s">
        <v>47</v>
      </c>
      <c r="N49" t="s">
        <v>48</v>
      </c>
      <c r="O49">
        <v>9</v>
      </c>
      <c r="P49" t="s">
        <v>9</v>
      </c>
      <c r="Q49">
        <v>1.9</v>
      </c>
      <c r="R49" s="1" t="str">
        <f t="shared" si="1"/>
        <v>I</v>
      </c>
    </row>
    <row r="50" spans="1:18">
      <c r="A50">
        <v>2611</v>
      </c>
      <c r="B50" t="s">
        <v>76</v>
      </c>
      <c r="C50">
        <v>0.63</v>
      </c>
      <c r="D50">
        <v>0.495</v>
      </c>
      <c r="E50">
        <v>0.14499999999999999</v>
      </c>
      <c r="F50">
        <v>1.147</v>
      </c>
      <c r="G50">
        <v>0.54549999999999998</v>
      </c>
      <c r="H50">
        <v>0.26600000000000001</v>
      </c>
      <c r="I50">
        <v>0.28849999999999998</v>
      </c>
      <c r="J50">
        <v>9</v>
      </c>
      <c r="K50">
        <v>12</v>
      </c>
      <c r="L50" t="s">
        <v>58</v>
      </c>
      <c r="M50" t="s">
        <v>59</v>
      </c>
      <c r="N50" t="s">
        <v>45</v>
      </c>
      <c r="O50">
        <v>9</v>
      </c>
      <c r="P50" t="s">
        <v>9</v>
      </c>
      <c r="Q50">
        <v>1.9</v>
      </c>
      <c r="R50" s="1" t="str">
        <f t="shared" si="1"/>
        <v>I</v>
      </c>
    </row>
    <row r="51" spans="1:18">
      <c r="A51">
        <v>1690</v>
      </c>
      <c r="B51" t="s">
        <v>76</v>
      </c>
      <c r="C51">
        <v>0.625</v>
      </c>
      <c r="D51">
        <v>0.47499999999999998</v>
      </c>
      <c r="E51">
        <v>0.16</v>
      </c>
      <c r="F51">
        <v>1.0845</v>
      </c>
      <c r="G51">
        <v>0.50049999999999994</v>
      </c>
      <c r="H51">
        <v>0.23549999999999999</v>
      </c>
      <c r="I51">
        <v>0.3105</v>
      </c>
      <c r="J51">
        <v>10</v>
      </c>
      <c r="K51">
        <v>8</v>
      </c>
      <c r="L51" t="s">
        <v>55</v>
      </c>
      <c r="M51" t="s">
        <v>56</v>
      </c>
      <c r="N51" t="s">
        <v>57</v>
      </c>
      <c r="O51">
        <v>8</v>
      </c>
      <c r="P51" t="s">
        <v>13</v>
      </c>
      <c r="Q51">
        <v>12.3</v>
      </c>
      <c r="R51" s="1" t="str">
        <f t="shared" si="1"/>
        <v>I</v>
      </c>
    </row>
    <row r="52" spans="1:18">
      <c r="A52">
        <v>3737</v>
      </c>
      <c r="B52" t="s">
        <v>76</v>
      </c>
      <c r="C52">
        <v>0.625</v>
      </c>
      <c r="D52">
        <v>0.48</v>
      </c>
      <c r="E52">
        <v>0.18</v>
      </c>
      <c r="F52">
        <v>1.2230000000000001</v>
      </c>
      <c r="G52">
        <v>0.56499999999999995</v>
      </c>
      <c r="H52">
        <v>0.29749999999999999</v>
      </c>
      <c r="I52">
        <v>0.33750000000000002</v>
      </c>
      <c r="J52">
        <v>10</v>
      </c>
      <c r="K52">
        <v>11</v>
      </c>
      <c r="L52" t="s">
        <v>65</v>
      </c>
      <c r="M52" t="s">
        <v>66</v>
      </c>
      <c r="N52" t="s">
        <v>45</v>
      </c>
      <c r="O52">
        <v>6</v>
      </c>
      <c r="P52" t="s">
        <v>7</v>
      </c>
      <c r="Q52">
        <v>14.1</v>
      </c>
      <c r="R52" s="1" t="str">
        <f t="shared" si="1"/>
        <v>I</v>
      </c>
    </row>
    <row r="53" spans="1:18">
      <c r="A53">
        <v>1004</v>
      </c>
      <c r="B53" t="s">
        <v>76</v>
      </c>
      <c r="C53">
        <v>0.59499999999999997</v>
      </c>
      <c r="D53">
        <v>0.45500000000000002</v>
      </c>
      <c r="E53">
        <v>0.15</v>
      </c>
      <c r="F53">
        <v>1.044</v>
      </c>
      <c r="G53">
        <v>0.51800000000000002</v>
      </c>
      <c r="H53">
        <v>0.2205</v>
      </c>
      <c r="I53">
        <v>0.27</v>
      </c>
      <c r="J53">
        <v>9</v>
      </c>
      <c r="K53">
        <v>14</v>
      </c>
      <c r="L53" t="s">
        <v>72</v>
      </c>
      <c r="M53" t="s">
        <v>73</v>
      </c>
      <c r="N53" t="s">
        <v>74</v>
      </c>
      <c r="O53">
        <v>6</v>
      </c>
      <c r="P53" t="s">
        <v>7</v>
      </c>
      <c r="Q53">
        <v>14.1</v>
      </c>
      <c r="R53" s="1" t="str">
        <f t="shared" si="1"/>
        <v>I</v>
      </c>
    </row>
    <row r="54" spans="1:18">
      <c r="A54">
        <v>2079</v>
      </c>
      <c r="B54" t="s">
        <v>76</v>
      </c>
      <c r="C54">
        <v>0.61</v>
      </c>
      <c r="D54">
        <v>0.48</v>
      </c>
      <c r="E54">
        <v>0.16500000000000001</v>
      </c>
      <c r="F54">
        <v>1.2435</v>
      </c>
      <c r="G54">
        <v>0.5575</v>
      </c>
      <c r="H54">
        <v>0.26750000000000002</v>
      </c>
      <c r="I54">
        <v>0.372</v>
      </c>
      <c r="J54">
        <v>8</v>
      </c>
      <c r="K54">
        <v>7</v>
      </c>
      <c r="L54" t="s">
        <v>62</v>
      </c>
      <c r="M54" t="s">
        <v>63</v>
      </c>
      <c r="N54" t="s">
        <v>64</v>
      </c>
      <c r="O54">
        <v>4</v>
      </c>
      <c r="P54" t="s">
        <v>8</v>
      </c>
      <c r="Q54">
        <v>6.1</v>
      </c>
      <c r="R54" s="1" t="str">
        <f t="shared" si="1"/>
        <v>I</v>
      </c>
    </row>
    <row r="55" spans="1:18">
      <c r="A55">
        <v>1649</v>
      </c>
      <c r="B55" t="s">
        <v>76</v>
      </c>
      <c r="C55">
        <v>0.59</v>
      </c>
      <c r="D55">
        <v>0.49</v>
      </c>
      <c r="E55">
        <v>0.16500000000000001</v>
      </c>
      <c r="F55">
        <v>1.2070000000000001</v>
      </c>
      <c r="G55">
        <v>0.55900000000000005</v>
      </c>
      <c r="H55">
        <v>0.23499999999999999</v>
      </c>
      <c r="I55">
        <v>0.309</v>
      </c>
      <c r="J55">
        <v>10</v>
      </c>
      <c r="K55">
        <v>13</v>
      </c>
      <c r="L55" t="s">
        <v>43</v>
      </c>
      <c r="M55" t="s">
        <v>44</v>
      </c>
      <c r="N55" t="s">
        <v>45</v>
      </c>
      <c r="O55">
        <v>6</v>
      </c>
      <c r="P55" t="s">
        <v>7</v>
      </c>
      <c r="Q55">
        <v>14.1</v>
      </c>
      <c r="R55" s="1" t="str">
        <f t="shared" si="1"/>
        <v>I</v>
      </c>
    </row>
    <row r="56" spans="1:18">
      <c r="A56">
        <v>3265</v>
      </c>
      <c r="B56" t="s">
        <v>76</v>
      </c>
      <c r="C56">
        <v>0.65500000000000003</v>
      </c>
      <c r="D56">
        <v>0.5</v>
      </c>
      <c r="E56">
        <v>0.14000000000000001</v>
      </c>
      <c r="F56">
        <v>1.1705000000000001</v>
      </c>
      <c r="G56">
        <v>0.54049999999999998</v>
      </c>
      <c r="H56">
        <v>0.3175</v>
      </c>
      <c r="I56">
        <v>0.28499999999999998</v>
      </c>
      <c r="J56">
        <v>12</v>
      </c>
      <c r="K56">
        <v>7</v>
      </c>
      <c r="L56" t="s">
        <v>62</v>
      </c>
      <c r="M56" t="s">
        <v>63</v>
      </c>
      <c r="N56" t="s">
        <v>64</v>
      </c>
      <c r="O56">
        <v>7</v>
      </c>
      <c r="P56" t="s">
        <v>6</v>
      </c>
      <c r="Q56">
        <v>2.5</v>
      </c>
      <c r="R56" s="1" t="str">
        <f t="shared" si="1"/>
        <v>I</v>
      </c>
    </row>
    <row r="57" spans="1:18">
      <c r="A57">
        <v>3294</v>
      </c>
      <c r="B57" t="s">
        <v>76</v>
      </c>
      <c r="C57">
        <v>0.57499999999999996</v>
      </c>
      <c r="D57">
        <v>0.45500000000000002</v>
      </c>
      <c r="E57">
        <v>0.185</v>
      </c>
      <c r="F57">
        <v>1.1559999999999999</v>
      </c>
      <c r="G57">
        <v>0.55249999999999999</v>
      </c>
      <c r="H57">
        <v>0.24299999999999999</v>
      </c>
      <c r="I57">
        <v>0.29499999999999998</v>
      </c>
      <c r="J57">
        <v>13</v>
      </c>
      <c r="K57">
        <v>3</v>
      </c>
      <c r="L57" t="s">
        <v>52</v>
      </c>
      <c r="M57" t="s">
        <v>53</v>
      </c>
      <c r="N57" t="s">
        <v>54</v>
      </c>
      <c r="O57">
        <v>9</v>
      </c>
      <c r="P57" t="s">
        <v>9</v>
      </c>
      <c r="Q57">
        <v>1.9</v>
      </c>
      <c r="R57" s="1" t="str">
        <f t="shared" si="1"/>
        <v>I</v>
      </c>
    </row>
    <row r="58" spans="1:18">
      <c r="A58">
        <v>3786</v>
      </c>
      <c r="B58" t="s">
        <v>76</v>
      </c>
      <c r="C58">
        <v>0.625</v>
      </c>
      <c r="D58">
        <v>0.495</v>
      </c>
      <c r="E58">
        <v>0.155</v>
      </c>
      <c r="F58">
        <v>1.177</v>
      </c>
      <c r="G58">
        <v>0.50549999999999995</v>
      </c>
      <c r="H58">
        <v>0.27800000000000002</v>
      </c>
      <c r="I58">
        <v>0.34499999999999997</v>
      </c>
      <c r="J58">
        <v>9</v>
      </c>
      <c r="K58">
        <v>7</v>
      </c>
      <c r="L58" t="s">
        <v>62</v>
      </c>
      <c r="M58" t="s">
        <v>63</v>
      </c>
      <c r="N58" t="s">
        <v>64</v>
      </c>
      <c r="O58">
        <v>10</v>
      </c>
      <c r="P58" t="s">
        <v>11</v>
      </c>
      <c r="Q58">
        <v>24.1</v>
      </c>
      <c r="R58" s="1" t="str">
        <f t="shared" si="1"/>
        <v>I</v>
      </c>
    </row>
    <row r="59" spans="1:18">
      <c r="A59">
        <v>350</v>
      </c>
      <c r="B59" t="s">
        <v>76</v>
      </c>
      <c r="C59">
        <v>0.61</v>
      </c>
      <c r="D59">
        <v>0.48</v>
      </c>
      <c r="E59">
        <v>0.15</v>
      </c>
      <c r="F59">
        <v>1.2</v>
      </c>
      <c r="G59">
        <v>0.56000000000000005</v>
      </c>
      <c r="H59">
        <v>0.2455</v>
      </c>
      <c r="I59">
        <v>0.28000000000000003</v>
      </c>
      <c r="J59">
        <v>14</v>
      </c>
      <c r="K59">
        <v>7</v>
      </c>
      <c r="L59" t="s">
        <v>62</v>
      </c>
      <c r="M59" t="s">
        <v>63</v>
      </c>
      <c r="N59" t="s">
        <v>64</v>
      </c>
      <c r="O59">
        <v>5</v>
      </c>
      <c r="P59" t="s">
        <v>12</v>
      </c>
      <c r="Q59">
        <v>12.8</v>
      </c>
      <c r="R59" s="1" t="str">
        <f t="shared" si="1"/>
        <v>I</v>
      </c>
    </row>
    <row r="60" spans="1:18">
      <c r="A60">
        <v>996</v>
      </c>
      <c r="B60" t="s">
        <v>76</v>
      </c>
      <c r="C60">
        <v>0.57999999999999996</v>
      </c>
      <c r="D60">
        <v>0.49</v>
      </c>
      <c r="E60">
        <v>0.13</v>
      </c>
      <c r="F60">
        <v>1.1335</v>
      </c>
      <c r="G60">
        <v>0.58599999999999997</v>
      </c>
      <c r="H60">
        <v>0.25650000000000001</v>
      </c>
      <c r="I60">
        <v>0.23699999999999999</v>
      </c>
      <c r="J60">
        <v>9</v>
      </c>
      <c r="K60">
        <v>4</v>
      </c>
      <c r="L60" t="s">
        <v>40</v>
      </c>
      <c r="M60" t="s">
        <v>41</v>
      </c>
      <c r="N60" t="s">
        <v>42</v>
      </c>
      <c r="O60">
        <v>8</v>
      </c>
      <c r="P60" t="s">
        <v>13</v>
      </c>
      <c r="Q60">
        <v>12.3</v>
      </c>
      <c r="R60" s="1" t="str">
        <f t="shared" si="1"/>
        <v>I</v>
      </c>
    </row>
    <row r="61" spans="1:18">
      <c r="A61">
        <v>2930</v>
      </c>
      <c r="B61" t="s">
        <v>76</v>
      </c>
      <c r="C61">
        <v>0.61</v>
      </c>
      <c r="D61">
        <v>0.49</v>
      </c>
      <c r="E61">
        <v>0.16</v>
      </c>
      <c r="F61">
        <v>1.1545000000000001</v>
      </c>
      <c r="G61">
        <v>0.58650000000000002</v>
      </c>
      <c r="H61">
        <v>0.23849999999999999</v>
      </c>
      <c r="I61">
        <v>0.29149999999999998</v>
      </c>
      <c r="J61">
        <v>11</v>
      </c>
      <c r="K61">
        <v>6</v>
      </c>
      <c r="L61" t="s">
        <v>46</v>
      </c>
      <c r="M61" t="s">
        <v>47</v>
      </c>
      <c r="N61" t="s">
        <v>48</v>
      </c>
      <c r="O61">
        <v>1</v>
      </c>
      <c r="P61" t="s">
        <v>4</v>
      </c>
      <c r="Q61">
        <v>22.1</v>
      </c>
      <c r="R61" s="1" t="str">
        <f t="shared" si="1"/>
        <v>I</v>
      </c>
    </row>
    <row r="62" spans="1:18">
      <c r="A62">
        <v>2846</v>
      </c>
      <c r="B62" t="s">
        <v>76</v>
      </c>
      <c r="C62">
        <v>0.62</v>
      </c>
      <c r="D62">
        <v>0.48</v>
      </c>
      <c r="E62">
        <v>0.17</v>
      </c>
      <c r="F62">
        <v>1.1045</v>
      </c>
      <c r="G62">
        <v>0.53500000000000003</v>
      </c>
      <c r="H62">
        <v>0.25</v>
      </c>
      <c r="I62">
        <v>0.28699999999999998</v>
      </c>
      <c r="J62">
        <v>10</v>
      </c>
      <c r="K62">
        <v>1</v>
      </c>
      <c r="L62" t="s">
        <v>70</v>
      </c>
      <c r="M62" t="s">
        <v>71</v>
      </c>
      <c r="N62" t="s">
        <v>45</v>
      </c>
      <c r="O62">
        <v>10</v>
      </c>
      <c r="P62" t="s">
        <v>11</v>
      </c>
      <c r="Q62">
        <v>24.1</v>
      </c>
      <c r="R62" s="1" t="str">
        <f t="shared" si="1"/>
        <v>I</v>
      </c>
    </row>
    <row r="63" spans="1:18">
      <c r="A63">
        <v>1344</v>
      </c>
      <c r="B63" t="s">
        <v>76</v>
      </c>
      <c r="C63">
        <v>0.58499999999999996</v>
      </c>
      <c r="D63">
        <v>0.46</v>
      </c>
      <c r="E63">
        <v>0.16500000000000001</v>
      </c>
      <c r="F63">
        <v>1.1134999999999999</v>
      </c>
      <c r="G63">
        <v>0.58250000000000002</v>
      </c>
      <c r="H63">
        <v>0.23449999999999999</v>
      </c>
      <c r="I63">
        <v>0.27400000000000002</v>
      </c>
      <c r="J63">
        <v>10</v>
      </c>
      <c r="K63">
        <v>7</v>
      </c>
      <c r="L63" t="s">
        <v>62</v>
      </c>
      <c r="M63" t="s">
        <v>63</v>
      </c>
      <c r="N63" t="s">
        <v>64</v>
      </c>
      <c r="O63">
        <v>10</v>
      </c>
      <c r="P63" t="s">
        <v>11</v>
      </c>
      <c r="Q63">
        <v>24.1</v>
      </c>
      <c r="R63" s="1" t="str">
        <f t="shared" si="1"/>
        <v>I</v>
      </c>
    </row>
    <row r="64" spans="1:18">
      <c r="A64">
        <v>2791</v>
      </c>
      <c r="B64" t="s">
        <v>76</v>
      </c>
      <c r="C64">
        <v>0.62</v>
      </c>
      <c r="D64">
        <v>0.48</v>
      </c>
      <c r="E64">
        <v>0.16500000000000001</v>
      </c>
      <c r="F64">
        <v>1.0125</v>
      </c>
      <c r="G64">
        <v>0.53249999999999997</v>
      </c>
      <c r="H64">
        <v>0.4365</v>
      </c>
      <c r="I64">
        <v>0.32400000000000001</v>
      </c>
      <c r="J64">
        <v>10</v>
      </c>
      <c r="K64">
        <v>14</v>
      </c>
      <c r="L64" t="s">
        <v>72</v>
      </c>
      <c r="M64" t="s">
        <v>73</v>
      </c>
      <c r="N64" t="s">
        <v>74</v>
      </c>
      <c r="O64">
        <v>6</v>
      </c>
      <c r="P64" t="s">
        <v>7</v>
      </c>
      <c r="Q64">
        <v>14.1</v>
      </c>
      <c r="R64" s="1" t="str">
        <f t="shared" si="1"/>
        <v>I</v>
      </c>
    </row>
    <row r="65" spans="1:18">
      <c r="A65">
        <v>4175</v>
      </c>
      <c r="B65" t="s">
        <v>76</v>
      </c>
      <c r="C65">
        <v>0.6</v>
      </c>
      <c r="D65">
        <v>0.47499999999999998</v>
      </c>
      <c r="E65">
        <v>0.20499999999999999</v>
      </c>
      <c r="F65">
        <v>1.1759999999999999</v>
      </c>
      <c r="G65">
        <v>0.52549999999999997</v>
      </c>
      <c r="H65">
        <v>0.28749999999999998</v>
      </c>
      <c r="I65">
        <v>0.308</v>
      </c>
      <c r="J65">
        <v>9</v>
      </c>
      <c r="K65">
        <v>9</v>
      </c>
      <c r="L65" t="s">
        <v>34</v>
      </c>
      <c r="M65" t="s">
        <v>35</v>
      </c>
      <c r="N65" t="s">
        <v>36</v>
      </c>
      <c r="O65">
        <v>2</v>
      </c>
      <c r="P65" t="s">
        <v>5</v>
      </c>
      <c r="Q65">
        <v>18</v>
      </c>
      <c r="R65" s="1" t="str">
        <f t="shared" si="1"/>
        <v>I</v>
      </c>
    </row>
    <row r="66" spans="1:18">
      <c r="A66">
        <v>2999</v>
      </c>
      <c r="B66" t="s">
        <v>76</v>
      </c>
      <c r="C66">
        <v>0.63500000000000001</v>
      </c>
      <c r="D66">
        <v>0.51</v>
      </c>
      <c r="E66">
        <v>0.17</v>
      </c>
      <c r="F66">
        <v>1.2235</v>
      </c>
      <c r="G66">
        <v>0.53200000000000003</v>
      </c>
      <c r="H66">
        <v>0.27100000000000002</v>
      </c>
      <c r="I66">
        <v>0.35399999999999998</v>
      </c>
      <c r="J66">
        <v>9</v>
      </c>
      <c r="K66">
        <v>2</v>
      </c>
      <c r="L66" t="s">
        <v>49</v>
      </c>
      <c r="M66" t="s">
        <v>50</v>
      </c>
      <c r="N66" t="s">
        <v>51</v>
      </c>
      <c r="O66">
        <v>5</v>
      </c>
      <c r="P66" t="s">
        <v>12</v>
      </c>
      <c r="Q66">
        <v>12.8</v>
      </c>
      <c r="R66" s="1" t="str">
        <f t="shared" si="1"/>
        <v>I</v>
      </c>
    </row>
    <row r="67" spans="1:18">
      <c r="A67">
        <v>1324</v>
      </c>
      <c r="B67" t="s">
        <v>76</v>
      </c>
      <c r="C67">
        <v>0.56000000000000005</v>
      </c>
      <c r="D67">
        <v>0.45500000000000002</v>
      </c>
      <c r="E67">
        <v>0.14499999999999999</v>
      </c>
      <c r="F67">
        <v>0.97399999999999998</v>
      </c>
      <c r="G67">
        <v>0.54700000000000004</v>
      </c>
      <c r="H67">
        <v>0.1615</v>
      </c>
      <c r="I67">
        <v>0.23499999999999999</v>
      </c>
      <c r="J67">
        <v>9</v>
      </c>
      <c r="K67">
        <v>9</v>
      </c>
      <c r="L67" t="s">
        <v>34</v>
      </c>
      <c r="M67" t="s">
        <v>35</v>
      </c>
      <c r="N67" t="s">
        <v>36</v>
      </c>
      <c r="O67">
        <v>10</v>
      </c>
      <c r="P67" t="s">
        <v>11</v>
      </c>
      <c r="Q67">
        <v>24.1</v>
      </c>
      <c r="R67" s="1" t="str">
        <f t="shared" si="1"/>
        <v>I</v>
      </c>
    </row>
    <row r="68" spans="1:18">
      <c r="A68">
        <v>1959</v>
      </c>
      <c r="B68" t="s">
        <v>76</v>
      </c>
      <c r="C68">
        <v>0.65</v>
      </c>
      <c r="D68">
        <v>0.52</v>
      </c>
      <c r="E68">
        <v>0.15</v>
      </c>
      <c r="F68">
        <v>1.238</v>
      </c>
      <c r="G68">
        <v>0.54949999999999999</v>
      </c>
      <c r="H68">
        <v>0.29599999999999999</v>
      </c>
      <c r="I68">
        <v>0.33050000000000002</v>
      </c>
      <c r="J68">
        <v>10</v>
      </c>
      <c r="K68">
        <v>4</v>
      </c>
      <c r="L68" t="s">
        <v>40</v>
      </c>
      <c r="M68" t="s">
        <v>41</v>
      </c>
      <c r="N68" t="s">
        <v>42</v>
      </c>
      <c r="O68">
        <v>5</v>
      </c>
      <c r="P68" t="s">
        <v>12</v>
      </c>
      <c r="Q68">
        <v>12.8</v>
      </c>
      <c r="R68" s="1" t="str">
        <f t="shared" si="1"/>
        <v>I</v>
      </c>
    </row>
    <row r="69" spans="1:18">
      <c r="A69">
        <v>4083</v>
      </c>
      <c r="B69" t="s">
        <v>76</v>
      </c>
      <c r="C69">
        <v>0.56499999999999995</v>
      </c>
      <c r="D69">
        <v>0.46500000000000002</v>
      </c>
      <c r="E69">
        <v>0.15</v>
      </c>
      <c r="F69">
        <v>1.1815</v>
      </c>
      <c r="G69">
        <v>0.58099999999999996</v>
      </c>
      <c r="H69">
        <v>0.2215</v>
      </c>
      <c r="I69">
        <v>0.3095</v>
      </c>
      <c r="J69">
        <v>9</v>
      </c>
      <c r="K69">
        <v>9</v>
      </c>
      <c r="L69" t="s">
        <v>34</v>
      </c>
      <c r="M69" t="s">
        <v>35</v>
      </c>
      <c r="N69" t="s">
        <v>36</v>
      </c>
      <c r="O69">
        <v>7</v>
      </c>
      <c r="P69" t="s">
        <v>6</v>
      </c>
      <c r="Q69">
        <v>2.5</v>
      </c>
      <c r="R69" s="1" t="str">
        <f t="shared" si="1"/>
        <v>I</v>
      </c>
    </row>
    <row r="70" spans="1:18">
      <c r="R70" s="1"/>
    </row>
    <row r="71" spans="1:18">
      <c r="R71" s="1"/>
    </row>
    <row r="72" spans="1:18">
      <c r="R72" s="1"/>
    </row>
    <row r="73" spans="1:18">
      <c r="R73" s="1"/>
    </row>
    <row r="74" spans="1:18">
      <c r="A74" t="s">
        <v>77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79</v>
      </c>
      <c r="Q74" t="s">
        <v>32</v>
      </c>
      <c r="R74" t="s">
        <v>80</v>
      </c>
    </row>
    <row r="75" spans="1:18">
      <c r="A75">
        <v>2424</v>
      </c>
      <c r="B75" t="s">
        <v>33</v>
      </c>
      <c r="C75">
        <v>0.41</v>
      </c>
      <c r="D75">
        <v>0.315</v>
      </c>
      <c r="E75">
        <v>0.11</v>
      </c>
      <c r="F75">
        <v>0.32100000000000001</v>
      </c>
      <c r="G75">
        <v>0.1255</v>
      </c>
      <c r="H75">
        <v>6.5500000000000003E-2</v>
      </c>
      <c r="I75">
        <v>9.5000000000000001E-2</v>
      </c>
      <c r="J75">
        <v>10</v>
      </c>
      <c r="K75">
        <v>9</v>
      </c>
      <c r="L75" t="s">
        <v>34</v>
      </c>
      <c r="M75" t="s">
        <v>35</v>
      </c>
      <c r="N75" t="s">
        <v>36</v>
      </c>
      <c r="O75">
        <v>9</v>
      </c>
      <c r="P75" t="s">
        <v>9</v>
      </c>
      <c r="Q75">
        <v>1.9</v>
      </c>
      <c r="R75" s="1" t="str">
        <f t="shared" ref="R75:R138" si="2">IF(OR(AND(J75 &gt; 15, B75 = "Infant"), AND(D75 = "Male", C75 &gt; 0.75),
    OR(I75 &gt; 0.8, G75 &gt; 0.5), G75 &gt; 1.2),
    "I",
    IF(OR(AND(I75 &lt; 0.4, G75 &lt; 0.4), AND(J75 &gt; 15, D75 = "Male"), AND(J75 &gt; 18, D75 = "Female"), C75 &lt; 0.36),
    "II",
    "III"))</f>
        <v>II</v>
      </c>
    </row>
    <row r="76" spans="1:18">
      <c r="A76">
        <v>2404</v>
      </c>
      <c r="B76" t="s">
        <v>33</v>
      </c>
      <c r="C76">
        <v>0.28999999999999998</v>
      </c>
      <c r="D76">
        <v>0.22500000000000001</v>
      </c>
      <c r="E76">
        <v>0.08</v>
      </c>
      <c r="F76">
        <v>0.1295</v>
      </c>
      <c r="G76">
        <v>5.3499999999999999E-2</v>
      </c>
      <c r="H76">
        <v>2.5999999999999999E-2</v>
      </c>
      <c r="I76">
        <v>4.4999999999999998E-2</v>
      </c>
      <c r="J76">
        <v>10</v>
      </c>
      <c r="K76">
        <v>13</v>
      </c>
      <c r="L76" t="s">
        <v>43</v>
      </c>
      <c r="M76" t="s">
        <v>44</v>
      </c>
      <c r="N76" t="s">
        <v>45</v>
      </c>
      <c r="O76">
        <v>8</v>
      </c>
      <c r="P76" t="s">
        <v>13</v>
      </c>
      <c r="Q76">
        <v>12.3</v>
      </c>
      <c r="R76" s="1" t="str">
        <f t="shared" si="2"/>
        <v>II</v>
      </c>
    </row>
    <row r="77" spans="1:18">
      <c r="A77">
        <v>1150</v>
      </c>
      <c r="B77" t="s">
        <v>33</v>
      </c>
      <c r="C77">
        <v>0.57999999999999996</v>
      </c>
      <c r="D77">
        <v>0.45</v>
      </c>
      <c r="E77">
        <v>0.155</v>
      </c>
      <c r="F77">
        <v>0.93</v>
      </c>
      <c r="G77">
        <v>0.38500000000000001</v>
      </c>
      <c r="H77">
        <v>0.246</v>
      </c>
      <c r="I77">
        <v>0.26500000000000001</v>
      </c>
      <c r="J77">
        <v>9</v>
      </c>
      <c r="K77">
        <v>2</v>
      </c>
      <c r="L77" t="s">
        <v>49</v>
      </c>
      <c r="M77" t="s">
        <v>50</v>
      </c>
      <c r="N77" t="s">
        <v>51</v>
      </c>
      <c r="O77">
        <v>2</v>
      </c>
      <c r="P77" t="s">
        <v>5</v>
      </c>
      <c r="Q77">
        <v>18</v>
      </c>
      <c r="R77" s="1" t="str">
        <f t="shared" si="2"/>
        <v>II</v>
      </c>
    </row>
    <row r="78" spans="1:18">
      <c r="A78">
        <v>1319</v>
      </c>
      <c r="B78" t="s">
        <v>33</v>
      </c>
      <c r="C78">
        <v>0.55500000000000005</v>
      </c>
      <c r="D78">
        <v>0.43</v>
      </c>
      <c r="E78">
        <v>0.14000000000000001</v>
      </c>
      <c r="F78">
        <v>0.76649999999999996</v>
      </c>
      <c r="G78">
        <v>0.34100000000000003</v>
      </c>
      <c r="H78">
        <v>0.16500000000000001</v>
      </c>
      <c r="I78">
        <v>0.23</v>
      </c>
      <c r="J78">
        <v>9</v>
      </c>
      <c r="K78">
        <v>3</v>
      </c>
      <c r="L78" t="s">
        <v>52</v>
      </c>
      <c r="M78" t="s">
        <v>53</v>
      </c>
      <c r="N78" t="s">
        <v>54</v>
      </c>
      <c r="O78">
        <v>3</v>
      </c>
      <c r="P78" t="s">
        <v>10</v>
      </c>
      <c r="Q78">
        <v>3.6</v>
      </c>
      <c r="R78" s="1" t="str">
        <f t="shared" si="2"/>
        <v>II</v>
      </c>
    </row>
    <row r="79" spans="1:18">
      <c r="A79">
        <v>228</v>
      </c>
      <c r="B79" t="s">
        <v>33</v>
      </c>
      <c r="C79">
        <v>0.36499999999999999</v>
      </c>
      <c r="D79">
        <v>0.27</v>
      </c>
      <c r="E79">
        <v>8.5000000000000006E-2</v>
      </c>
      <c r="F79">
        <v>0.20499999999999999</v>
      </c>
      <c r="G79">
        <v>7.8E-2</v>
      </c>
      <c r="H79">
        <v>4.8500000000000001E-2</v>
      </c>
      <c r="I79">
        <v>7.0000000000000007E-2</v>
      </c>
      <c r="J79">
        <v>7</v>
      </c>
      <c r="K79">
        <v>2</v>
      </c>
      <c r="L79" t="s">
        <v>49</v>
      </c>
      <c r="M79" t="s">
        <v>50</v>
      </c>
      <c r="N79" t="s">
        <v>51</v>
      </c>
      <c r="O79">
        <v>4</v>
      </c>
      <c r="P79" t="s">
        <v>8</v>
      </c>
      <c r="Q79">
        <v>6.1</v>
      </c>
      <c r="R79" s="1" t="str">
        <f t="shared" si="2"/>
        <v>II</v>
      </c>
    </row>
    <row r="80" spans="1:18">
      <c r="A80">
        <v>3945</v>
      </c>
      <c r="B80" t="s">
        <v>33</v>
      </c>
      <c r="C80">
        <v>0.55000000000000004</v>
      </c>
      <c r="D80">
        <v>0.44</v>
      </c>
      <c r="E80">
        <v>0.16</v>
      </c>
      <c r="F80">
        <v>0.99099999999999999</v>
      </c>
      <c r="G80">
        <v>0.34799999999999998</v>
      </c>
      <c r="H80">
        <v>0.16800000000000001</v>
      </c>
      <c r="I80">
        <v>0.375</v>
      </c>
      <c r="J80">
        <v>20</v>
      </c>
      <c r="K80">
        <v>8</v>
      </c>
      <c r="L80" t="s">
        <v>55</v>
      </c>
      <c r="M80" t="s">
        <v>56</v>
      </c>
      <c r="N80" t="s">
        <v>57</v>
      </c>
      <c r="O80">
        <v>1</v>
      </c>
      <c r="P80" t="s">
        <v>4</v>
      </c>
      <c r="Q80">
        <v>22.1</v>
      </c>
      <c r="R80" s="1" t="str">
        <f t="shared" si="2"/>
        <v>II</v>
      </c>
    </row>
    <row r="81" spans="1:18">
      <c r="A81">
        <v>1308</v>
      </c>
      <c r="B81" t="s">
        <v>33</v>
      </c>
      <c r="C81">
        <v>0.54500000000000004</v>
      </c>
      <c r="D81">
        <v>0.435</v>
      </c>
      <c r="E81">
        <v>0.13500000000000001</v>
      </c>
      <c r="F81">
        <v>0.77149999999999996</v>
      </c>
      <c r="G81">
        <v>0.372</v>
      </c>
      <c r="H81">
        <v>0.14799999999999999</v>
      </c>
      <c r="I81">
        <v>0.22700000000000001</v>
      </c>
      <c r="J81">
        <v>8</v>
      </c>
      <c r="K81">
        <v>12</v>
      </c>
      <c r="L81" t="s">
        <v>58</v>
      </c>
      <c r="M81" t="s">
        <v>59</v>
      </c>
      <c r="N81" t="s">
        <v>45</v>
      </c>
      <c r="O81">
        <v>5</v>
      </c>
      <c r="P81" t="s">
        <v>12</v>
      </c>
      <c r="Q81">
        <v>12.8</v>
      </c>
      <c r="R81" s="1" t="str">
        <f t="shared" si="2"/>
        <v>II</v>
      </c>
    </row>
    <row r="82" spans="1:18">
      <c r="A82">
        <v>2895</v>
      </c>
      <c r="B82" t="s">
        <v>33</v>
      </c>
      <c r="C82">
        <v>0.54</v>
      </c>
      <c r="D82">
        <v>0.42499999999999999</v>
      </c>
      <c r="E82">
        <v>0.13</v>
      </c>
      <c r="F82">
        <v>0.8155</v>
      </c>
      <c r="G82">
        <v>0.36749999999999999</v>
      </c>
      <c r="H82">
        <v>0.13650000000000001</v>
      </c>
      <c r="I82">
        <v>0.246</v>
      </c>
      <c r="J82">
        <v>11</v>
      </c>
      <c r="K82">
        <v>8</v>
      </c>
      <c r="L82" t="s">
        <v>55</v>
      </c>
      <c r="M82" t="s">
        <v>56</v>
      </c>
      <c r="N82" t="s">
        <v>57</v>
      </c>
      <c r="O82">
        <v>4</v>
      </c>
      <c r="P82" t="s">
        <v>8</v>
      </c>
      <c r="Q82">
        <v>6.1</v>
      </c>
      <c r="R82" s="1" t="str">
        <f t="shared" si="2"/>
        <v>II</v>
      </c>
    </row>
    <row r="83" spans="1:18">
      <c r="A83">
        <v>3411</v>
      </c>
      <c r="B83" t="s">
        <v>33</v>
      </c>
      <c r="C83">
        <v>0.41499999999999998</v>
      </c>
      <c r="D83">
        <v>0.31</v>
      </c>
      <c r="E83">
        <v>0.105</v>
      </c>
      <c r="F83">
        <v>0.35949999999999999</v>
      </c>
      <c r="G83">
        <v>0.16700000000000001</v>
      </c>
      <c r="H83">
        <v>8.3000000000000004E-2</v>
      </c>
      <c r="I83">
        <v>9.1499999999999998E-2</v>
      </c>
      <c r="J83">
        <v>6</v>
      </c>
      <c r="K83">
        <v>7</v>
      </c>
      <c r="L83" t="s">
        <v>62</v>
      </c>
      <c r="M83" t="s">
        <v>63</v>
      </c>
      <c r="N83" t="s">
        <v>64</v>
      </c>
      <c r="O83">
        <v>9</v>
      </c>
      <c r="P83" t="s">
        <v>9</v>
      </c>
      <c r="Q83">
        <v>1.9</v>
      </c>
      <c r="R83" s="1" t="str">
        <f t="shared" si="2"/>
        <v>II</v>
      </c>
    </row>
    <row r="84" spans="1:18">
      <c r="A84">
        <v>2764</v>
      </c>
      <c r="B84" t="s">
        <v>33</v>
      </c>
      <c r="C84">
        <v>0.55000000000000004</v>
      </c>
      <c r="D84">
        <v>0.42499999999999999</v>
      </c>
      <c r="E84">
        <v>0.13500000000000001</v>
      </c>
      <c r="F84">
        <v>0.65600000000000003</v>
      </c>
      <c r="G84">
        <v>0.25700000000000001</v>
      </c>
      <c r="H84">
        <v>0.17</v>
      </c>
      <c r="I84">
        <v>0.20300000000000001</v>
      </c>
      <c r="J84">
        <v>10</v>
      </c>
      <c r="K84">
        <v>11</v>
      </c>
      <c r="L84" t="s">
        <v>65</v>
      </c>
      <c r="M84" t="s">
        <v>66</v>
      </c>
      <c r="N84" t="s">
        <v>45</v>
      </c>
      <c r="O84">
        <v>1</v>
      </c>
      <c r="P84" t="s">
        <v>4</v>
      </c>
      <c r="Q84">
        <v>22.1</v>
      </c>
      <c r="R84" s="1" t="str">
        <f t="shared" si="2"/>
        <v>II</v>
      </c>
    </row>
    <row r="85" spans="1:18">
      <c r="A85">
        <v>3342</v>
      </c>
      <c r="B85" t="s">
        <v>33</v>
      </c>
      <c r="C85">
        <v>0.49</v>
      </c>
      <c r="D85">
        <v>0.39</v>
      </c>
      <c r="E85">
        <v>0.13500000000000001</v>
      </c>
      <c r="F85">
        <v>0.59</v>
      </c>
      <c r="G85">
        <v>0.215</v>
      </c>
      <c r="H85">
        <v>0.125</v>
      </c>
      <c r="I85">
        <v>0.1845</v>
      </c>
      <c r="J85">
        <v>12</v>
      </c>
      <c r="K85">
        <v>3</v>
      </c>
      <c r="L85" t="s">
        <v>52</v>
      </c>
      <c r="M85" t="s">
        <v>53</v>
      </c>
      <c r="N85" t="s">
        <v>54</v>
      </c>
      <c r="O85">
        <v>6</v>
      </c>
      <c r="P85" t="s">
        <v>7</v>
      </c>
      <c r="Q85">
        <v>14.1</v>
      </c>
      <c r="R85" s="1" t="str">
        <f t="shared" si="2"/>
        <v>II</v>
      </c>
    </row>
    <row r="86" spans="1:18">
      <c r="A86">
        <v>3347</v>
      </c>
      <c r="B86" t="s">
        <v>33</v>
      </c>
      <c r="C86">
        <v>0.47</v>
      </c>
      <c r="D86">
        <v>0.4</v>
      </c>
      <c r="E86">
        <v>0.16</v>
      </c>
      <c r="F86">
        <v>0.51</v>
      </c>
      <c r="G86">
        <v>0.1615</v>
      </c>
      <c r="H86">
        <v>7.2999999999999995E-2</v>
      </c>
      <c r="I86">
        <v>0.19800000000000001</v>
      </c>
      <c r="J86">
        <v>14</v>
      </c>
      <c r="K86">
        <v>10</v>
      </c>
      <c r="L86" t="s">
        <v>37</v>
      </c>
      <c r="M86" t="s">
        <v>38</v>
      </c>
      <c r="N86" t="s">
        <v>39</v>
      </c>
      <c r="O86">
        <v>9</v>
      </c>
      <c r="P86" t="s">
        <v>9</v>
      </c>
      <c r="Q86">
        <v>1.9</v>
      </c>
      <c r="R86" s="1" t="str">
        <f t="shared" si="2"/>
        <v>II</v>
      </c>
    </row>
    <row r="87" spans="1:18">
      <c r="A87">
        <v>1855</v>
      </c>
      <c r="B87" t="s">
        <v>33</v>
      </c>
      <c r="C87">
        <v>0.495</v>
      </c>
      <c r="D87">
        <v>0.375</v>
      </c>
      <c r="E87">
        <v>0.14000000000000001</v>
      </c>
      <c r="F87">
        <v>0.49399999999999999</v>
      </c>
      <c r="G87">
        <v>0.18099999999999999</v>
      </c>
      <c r="H87">
        <v>9.7500000000000003E-2</v>
      </c>
      <c r="I87">
        <v>0.191</v>
      </c>
      <c r="J87">
        <v>8</v>
      </c>
      <c r="K87">
        <v>2</v>
      </c>
      <c r="L87" t="s">
        <v>49</v>
      </c>
      <c r="M87" t="s">
        <v>50</v>
      </c>
      <c r="N87" t="s">
        <v>51</v>
      </c>
      <c r="O87">
        <v>6</v>
      </c>
      <c r="P87" t="s">
        <v>7</v>
      </c>
      <c r="Q87">
        <v>14.1</v>
      </c>
      <c r="R87" s="1" t="str">
        <f t="shared" si="2"/>
        <v>II</v>
      </c>
    </row>
    <row r="88" spans="1:18">
      <c r="A88">
        <v>3194</v>
      </c>
      <c r="B88" t="s">
        <v>33</v>
      </c>
      <c r="C88">
        <v>0.56499999999999995</v>
      </c>
      <c r="D88">
        <v>0.435</v>
      </c>
      <c r="E88">
        <v>0.185</v>
      </c>
      <c r="F88">
        <v>1.032</v>
      </c>
      <c r="G88">
        <v>0.35399999999999998</v>
      </c>
      <c r="H88">
        <v>0.20449999999999999</v>
      </c>
      <c r="I88">
        <v>0.31</v>
      </c>
      <c r="J88">
        <v>20</v>
      </c>
      <c r="K88">
        <v>5</v>
      </c>
      <c r="L88" t="s">
        <v>67</v>
      </c>
      <c r="M88" t="s">
        <v>68</v>
      </c>
      <c r="N88" t="s">
        <v>69</v>
      </c>
      <c r="O88">
        <v>9</v>
      </c>
      <c r="P88" t="s">
        <v>9</v>
      </c>
      <c r="Q88">
        <v>1.9</v>
      </c>
      <c r="R88" s="1" t="str">
        <f t="shared" si="2"/>
        <v>II</v>
      </c>
    </row>
    <row r="89" spans="1:18">
      <c r="A89">
        <v>628</v>
      </c>
      <c r="B89" t="s">
        <v>33</v>
      </c>
      <c r="C89">
        <v>0.38</v>
      </c>
      <c r="D89">
        <v>0.30499999999999999</v>
      </c>
      <c r="E89">
        <v>9.5000000000000001E-2</v>
      </c>
      <c r="F89">
        <v>0.28149999999999997</v>
      </c>
      <c r="G89">
        <v>0.1255</v>
      </c>
      <c r="H89">
        <v>5.2499999999999998E-2</v>
      </c>
      <c r="I89">
        <v>0.09</v>
      </c>
      <c r="J89">
        <v>8</v>
      </c>
      <c r="K89">
        <v>15</v>
      </c>
      <c r="L89" t="s">
        <v>60</v>
      </c>
      <c r="M89" t="s">
        <v>61</v>
      </c>
      <c r="N89" t="s">
        <v>45</v>
      </c>
      <c r="O89">
        <v>10</v>
      </c>
      <c r="P89" t="s">
        <v>11</v>
      </c>
      <c r="Q89">
        <v>24.1</v>
      </c>
      <c r="R89" s="1" t="str">
        <f t="shared" si="2"/>
        <v>II</v>
      </c>
    </row>
    <row r="90" spans="1:18">
      <c r="A90">
        <v>387</v>
      </c>
      <c r="B90" t="s">
        <v>33</v>
      </c>
      <c r="C90">
        <v>0.54</v>
      </c>
      <c r="D90">
        <v>0.42</v>
      </c>
      <c r="E90">
        <v>0.155</v>
      </c>
      <c r="F90">
        <v>0.73850000000000005</v>
      </c>
      <c r="G90">
        <v>0.35149999999999998</v>
      </c>
      <c r="H90">
        <v>0.152</v>
      </c>
      <c r="I90">
        <v>0.215</v>
      </c>
      <c r="J90">
        <v>12</v>
      </c>
      <c r="K90">
        <v>1</v>
      </c>
      <c r="L90" t="s">
        <v>70</v>
      </c>
      <c r="M90" t="s">
        <v>71</v>
      </c>
      <c r="N90" t="s">
        <v>45</v>
      </c>
      <c r="O90">
        <v>6</v>
      </c>
      <c r="P90" t="s">
        <v>7</v>
      </c>
      <c r="Q90">
        <v>14.1</v>
      </c>
      <c r="R90" s="1" t="str">
        <f t="shared" si="2"/>
        <v>II</v>
      </c>
    </row>
    <row r="91" spans="1:18">
      <c r="A91">
        <v>3034</v>
      </c>
      <c r="B91" t="s">
        <v>33</v>
      </c>
      <c r="C91">
        <v>0.53500000000000003</v>
      </c>
      <c r="D91">
        <v>0.41</v>
      </c>
      <c r="E91">
        <v>0.12</v>
      </c>
      <c r="F91">
        <v>0.6835</v>
      </c>
      <c r="G91">
        <v>0.3125</v>
      </c>
      <c r="H91">
        <v>0.16550000000000001</v>
      </c>
      <c r="I91">
        <v>0.159</v>
      </c>
      <c r="J91">
        <v>8</v>
      </c>
      <c r="K91">
        <v>11</v>
      </c>
      <c r="L91" t="s">
        <v>65</v>
      </c>
      <c r="M91" t="s">
        <v>66</v>
      </c>
      <c r="N91" t="s">
        <v>45</v>
      </c>
      <c r="O91">
        <v>4</v>
      </c>
      <c r="P91" t="s">
        <v>8</v>
      </c>
      <c r="Q91">
        <v>6.1</v>
      </c>
      <c r="R91" s="1" t="str">
        <f t="shared" si="2"/>
        <v>II</v>
      </c>
    </row>
    <row r="92" spans="1:18">
      <c r="A92">
        <v>3032</v>
      </c>
      <c r="B92" t="s">
        <v>33</v>
      </c>
      <c r="C92">
        <v>0.52500000000000002</v>
      </c>
      <c r="D92">
        <v>0.4</v>
      </c>
      <c r="E92">
        <v>0.11</v>
      </c>
      <c r="F92">
        <v>0.62749999999999995</v>
      </c>
      <c r="G92">
        <v>0.30149999999999999</v>
      </c>
      <c r="H92">
        <v>0.126</v>
      </c>
      <c r="I92">
        <v>0.18</v>
      </c>
      <c r="J92">
        <v>8</v>
      </c>
      <c r="K92">
        <v>3</v>
      </c>
      <c r="L92" t="s">
        <v>52</v>
      </c>
      <c r="M92" t="s">
        <v>53</v>
      </c>
      <c r="N92" t="s">
        <v>54</v>
      </c>
      <c r="O92">
        <v>3</v>
      </c>
      <c r="P92" t="s">
        <v>10</v>
      </c>
      <c r="Q92">
        <v>3.6</v>
      </c>
      <c r="R92" s="1" t="str">
        <f t="shared" si="2"/>
        <v>II</v>
      </c>
    </row>
    <row r="93" spans="1:18">
      <c r="A93">
        <v>2224</v>
      </c>
      <c r="B93" t="s">
        <v>33</v>
      </c>
      <c r="C93">
        <v>0.55500000000000005</v>
      </c>
      <c r="D93">
        <v>0.45500000000000002</v>
      </c>
      <c r="E93">
        <v>0.18</v>
      </c>
      <c r="F93">
        <v>0.95799999999999996</v>
      </c>
      <c r="G93">
        <v>0.29599999999999999</v>
      </c>
      <c r="H93">
        <v>0.19500000000000001</v>
      </c>
      <c r="I93">
        <v>0.39</v>
      </c>
      <c r="J93">
        <v>14</v>
      </c>
      <c r="K93">
        <v>8</v>
      </c>
      <c r="L93" t="s">
        <v>55</v>
      </c>
      <c r="M93" t="s">
        <v>56</v>
      </c>
      <c r="N93" t="s">
        <v>57</v>
      </c>
      <c r="O93">
        <v>7</v>
      </c>
      <c r="P93" t="s">
        <v>6</v>
      </c>
      <c r="Q93">
        <v>2.5</v>
      </c>
      <c r="R93" s="1" t="str">
        <f t="shared" si="2"/>
        <v>II</v>
      </c>
    </row>
    <row r="94" spans="1:18">
      <c r="A94">
        <v>953</v>
      </c>
      <c r="B94" t="s">
        <v>33</v>
      </c>
      <c r="C94">
        <v>0.48</v>
      </c>
      <c r="D94">
        <v>0.36499999999999999</v>
      </c>
      <c r="E94">
        <v>0.12</v>
      </c>
      <c r="F94">
        <v>0.60150000000000003</v>
      </c>
      <c r="G94">
        <v>0.312</v>
      </c>
      <c r="H94">
        <v>0.11700000000000001</v>
      </c>
      <c r="I94">
        <v>0.14000000000000001</v>
      </c>
      <c r="J94">
        <v>7</v>
      </c>
      <c r="K94">
        <v>6</v>
      </c>
      <c r="L94" t="s">
        <v>46</v>
      </c>
      <c r="M94" t="s">
        <v>47</v>
      </c>
      <c r="N94" t="s">
        <v>48</v>
      </c>
      <c r="O94">
        <v>4</v>
      </c>
      <c r="P94" t="s">
        <v>8</v>
      </c>
      <c r="Q94">
        <v>6.1</v>
      </c>
      <c r="R94" s="1" t="str">
        <f t="shared" si="2"/>
        <v>II</v>
      </c>
    </row>
    <row r="95" spans="1:18">
      <c r="A95">
        <v>2649</v>
      </c>
      <c r="B95" t="s">
        <v>33</v>
      </c>
      <c r="C95">
        <v>0.5</v>
      </c>
      <c r="D95">
        <v>0.38</v>
      </c>
      <c r="E95">
        <v>0.12</v>
      </c>
      <c r="F95">
        <v>0.57650000000000001</v>
      </c>
      <c r="G95">
        <v>0.27300000000000002</v>
      </c>
      <c r="H95">
        <v>0.13500000000000001</v>
      </c>
      <c r="I95">
        <v>0.14499999999999999</v>
      </c>
      <c r="J95">
        <v>9</v>
      </c>
      <c r="K95">
        <v>12</v>
      </c>
      <c r="L95" t="s">
        <v>58</v>
      </c>
      <c r="M95" t="s">
        <v>59</v>
      </c>
      <c r="N95" t="s">
        <v>45</v>
      </c>
      <c r="O95">
        <v>7</v>
      </c>
      <c r="P95" t="s">
        <v>6</v>
      </c>
      <c r="Q95">
        <v>2.5</v>
      </c>
      <c r="R95" s="1" t="str">
        <f t="shared" si="2"/>
        <v>II</v>
      </c>
    </row>
    <row r="96" spans="1:18">
      <c r="A96">
        <v>932</v>
      </c>
      <c r="B96" t="s">
        <v>33</v>
      </c>
      <c r="C96">
        <v>0.44500000000000001</v>
      </c>
      <c r="D96">
        <v>0.33500000000000002</v>
      </c>
      <c r="E96">
        <v>0.11</v>
      </c>
      <c r="F96">
        <v>0.4355</v>
      </c>
      <c r="G96">
        <v>0.20250000000000001</v>
      </c>
      <c r="H96">
        <v>0.1095</v>
      </c>
      <c r="I96">
        <v>0.1195</v>
      </c>
      <c r="J96">
        <v>6</v>
      </c>
      <c r="K96">
        <v>15</v>
      </c>
      <c r="L96" t="s">
        <v>60</v>
      </c>
      <c r="M96" t="s">
        <v>61</v>
      </c>
      <c r="N96" t="s">
        <v>45</v>
      </c>
      <c r="O96">
        <v>5</v>
      </c>
      <c r="P96" t="s">
        <v>12</v>
      </c>
      <c r="Q96">
        <v>12.8</v>
      </c>
      <c r="R96" s="1" t="str">
        <f t="shared" si="2"/>
        <v>II</v>
      </c>
    </row>
    <row r="97" spans="1:18">
      <c r="A97">
        <v>2065</v>
      </c>
      <c r="B97" t="s">
        <v>33</v>
      </c>
      <c r="C97">
        <v>0.53500000000000003</v>
      </c>
      <c r="D97">
        <v>0.42</v>
      </c>
      <c r="E97">
        <v>0.125</v>
      </c>
      <c r="F97">
        <v>0.73799999999999999</v>
      </c>
      <c r="G97">
        <v>0.35499999999999998</v>
      </c>
      <c r="H97">
        <v>0.1895</v>
      </c>
      <c r="I97">
        <v>0.17949999999999999</v>
      </c>
      <c r="J97">
        <v>8</v>
      </c>
      <c r="K97">
        <v>12</v>
      </c>
      <c r="L97" t="s">
        <v>58</v>
      </c>
      <c r="M97" t="s">
        <v>59</v>
      </c>
      <c r="N97" t="s">
        <v>45</v>
      </c>
      <c r="O97">
        <v>7</v>
      </c>
      <c r="P97" t="s">
        <v>6</v>
      </c>
      <c r="Q97">
        <v>2.5</v>
      </c>
      <c r="R97" s="1" t="str">
        <f t="shared" si="2"/>
        <v>II</v>
      </c>
    </row>
    <row r="98" spans="1:18">
      <c r="A98">
        <v>3261</v>
      </c>
      <c r="B98" t="s">
        <v>33</v>
      </c>
      <c r="C98">
        <v>0.56000000000000005</v>
      </c>
      <c r="D98">
        <v>0.435</v>
      </c>
      <c r="E98">
        <v>0.125</v>
      </c>
      <c r="F98">
        <v>0.87749999999999995</v>
      </c>
      <c r="G98">
        <v>0.33450000000000002</v>
      </c>
      <c r="H98">
        <v>0.2145</v>
      </c>
      <c r="I98">
        <v>0.28999999999999998</v>
      </c>
      <c r="J98">
        <v>13</v>
      </c>
      <c r="K98">
        <v>4</v>
      </c>
      <c r="L98" t="s">
        <v>40</v>
      </c>
      <c r="M98" t="s">
        <v>41</v>
      </c>
      <c r="N98" t="s">
        <v>42</v>
      </c>
      <c r="O98">
        <v>5</v>
      </c>
      <c r="P98" t="s">
        <v>12</v>
      </c>
      <c r="Q98">
        <v>12.8</v>
      </c>
      <c r="R98" s="1" t="str">
        <f t="shared" si="2"/>
        <v>II</v>
      </c>
    </row>
    <row r="99" spans="1:18">
      <c r="A99">
        <v>947</v>
      </c>
      <c r="B99" t="s">
        <v>33</v>
      </c>
      <c r="C99">
        <v>0.47</v>
      </c>
      <c r="D99">
        <v>0.36499999999999999</v>
      </c>
      <c r="E99">
        <v>0.12</v>
      </c>
      <c r="F99">
        <v>0.58199999999999996</v>
      </c>
      <c r="G99">
        <v>0.28999999999999998</v>
      </c>
      <c r="H99">
        <v>9.1999999999999998E-2</v>
      </c>
      <c r="I99">
        <v>0.14599999999999999</v>
      </c>
      <c r="J99">
        <v>8</v>
      </c>
      <c r="K99">
        <v>14</v>
      </c>
      <c r="L99" t="s">
        <v>72</v>
      </c>
      <c r="M99" t="s">
        <v>73</v>
      </c>
      <c r="N99" t="s">
        <v>74</v>
      </c>
      <c r="O99">
        <v>6</v>
      </c>
      <c r="P99" t="s">
        <v>7</v>
      </c>
      <c r="Q99">
        <v>14.1</v>
      </c>
      <c r="R99" s="1" t="str">
        <f t="shared" si="2"/>
        <v>II</v>
      </c>
    </row>
    <row r="100" spans="1:18">
      <c r="A100">
        <v>2976</v>
      </c>
      <c r="B100" t="s">
        <v>33</v>
      </c>
      <c r="C100">
        <v>0.32</v>
      </c>
      <c r="D100">
        <v>0.215</v>
      </c>
      <c r="E100">
        <v>9.5000000000000001E-2</v>
      </c>
      <c r="F100">
        <v>0.30499999999999999</v>
      </c>
      <c r="G100">
        <v>0.14000000000000001</v>
      </c>
      <c r="H100">
        <v>6.7000000000000004E-2</v>
      </c>
      <c r="I100">
        <v>8.8499999999999995E-2</v>
      </c>
      <c r="J100">
        <v>6</v>
      </c>
      <c r="K100">
        <v>5</v>
      </c>
      <c r="L100" t="s">
        <v>67</v>
      </c>
      <c r="M100" t="s">
        <v>68</v>
      </c>
      <c r="N100" t="s">
        <v>69</v>
      </c>
      <c r="O100">
        <v>9</v>
      </c>
      <c r="P100" t="s">
        <v>9</v>
      </c>
      <c r="Q100">
        <v>1.9</v>
      </c>
      <c r="R100" s="1" t="str">
        <f t="shared" si="2"/>
        <v>II</v>
      </c>
    </row>
    <row r="101" spans="1:18">
      <c r="A101">
        <v>3644</v>
      </c>
      <c r="B101" t="s">
        <v>33</v>
      </c>
      <c r="C101">
        <v>0.47</v>
      </c>
      <c r="D101">
        <v>0.34499999999999997</v>
      </c>
      <c r="E101">
        <v>0.12</v>
      </c>
      <c r="F101">
        <v>0.36849999999999999</v>
      </c>
      <c r="G101">
        <v>0.1525</v>
      </c>
      <c r="H101">
        <v>6.1499999999999999E-2</v>
      </c>
      <c r="I101">
        <v>0.125</v>
      </c>
      <c r="J101">
        <v>8</v>
      </c>
      <c r="K101">
        <v>6</v>
      </c>
      <c r="L101" t="s">
        <v>46</v>
      </c>
      <c r="M101" t="s">
        <v>47</v>
      </c>
      <c r="N101" t="s">
        <v>48</v>
      </c>
      <c r="O101">
        <v>1</v>
      </c>
      <c r="P101" t="s">
        <v>4</v>
      </c>
      <c r="Q101">
        <v>22.1</v>
      </c>
      <c r="R101" s="1" t="str">
        <f t="shared" si="2"/>
        <v>II</v>
      </c>
    </row>
    <row r="102" spans="1:18">
      <c r="A102">
        <v>1587</v>
      </c>
      <c r="B102" t="s">
        <v>33</v>
      </c>
      <c r="C102">
        <v>0.51500000000000001</v>
      </c>
      <c r="D102">
        <v>0.35</v>
      </c>
      <c r="E102">
        <v>0.105</v>
      </c>
      <c r="F102">
        <v>0.47449999999999998</v>
      </c>
      <c r="G102">
        <v>0.21299999999999999</v>
      </c>
      <c r="H102">
        <v>0.123</v>
      </c>
      <c r="I102">
        <v>0.1275</v>
      </c>
      <c r="J102">
        <v>10</v>
      </c>
      <c r="K102">
        <v>7</v>
      </c>
      <c r="L102" t="s">
        <v>62</v>
      </c>
      <c r="M102" t="s">
        <v>63</v>
      </c>
      <c r="N102" t="s">
        <v>64</v>
      </c>
      <c r="O102">
        <v>5</v>
      </c>
      <c r="P102" t="s">
        <v>12</v>
      </c>
      <c r="Q102">
        <v>12.8</v>
      </c>
      <c r="R102" s="1" t="str">
        <f t="shared" si="2"/>
        <v>II</v>
      </c>
    </row>
    <row r="103" spans="1:18">
      <c r="A103">
        <v>637</v>
      </c>
      <c r="B103" t="s">
        <v>33</v>
      </c>
      <c r="C103">
        <v>0.38</v>
      </c>
      <c r="D103">
        <v>0.23499999999999999</v>
      </c>
      <c r="E103">
        <v>0.1</v>
      </c>
      <c r="F103">
        <v>0.25800000000000001</v>
      </c>
      <c r="G103">
        <v>0.1055</v>
      </c>
      <c r="H103">
        <v>5.3999999999999999E-2</v>
      </c>
      <c r="I103">
        <v>0.08</v>
      </c>
      <c r="J103">
        <v>7</v>
      </c>
      <c r="K103">
        <v>14</v>
      </c>
      <c r="L103" t="s">
        <v>72</v>
      </c>
      <c r="M103" t="s">
        <v>73</v>
      </c>
      <c r="N103" t="s">
        <v>74</v>
      </c>
      <c r="O103">
        <v>3</v>
      </c>
      <c r="P103" t="s">
        <v>10</v>
      </c>
      <c r="Q103">
        <v>3.6</v>
      </c>
      <c r="R103" s="1" t="str">
        <f t="shared" si="2"/>
        <v>II</v>
      </c>
    </row>
    <row r="104" spans="1:18">
      <c r="A104">
        <v>4036</v>
      </c>
      <c r="B104" t="s">
        <v>33</v>
      </c>
      <c r="C104">
        <v>0.52</v>
      </c>
      <c r="D104">
        <v>0.41</v>
      </c>
      <c r="E104">
        <v>0.14000000000000001</v>
      </c>
      <c r="F104">
        <v>0.59950000000000003</v>
      </c>
      <c r="G104">
        <v>0.24199999999999999</v>
      </c>
      <c r="H104">
        <v>0.13750000000000001</v>
      </c>
      <c r="I104">
        <v>0.182</v>
      </c>
      <c r="J104">
        <v>11</v>
      </c>
      <c r="K104">
        <v>5</v>
      </c>
      <c r="L104" t="s">
        <v>67</v>
      </c>
      <c r="M104" t="s">
        <v>68</v>
      </c>
      <c r="N104" t="s">
        <v>69</v>
      </c>
      <c r="O104">
        <v>3</v>
      </c>
      <c r="P104" t="s">
        <v>10</v>
      </c>
      <c r="Q104">
        <v>3.6</v>
      </c>
      <c r="R104" s="1" t="str">
        <f t="shared" si="2"/>
        <v>II</v>
      </c>
    </row>
    <row r="105" spans="1:18">
      <c r="A105">
        <v>3278</v>
      </c>
      <c r="B105" t="s">
        <v>33</v>
      </c>
      <c r="C105">
        <v>0.46500000000000002</v>
      </c>
      <c r="D105">
        <v>0.39</v>
      </c>
      <c r="E105">
        <v>0.14000000000000001</v>
      </c>
      <c r="F105">
        <v>0.55549999999999999</v>
      </c>
      <c r="G105">
        <v>0.21299999999999999</v>
      </c>
      <c r="H105">
        <v>0.1075</v>
      </c>
      <c r="I105">
        <v>0.215</v>
      </c>
      <c r="J105">
        <v>15</v>
      </c>
      <c r="K105">
        <v>7</v>
      </c>
      <c r="L105" t="s">
        <v>62</v>
      </c>
      <c r="M105" t="s">
        <v>63</v>
      </c>
      <c r="N105" t="s">
        <v>64</v>
      </c>
      <c r="O105">
        <v>6</v>
      </c>
      <c r="P105" t="s">
        <v>7</v>
      </c>
      <c r="Q105">
        <v>14.1</v>
      </c>
      <c r="R105" s="1" t="str">
        <f t="shared" si="2"/>
        <v>II</v>
      </c>
    </row>
    <row r="106" spans="1:18">
      <c r="A106">
        <v>509</v>
      </c>
      <c r="B106" t="s">
        <v>33</v>
      </c>
      <c r="C106">
        <v>0.56000000000000005</v>
      </c>
      <c r="D106">
        <v>0.435</v>
      </c>
      <c r="E106">
        <v>0.18</v>
      </c>
      <c r="F106">
        <v>0.88900000000000001</v>
      </c>
      <c r="G106">
        <v>0.36</v>
      </c>
      <c r="H106">
        <v>0.20399999999999999</v>
      </c>
      <c r="I106">
        <v>0.25</v>
      </c>
      <c r="J106">
        <v>11</v>
      </c>
      <c r="K106">
        <v>5</v>
      </c>
      <c r="L106" t="s">
        <v>67</v>
      </c>
      <c r="M106" t="s">
        <v>68</v>
      </c>
      <c r="N106" t="s">
        <v>69</v>
      </c>
      <c r="O106">
        <v>9</v>
      </c>
      <c r="P106" t="s">
        <v>9</v>
      </c>
      <c r="Q106">
        <v>1.9</v>
      </c>
      <c r="R106" s="1" t="str">
        <f t="shared" si="2"/>
        <v>II</v>
      </c>
    </row>
    <row r="107" spans="1:18">
      <c r="A107">
        <v>20</v>
      </c>
      <c r="B107" t="s">
        <v>33</v>
      </c>
      <c r="C107">
        <v>0.45</v>
      </c>
      <c r="D107">
        <v>0.32</v>
      </c>
      <c r="E107">
        <v>0.1</v>
      </c>
      <c r="F107">
        <v>0.38100000000000001</v>
      </c>
      <c r="G107">
        <v>0.17050000000000001</v>
      </c>
      <c r="H107">
        <v>7.4999999999999997E-2</v>
      </c>
      <c r="I107">
        <v>0.115</v>
      </c>
      <c r="J107">
        <v>9</v>
      </c>
      <c r="K107">
        <v>4</v>
      </c>
      <c r="L107" t="s">
        <v>40</v>
      </c>
      <c r="M107" t="s">
        <v>41</v>
      </c>
      <c r="N107" t="s">
        <v>42</v>
      </c>
      <c r="O107">
        <v>8</v>
      </c>
      <c r="P107" t="s">
        <v>13</v>
      </c>
      <c r="Q107">
        <v>12.3</v>
      </c>
      <c r="R107" s="1" t="str">
        <f t="shared" si="2"/>
        <v>II</v>
      </c>
    </row>
    <row r="108" spans="1:18">
      <c r="A108">
        <v>2824</v>
      </c>
      <c r="B108" t="s">
        <v>33</v>
      </c>
      <c r="C108">
        <v>0.45500000000000002</v>
      </c>
      <c r="D108">
        <v>0.35</v>
      </c>
      <c r="E108">
        <v>0.105</v>
      </c>
      <c r="F108">
        <v>0.44450000000000001</v>
      </c>
      <c r="G108">
        <v>0.21299999999999999</v>
      </c>
      <c r="H108">
        <v>0.107</v>
      </c>
      <c r="I108">
        <v>0.1115</v>
      </c>
      <c r="J108">
        <v>7</v>
      </c>
      <c r="K108">
        <v>10</v>
      </c>
      <c r="L108" t="s">
        <v>37</v>
      </c>
      <c r="M108" t="s">
        <v>38</v>
      </c>
      <c r="N108" t="s">
        <v>39</v>
      </c>
      <c r="O108">
        <v>10</v>
      </c>
      <c r="P108" t="s">
        <v>11</v>
      </c>
      <c r="Q108">
        <v>24.1</v>
      </c>
      <c r="R108" s="1" t="str">
        <f t="shared" si="2"/>
        <v>II</v>
      </c>
    </row>
    <row r="109" spans="1:18">
      <c r="A109">
        <v>804</v>
      </c>
      <c r="B109" t="s">
        <v>33</v>
      </c>
      <c r="C109">
        <v>0.37</v>
      </c>
      <c r="D109">
        <v>0.27500000000000002</v>
      </c>
      <c r="E109">
        <v>0.1</v>
      </c>
      <c r="F109">
        <v>0.22</v>
      </c>
      <c r="G109">
        <v>9.4E-2</v>
      </c>
      <c r="H109">
        <v>4.4999999999999998E-2</v>
      </c>
      <c r="I109">
        <v>6.5000000000000002E-2</v>
      </c>
      <c r="J109">
        <v>7</v>
      </c>
      <c r="K109">
        <v>10</v>
      </c>
      <c r="L109" t="s">
        <v>37</v>
      </c>
      <c r="M109" t="s">
        <v>38</v>
      </c>
      <c r="N109" t="s">
        <v>39</v>
      </c>
      <c r="O109">
        <v>10</v>
      </c>
      <c r="P109" t="s">
        <v>11</v>
      </c>
      <c r="Q109">
        <v>24.1</v>
      </c>
      <c r="R109" s="1" t="str">
        <f t="shared" si="2"/>
        <v>II</v>
      </c>
    </row>
    <row r="110" spans="1:18">
      <c r="A110">
        <v>2478</v>
      </c>
      <c r="B110" t="s">
        <v>33</v>
      </c>
      <c r="C110">
        <v>0.56999999999999995</v>
      </c>
      <c r="D110">
        <v>0.42</v>
      </c>
      <c r="E110">
        <v>0.155</v>
      </c>
      <c r="F110">
        <v>1.008</v>
      </c>
      <c r="G110">
        <v>0.377</v>
      </c>
      <c r="H110">
        <v>0.193</v>
      </c>
      <c r="I110">
        <v>0.34</v>
      </c>
      <c r="J110">
        <v>13</v>
      </c>
      <c r="K110">
        <v>12</v>
      </c>
      <c r="L110" t="s">
        <v>58</v>
      </c>
      <c r="M110" t="s">
        <v>59</v>
      </c>
      <c r="N110" t="s">
        <v>45</v>
      </c>
      <c r="O110">
        <v>10</v>
      </c>
      <c r="P110" t="s">
        <v>11</v>
      </c>
      <c r="Q110">
        <v>24.1</v>
      </c>
      <c r="R110" s="1" t="str">
        <f t="shared" si="2"/>
        <v>II</v>
      </c>
    </row>
    <row r="111" spans="1:18">
      <c r="A111">
        <v>2011</v>
      </c>
      <c r="B111" t="s">
        <v>33</v>
      </c>
      <c r="C111">
        <v>0.435</v>
      </c>
      <c r="D111">
        <v>0.32500000000000001</v>
      </c>
      <c r="E111">
        <v>0.12</v>
      </c>
      <c r="F111">
        <v>0.34599999999999997</v>
      </c>
      <c r="G111">
        <v>0.159</v>
      </c>
      <c r="H111">
        <v>8.4000000000000005E-2</v>
      </c>
      <c r="I111">
        <v>9.5000000000000001E-2</v>
      </c>
      <c r="J111">
        <v>7</v>
      </c>
      <c r="K111">
        <v>5</v>
      </c>
      <c r="L111" t="s">
        <v>67</v>
      </c>
      <c r="M111" t="s">
        <v>68</v>
      </c>
      <c r="N111" t="s">
        <v>69</v>
      </c>
      <c r="O111">
        <v>8</v>
      </c>
      <c r="P111" t="s">
        <v>13</v>
      </c>
      <c r="Q111">
        <v>12.3</v>
      </c>
      <c r="R111" s="1" t="str">
        <f t="shared" si="2"/>
        <v>II</v>
      </c>
    </row>
    <row r="112" spans="1:18">
      <c r="A112">
        <v>3139</v>
      </c>
      <c r="B112" t="s">
        <v>33</v>
      </c>
      <c r="C112">
        <v>0.51</v>
      </c>
      <c r="D112">
        <v>0.4</v>
      </c>
      <c r="E112">
        <v>0.14000000000000001</v>
      </c>
      <c r="F112">
        <v>0.6905</v>
      </c>
      <c r="G112">
        <v>0.25900000000000001</v>
      </c>
      <c r="H112">
        <v>0.151</v>
      </c>
      <c r="I112">
        <v>0.23</v>
      </c>
      <c r="J112">
        <v>10</v>
      </c>
      <c r="K112">
        <v>11</v>
      </c>
      <c r="L112" t="s">
        <v>65</v>
      </c>
      <c r="M112" t="s">
        <v>66</v>
      </c>
      <c r="N112" t="s">
        <v>45</v>
      </c>
      <c r="O112">
        <v>2</v>
      </c>
      <c r="P112" t="s">
        <v>5</v>
      </c>
      <c r="Q112">
        <v>18</v>
      </c>
      <c r="R112" s="1" t="str">
        <f t="shared" si="2"/>
        <v>II</v>
      </c>
    </row>
    <row r="113" spans="1:18">
      <c r="A113">
        <v>19</v>
      </c>
      <c r="B113" t="s">
        <v>33</v>
      </c>
      <c r="C113">
        <v>0.36499999999999999</v>
      </c>
      <c r="D113">
        <v>0.29499999999999998</v>
      </c>
      <c r="E113">
        <v>0.08</v>
      </c>
      <c r="F113">
        <v>0.2555</v>
      </c>
      <c r="G113">
        <v>9.7000000000000003E-2</v>
      </c>
      <c r="H113">
        <v>4.2999999999999997E-2</v>
      </c>
      <c r="I113">
        <v>0.1</v>
      </c>
      <c r="J113">
        <v>7</v>
      </c>
      <c r="K113">
        <v>5</v>
      </c>
      <c r="L113" t="s">
        <v>67</v>
      </c>
      <c r="M113" t="s">
        <v>68</v>
      </c>
      <c r="N113" t="s">
        <v>69</v>
      </c>
      <c r="O113">
        <v>4</v>
      </c>
      <c r="P113" t="s">
        <v>8</v>
      </c>
      <c r="Q113">
        <v>6.1</v>
      </c>
      <c r="R113" s="1" t="str">
        <f t="shared" si="2"/>
        <v>II</v>
      </c>
    </row>
    <row r="114" spans="1:18">
      <c r="A114">
        <v>3917</v>
      </c>
      <c r="B114" t="s">
        <v>33</v>
      </c>
      <c r="C114">
        <v>0.52</v>
      </c>
      <c r="D114">
        <v>0.41</v>
      </c>
      <c r="E114">
        <v>0.16</v>
      </c>
      <c r="F114">
        <v>0.71199999999999997</v>
      </c>
      <c r="G114">
        <v>0.28449999999999998</v>
      </c>
      <c r="H114">
        <v>0.153</v>
      </c>
      <c r="I114">
        <v>0.22500000000000001</v>
      </c>
      <c r="J114">
        <v>10</v>
      </c>
      <c r="K114">
        <v>6</v>
      </c>
      <c r="L114" t="s">
        <v>46</v>
      </c>
      <c r="M114" t="s">
        <v>47</v>
      </c>
      <c r="N114" t="s">
        <v>48</v>
      </c>
      <c r="O114">
        <v>5</v>
      </c>
      <c r="P114" t="s">
        <v>12</v>
      </c>
      <c r="Q114">
        <v>12.8</v>
      </c>
      <c r="R114" s="1" t="str">
        <f t="shared" si="2"/>
        <v>II</v>
      </c>
    </row>
    <row r="115" spans="1:18">
      <c r="A115">
        <v>2247</v>
      </c>
      <c r="B115" t="s">
        <v>33</v>
      </c>
      <c r="C115">
        <v>0.38</v>
      </c>
      <c r="D115">
        <v>0.32500000000000001</v>
      </c>
      <c r="E115">
        <v>0.11</v>
      </c>
      <c r="F115">
        <v>0.3105</v>
      </c>
      <c r="G115">
        <v>0.12</v>
      </c>
      <c r="H115">
        <v>7.3999999999999996E-2</v>
      </c>
      <c r="I115">
        <v>0.105</v>
      </c>
      <c r="J115">
        <v>10</v>
      </c>
      <c r="K115">
        <v>13</v>
      </c>
      <c r="L115" t="s">
        <v>43</v>
      </c>
      <c r="M115" t="s">
        <v>44</v>
      </c>
      <c r="N115" t="s">
        <v>45</v>
      </c>
      <c r="O115">
        <v>5</v>
      </c>
      <c r="P115" t="s">
        <v>12</v>
      </c>
      <c r="Q115">
        <v>12.8</v>
      </c>
      <c r="R115" s="1" t="str">
        <f t="shared" si="2"/>
        <v>II</v>
      </c>
    </row>
    <row r="116" spans="1:18">
      <c r="A116">
        <v>667</v>
      </c>
      <c r="B116" t="s">
        <v>33</v>
      </c>
      <c r="C116">
        <v>0.45500000000000002</v>
      </c>
      <c r="D116">
        <v>0.35</v>
      </c>
      <c r="E116">
        <v>0.12</v>
      </c>
      <c r="F116">
        <v>0.48349999999999999</v>
      </c>
      <c r="G116">
        <v>0.18149999999999999</v>
      </c>
      <c r="H116">
        <v>0.14399999999999999</v>
      </c>
      <c r="I116">
        <v>0.16</v>
      </c>
      <c r="J116">
        <v>11</v>
      </c>
      <c r="K116">
        <v>3</v>
      </c>
      <c r="L116" t="s">
        <v>52</v>
      </c>
      <c r="M116" t="s">
        <v>53</v>
      </c>
      <c r="N116" t="s">
        <v>54</v>
      </c>
      <c r="O116">
        <v>5</v>
      </c>
      <c r="P116" t="s">
        <v>12</v>
      </c>
      <c r="Q116">
        <v>12.8</v>
      </c>
      <c r="R116" s="1" t="str">
        <f t="shared" si="2"/>
        <v>II</v>
      </c>
    </row>
    <row r="117" spans="1:18">
      <c r="A117">
        <v>1597</v>
      </c>
      <c r="B117" t="s">
        <v>33</v>
      </c>
      <c r="C117">
        <v>0.53</v>
      </c>
      <c r="D117">
        <v>0.42</v>
      </c>
      <c r="E117">
        <v>0.12</v>
      </c>
      <c r="F117">
        <v>0.59650000000000003</v>
      </c>
      <c r="G117">
        <v>0.2555</v>
      </c>
      <c r="H117">
        <v>0.14099999999999999</v>
      </c>
      <c r="I117">
        <v>0.17699999999999999</v>
      </c>
      <c r="J117">
        <v>7</v>
      </c>
      <c r="K117">
        <v>1</v>
      </c>
      <c r="L117" t="s">
        <v>70</v>
      </c>
      <c r="M117" t="s">
        <v>71</v>
      </c>
      <c r="N117" t="s">
        <v>45</v>
      </c>
      <c r="O117">
        <v>1</v>
      </c>
      <c r="P117" t="s">
        <v>4</v>
      </c>
      <c r="Q117">
        <v>22.1</v>
      </c>
      <c r="R117" s="1" t="str">
        <f t="shared" si="2"/>
        <v>II</v>
      </c>
    </row>
    <row r="118" spans="1:18">
      <c r="A118">
        <v>535</v>
      </c>
      <c r="B118" t="s">
        <v>33</v>
      </c>
      <c r="C118">
        <v>0.47</v>
      </c>
      <c r="D118">
        <v>0.37</v>
      </c>
      <c r="E118">
        <v>0.14000000000000001</v>
      </c>
      <c r="F118">
        <v>0.4985</v>
      </c>
      <c r="G118">
        <v>0.20949999999999999</v>
      </c>
      <c r="H118">
        <v>0.1225</v>
      </c>
      <c r="I118">
        <v>0.14499999999999999</v>
      </c>
      <c r="J118">
        <v>10</v>
      </c>
      <c r="K118">
        <v>7</v>
      </c>
      <c r="L118" t="s">
        <v>62</v>
      </c>
      <c r="M118" t="s">
        <v>63</v>
      </c>
      <c r="N118" t="s">
        <v>64</v>
      </c>
      <c r="O118">
        <v>5</v>
      </c>
      <c r="P118" t="s">
        <v>12</v>
      </c>
      <c r="Q118">
        <v>12.8</v>
      </c>
      <c r="R118" s="1" t="str">
        <f t="shared" si="2"/>
        <v>II</v>
      </c>
    </row>
    <row r="119" spans="1:18">
      <c r="A119">
        <v>3720</v>
      </c>
      <c r="B119" t="s">
        <v>33</v>
      </c>
      <c r="C119">
        <v>0.38</v>
      </c>
      <c r="D119">
        <v>0.28000000000000003</v>
      </c>
      <c r="E119">
        <v>9.5000000000000001E-2</v>
      </c>
      <c r="F119">
        <v>0.28849999999999998</v>
      </c>
      <c r="G119">
        <v>0.16500000000000001</v>
      </c>
      <c r="H119">
        <v>4.3499999999999997E-2</v>
      </c>
      <c r="I119">
        <v>6.7000000000000004E-2</v>
      </c>
      <c r="J119">
        <v>7</v>
      </c>
      <c r="K119">
        <v>13</v>
      </c>
      <c r="L119" t="s">
        <v>43</v>
      </c>
      <c r="M119" t="s">
        <v>44</v>
      </c>
      <c r="N119" t="s">
        <v>45</v>
      </c>
      <c r="O119">
        <v>2</v>
      </c>
      <c r="P119" t="s">
        <v>5</v>
      </c>
      <c r="Q119">
        <v>18</v>
      </c>
      <c r="R119" s="1" t="str">
        <f t="shared" si="2"/>
        <v>II</v>
      </c>
    </row>
    <row r="120" spans="1:18">
      <c r="A120">
        <v>3366</v>
      </c>
      <c r="B120" t="s">
        <v>33</v>
      </c>
      <c r="C120">
        <v>0.44</v>
      </c>
      <c r="D120">
        <v>0.31</v>
      </c>
      <c r="E120">
        <v>0.115</v>
      </c>
      <c r="F120">
        <v>0.36249999999999999</v>
      </c>
      <c r="G120">
        <v>0.13400000000000001</v>
      </c>
      <c r="H120">
        <v>8.2000000000000003E-2</v>
      </c>
      <c r="I120">
        <v>0.12</v>
      </c>
      <c r="J120">
        <v>11</v>
      </c>
      <c r="K120">
        <v>2</v>
      </c>
      <c r="L120" t="s">
        <v>49</v>
      </c>
      <c r="M120" t="s">
        <v>50</v>
      </c>
      <c r="N120" t="s">
        <v>51</v>
      </c>
      <c r="O120">
        <v>8</v>
      </c>
      <c r="P120" t="s">
        <v>13</v>
      </c>
      <c r="Q120">
        <v>12.3</v>
      </c>
      <c r="R120" s="1" t="str">
        <f t="shared" si="2"/>
        <v>II</v>
      </c>
    </row>
    <row r="121" spans="1:18">
      <c r="A121">
        <v>3633</v>
      </c>
      <c r="B121" t="s">
        <v>33</v>
      </c>
      <c r="C121">
        <v>0.3</v>
      </c>
      <c r="D121">
        <v>0.22500000000000001</v>
      </c>
      <c r="E121">
        <v>7.4999999999999997E-2</v>
      </c>
      <c r="F121">
        <v>0.13450000000000001</v>
      </c>
      <c r="G121">
        <v>5.7000000000000002E-2</v>
      </c>
      <c r="H121">
        <v>2.8000000000000001E-2</v>
      </c>
      <c r="I121">
        <v>4.3999999999999997E-2</v>
      </c>
      <c r="J121">
        <v>5</v>
      </c>
      <c r="K121">
        <v>5</v>
      </c>
      <c r="L121" t="s">
        <v>67</v>
      </c>
      <c r="M121" t="s">
        <v>68</v>
      </c>
      <c r="N121" t="s">
        <v>69</v>
      </c>
      <c r="O121">
        <v>5</v>
      </c>
      <c r="P121" t="s">
        <v>12</v>
      </c>
      <c r="Q121">
        <v>12.8</v>
      </c>
      <c r="R121" s="1" t="str">
        <f t="shared" si="2"/>
        <v>II</v>
      </c>
    </row>
    <row r="122" spans="1:18">
      <c r="A122">
        <v>4076</v>
      </c>
      <c r="B122" t="s">
        <v>33</v>
      </c>
      <c r="C122">
        <v>0.54500000000000004</v>
      </c>
      <c r="D122">
        <v>0.45</v>
      </c>
      <c r="E122">
        <v>0.15</v>
      </c>
      <c r="F122">
        <v>0.78049999999999997</v>
      </c>
      <c r="G122">
        <v>0.3795</v>
      </c>
      <c r="H122">
        <v>0.16250000000000001</v>
      </c>
      <c r="I122">
        <v>0.216</v>
      </c>
      <c r="J122">
        <v>8</v>
      </c>
      <c r="K122">
        <v>9</v>
      </c>
      <c r="L122" t="s">
        <v>34</v>
      </c>
      <c r="M122" t="s">
        <v>35</v>
      </c>
      <c r="N122" t="s">
        <v>36</v>
      </c>
      <c r="O122">
        <v>7</v>
      </c>
      <c r="P122" t="s">
        <v>6</v>
      </c>
      <c r="Q122">
        <v>2.5</v>
      </c>
      <c r="R122" s="1" t="str">
        <f t="shared" si="2"/>
        <v>II</v>
      </c>
    </row>
    <row r="123" spans="1:18">
      <c r="A123">
        <v>3774</v>
      </c>
      <c r="B123" t="s">
        <v>33</v>
      </c>
      <c r="C123">
        <v>0.57499999999999996</v>
      </c>
      <c r="D123">
        <v>0.46</v>
      </c>
      <c r="E123">
        <v>0.15</v>
      </c>
      <c r="F123">
        <v>0.92700000000000005</v>
      </c>
      <c r="G123">
        <v>0.33300000000000002</v>
      </c>
      <c r="H123">
        <v>0.20699999999999999</v>
      </c>
      <c r="I123">
        <v>0.29849999999999999</v>
      </c>
      <c r="J123">
        <v>9</v>
      </c>
      <c r="K123">
        <v>5</v>
      </c>
      <c r="L123" t="s">
        <v>67</v>
      </c>
      <c r="M123" t="s">
        <v>68</v>
      </c>
      <c r="N123" t="s">
        <v>69</v>
      </c>
      <c r="O123">
        <v>1</v>
      </c>
      <c r="P123" t="s">
        <v>4</v>
      </c>
      <c r="Q123">
        <v>22.1</v>
      </c>
      <c r="R123" s="1" t="str">
        <f t="shared" si="2"/>
        <v>II</v>
      </c>
    </row>
    <row r="124" spans="1:18">
      <c r="A124">
        <v>281</v>
      </c>
      <c r="B124" t="s">
        <v>33</v>
      </c>
      <c r="C124">
        <v>0.53500000000000003</v>
      </c>
      <c r="D124">
        <v>0.41499999999999998</v>
      </c>
      <c r="E124">
        <v>0.185</v>
      </c>
      <c r="F124">
        <v>0.84150000000000003</v>
      </c>
      <c r="G124">
        <v>0.314</v>
      </c>
      <c r="H124">
        <v>0.1585</v>
      </c>
      <c r="I124">
        <v>0.3</v>
      </c>
      <c r="J124">
        <v>15</v>
      </c>
      <c r="K124">
        <v>9</v>
      </c>
      <c r="L124" t="s">
        <v>34</v>
      </c>
      <c r="M124" t="s">
        <v>35</v>
      </c>
      <c r="N124" t="s">
        <v>36</v>
      </c>
      <c r="O124">
        <v>5</v>
      </c>
      <c r="P124" t="s">
        <v>12</v>
      </c>
      <c r="Q124">
        <v>12.8</v>
      </c>
      <c r="R124" s="1" t="str">
        <f t="shared" si="2"/>
        <v>II</v>
      </c>
    </row>
    <row r="125" spans="1:18">
      <c r="A125">
        <v>287</v>
      </c>
      <c r="B125" t="s">
        <v>33</v>
      </c>
      <c r="C125">
        <v>0.53</v>
      </c>
      <c r="D125">
        <v>0.435</v>
      </c>
      <c r="E125">
        <v>0.155</v>
      </c>
      <c r="F125">
        <v>0.69899999999999995</v>
      </c>
      <c r="G125">
        <v>0.28799999999999998</v>
      </c>
      <c r="H125">
        <v>0.1595</v>
      </c>
      <c r="I125">
        <v>0.20499999999999999</v>
      </c>
      <c r="J125">
        <v>10</v>
      </c>
      <c r="K125">
        <v>12</v>
      </c>
      <c r="L125" t="s">
        <v>58</v>
      </c>
      <c r="M125" t="s">
        <v>59</v>
      </c>
      <c r="N125" t="s">
        <v>45</v>
      </c>
      <c r="O125">
        <v>9</v>
      </c>
      <c r="P125" t="s">
        <v>9</v>
      </c>
      <c r="Q125">
        <v>1.9</v>
      </c>
      <c r="R125" s="1" t="str">
        <f t="shared" si="2"/>
        <v>II</v>
      </c>
    </row>
    <row r="126" spans="1:18">
      <c r="A126">
        <v>2515</v>
      </c>
      <c r="B126" t="s">
        <v>33</v>
      </c>
      <c r="C126">
        <v>0.47</v>
      </c>
      <c r="D126">
        <v>0.37</v>
      </c>
      <c r="E126">
        <v>0.11</v>
      </c>
      <c r="F126">
        <v>0.55549999999999999</v>
      </c>
      <c r="G126">
        <v>0.25</v>
      </c>
      <c r="H126">
        <v>0.115</v>
      </c>
      <c r="I126">
        <v>0.16300000000000001</v>
      </c>
      <c r="J126">
        <v>8</v>
      </c>
      <c r="K126">
        <v>2</v>
      </c>
      <c r="L126" t="s">
        <v>49</v>
      </c>
      <c r="M126" t="s">
        <v>50</v>
      </c>
      <c r="N126" t="s">
        <v>51</v>
      </c>
      <c r="O126">
        <v>9</v>
      </c>
      <c r="P126" t="s">
        <v>9</v>
      </c>
      <c r="Q126">
        <v>1.9</v>
      </c>
      <c r="R126" s="1" t="str">
        <f t="shared" si="2"/>
        <v>II</v>
      </c>
    </row>
    <row r="127" spans="1:18">
      <c r="A127">
        <v>3817</v>
      </c>
      <c r="B127" t="s">
        <v>33</v>
      </c>
      <c r="C127">
        <v>0.46500000000000002</v>
      </c>
      <c r="D127">
        <v>0.35499999999999998</v>
      </c>
      <c r="E127">
        <v>0.12</v>
      </c>
      <c r="F127">
        <v>0.53149999999999997</v>
      </c>
      <c r="G127">
        <v>0.27250000000000002</v>
      </c>
      <c r="H127">
        <v>9.7000000000000003E-2</v>
      </c>
      <c r="I127">
        <v>0.13950000000000001</v>
      </c>
      <c r="J127">
        <v>8</v>
      </c>
      <c r="K127">
        <v>2</v>
      </c>
      <c r="L127" t="s">
        <v>49</v>
      </c>
      <c r="M127" t="s">
        <v>50</v>
      </c>
      <c r="N127" t="s">
        <v>51</v>
      </c>
      <c r="O127">
        <v>9</v>
      </c>
      <c r="P127" t="s">
        <v>9</v>
      </c>
      <c r="Q127">
        <v>1.9</v>
      </c>
      <c r="R127" s="1" t="str">
        <f t="shared" si="2"/>
        <v>II</v>
      </c>
    </row>
    <row r="128" spans="1:18">
      <c r="A128">
        <v>2766</v>
      </c>
      <c r="B128" t="s">
        <v>33</v>
      </c>
      <c r="C128">
        <v>0.55500000000000005</v>
      </c>
      <c r="D128">
        <v>0.435</v>
      </c>
      <c r="E128">
        <v>0.14499999999999999</v>
      </c>
      <c r="F128">
        <v>0.69750000000000001</v>
      </c>
      <c r="G128">
        <v>0.26200000000000001</v>
      </c>
      <c r="H128">
        <v>0.1575</v>
      </c>
      <c r="I128">
        <v>0.24</v>
      </c>
      <c r="J128">
        <v>11</v>
      </c>
      <c r="K128">
        <v>12</v>
      </c>
      <c r="L128" t="s">
        <v>58</v>
      </c>
      <c r="M128" t="s">
        <v>59</v>
      </c>
      <c r="N128" t="s">
        <v>45</v>
      </c>
      <c r="O128">
        <v>10</v>
      </c>
      <c r="P128" t="s">
        <v>11</v>
      </c>
      <c r="Q128">
        <v>24.1</v>
      </c>
      <c r="R128" s="1" t="str">
        <f t="shared" si="2"/>
        <v>II</v>
      </c>
    </row>
    <row r="129" spans="1:18">
      <c r="A129">
        <v>694</v>
      </c>
      <c r="B129" t="s">
        <v>33</v>
      </c>
      <c r="C129">
        <v>0.38</v>
      </c>
      <c r="D129">
        <v>0.28999999999999998</v>
      </c>
      <c r="E129">
        <v>0.12</v>
      </c>
      <c r="F129">
        <v>0.28299999999999997</v>
      </c>
      <c r="G129">
        <v>0.11749999999999999</v>
      </c>
      <c r="H129">
        <v>6.5500000000000003E-2</v>
      </c>
      <c r="I129">
        <v>8.5000000000000006E-2</v>
      </c>
      <c r="J129">
        <v>9</v>
      </c>
      <c r="K129">
        <v>13</v>
      </c>
      <c r="L129" t="s">
        <v>43</v>
      </c>
      <c r="M129" t="s">
        <v>44</v>
      </c>
      <c r="N129" t="s">
        <v>45</v>
      </c>
      <c r="O129">
        <v>2</v>
      </c>
      <c r="P129" t="s">
        <v>5</v>
      </c>
      <c r="Q129">
        <v>18</v>
      </c>
      <c r="R129" s="1" t="str">
        <f t="shared" si="2"/>
        <v>II</v>
      </c>
    </row>
    <row r="130" spans="1:18">
      <c r="A130">
        <v>2282</v>
      </c>
      <c r="B130" t="s">
        <v>33</v>
      </c>
      <c r="C130">
        <v>0.48499999999999999</v>
      </c>
      <c r="D130">
        <v>0.41499999999999998</v>
      </c>
      <c r="E130">
        <v>0.14000000000000001</v>
      </c>
      <c r="F130">
        <v>0.57050000000000001</v>
      </c>
      <c r="G130">
        <v>0.25</v>
      </c>
      <c r="H130">
        <v>0.13400000000000001</v>
      </c>
      <c r="I130">
        <v>0.185</v>
      </c>
      <c r="J130">
        <v>8</v>
      </c>
      <c r="K130">
        <v>14</v>
      </c>
      <c r="L130" t="s">
        <v>72</v>
      </c>
      <c r="M130" t="s">
        <v>73</v>
      </c>
      <c r="N130" t="s">
        <v>74</v>
      </c>
      <c r="O130">
        <v>5</v>
      </c>
      <c r="P130" t="s">
        <v>12</v>
      </c>
      <c r="Q130">
        <v>12.8</v>
      </c>
      <c r="R130" s="1" t="str">
        <f t="shared" si="2"/>
        <v>II</v>
      </c>
    </row>
    <row r="131" spans="1:18">
      <c r="A131">
        <v>3496</v>
      </c>
      <c r="B131" t="s">
        <v>33</v>
      </c>
      <c r="C131">
        <v>0.56000000000000005</v>
      </c>
      <c r="D131">
        <v>0.41499999999999998</v>
      </c>
      <c r="E131">
        <v>0.13</v>
      </c>
      <c r="F131">
        <v>0.76149999999999995</v>
      </c>
      <c r="G131">
        <v>0.3695</v>
      </c>
      <c r="H131">
        <v>0.17</v>
      </c>
      <c r="I131">
        <v>0.19550000000000001</v>
      </c>
      <c r="J131">
        <v>8</v>
      </c>
      <c r="K131">
        <v>13</v>
      </c>
      <c r="L131" t="s">
        <v>43</v>
      </c>
      <c r="M131" t="s">
        <v>44</v>
      </c>
      <c r="N131" t="s">
        <v>45</v>
      </c>
      <c r="O131">
        <v>9</v>
      </c>
      <c r="P131" t="s">
        <v>9</v>
      </c>
      <c r="Q131">
        <v>1.9</v>
      </c>
      <c r="R131" s="1" t="str">
        <f t="shared" si="2"/>
        <v>II</v>
      </c>
    </row>
    <row r="132" spans="1:18">
      <c r="A132">
        <v>2441</v>
      </c>
      <c r="B132" t="s">
        <v>33</v>
      </c>
      <c r="C132">
        <v>0.46500000000000002</v>
      </c>
      <c r="D132">
        <v>0.35499999999999998</v>
      </c>
      <c r="E132">
        <v>0.125</v>
      </c>
      <c r="F132">
        <v>0.52549999999999997</v>
      </c>
      <c r="G132">
        <v>0.20250000000000001</v>
      </c>
      <c r="H132">
        <v>0.13500000000000001</v>
      </c>
      <c r="I132">
        <v>0.14499999999999999</v>
      </c>
      <c r="J132">
        <v>13</v>
      </c>
      <c r="K132">
        <v>14</v>
      </c>
      <c r="L132" t="s">
        <v>72</v>
      </c>
      <c r="M132" t="s">
        <v>73</v>
      </c>
      <c r="N132" t="s">
        <v>74</v>
      </c>
      <c r="O132">
        <v>5</v>
      </c>
      <c r="P132" t="s">
        <v>12</v>
      </c>
      <c r="Q132">
        <v>12.8</v>
      </c>
      <c r="R132" s="1" t="str">
        <f t="shared" si="2"/>
        <v>II</v>
      </c>
    </row>
    <row r="133" spans="1:18">
      <c r="A133">
        <v>609</v>
      </c>
      <c r="B133" t="s">
        <v>33</v>
      </c>
      <c r="C133">
        <v>0.37</v>
      </c>
      <c r="D133">
        <v>0.28499999999999998</v>
      </c>
      <c r="E133">
        <v>0.1</v>
      </c>
      <c r="F133">
        <v>0.22800000000000001</v>
      </c>
      <c r="G133">
        <v>6.7500000000000004E-2</v>
      </c>
      <c r="H133">
        <v>6.7500000000000004E-2</v>
      </c>
      <c r="I133">
        <v>8.1000000000000003E-2</v>
      </c>
      <c r="J133">
        <v>10</v>
      </c>
      <c r="K133">
        <v>4</v>
      </c>
      <c r="L133" t="s">
        <v>40</v>
      </c>
      <c r="M133" t="s">
        <v>41</v>
      </c>
      <c r="N133" t="s">
        <v>42</v>
      </c>
      <c r="O133">
        <v>9</v>
      </c>
      <c r="P133" t="s">
        <v>9</v>
      </c>
      <c r="Q133">
        <v>1.9</v>
      </c>
      <c r="R133" s="1" t="str">
        <f t="shared" si="2"/>
        <v>II</v>
      </c>
    </row>
    <row r="134" spans="1:18">
      <c r="A134">
        <v>3768</v>
      </c>
      <c r="B134" t="s">
        <v>33</v>
      </c>
      <c r="C134">
        <v>0.55500000000000005</v>
      </c>
      <c r="D134">
        <v>0.46</v>
      </c>
      <c r="E134">
        <v>0.16</v>
      </c>
      <c r="F134">
        <v>0.86</v>
      </c>
      <c r="G134">
        <v>0.33450000000000002</v>
      </c>
      <c r="H134">
        <v>0.19350000000000001</v>
      </c>
      <c r="I134">
        <v>0.27500000000000002</v>
      </c>
      <c r="J134">
        <v>10</v>
      </c>
      <c r="K134">
        <v>5</v>
      </c>
      <c r="L134" t="s">
        <v>67</v>
      </c>
      <c r="M134" t="s">
        <v>68</v>
      </c>
      <c r="N134" t="s">
        <v>69</v>
      </c>
      <c r="O134">
        <v>8</v>
      </c>
      <c r="P134" t="s">
        <v>13</v>
      </c>
      <c r="Q134">
        <v>12.3</v>
      </c>
      <c r="R134" s="1" t="str">
        <f t="shared" si="2"/>
        <v>II</v>
      </c>
    </row>
    <row r="135" spans="1:18">
      <c r="A135">
        <v>1311</v>
      </c>
      <c r="B135" t="s">
        <v>33</v>
      </c>
      <c r="C135">
        <v>0.54500000000000004</v>
      </c>
      <c r="D135">
        <v>0.40500000000000003</v>
      </c>
      <c r="E135">
        <v>0.13500000000000001</v>
      </c>
      <c r="F135">
        <v>0.59450000000000003</v>
      </c>
      <c r="G135">
        <v>0.27</v>
      </c>
      <c r="H135">
        <v>0.11849999999999999</v>
      </c>
      <c r="I135">
        <v>0.185</v>
      </c>
      <c r="J135">
        <v>8</v>
      </c>
      <c r="K135">
        <v>3</v>
      </c>
      <c r="L135" t="s">
        <v>52</v>
      </c>
      <c r="M135" t="s">
        <v>53</v>
      </c>
      <c r="N135" t="s">
        <v>54</v>
      </c>
      <c r="O135">
        <v>4</v>
      </c>
      <c r="P135" t="s">
        <v>8</v>
      </c>
      <c r="Q135">
        <v>6.1</v>
      </c>
      <c r="R135" s="1" t="str">
        <f t="shared" si="2"/>
        <v>II</v>
      </c>
    </row>
    <row r="136" spans="1:18">
      <c r="A136">
        <v>21</v>
      </c>
      <c r="B136" t="s">
        <v>33</v>
      </c>
      <c r="C136">
        <v>0.35499999999999998</v>
      </c>
      <c r="D136">
        <v>0.28000000000000003</v>
      </c>
      <c r="E136">
        <v>9.5000000000000001E-2</v>
      </c>
      <c r="F136">
        <v>0.2455</v>
      </c>
      <c r="G136">
        <v>9.5500000000000002E-2</v>
      </c>
      <c r="H136">
        <v>6.2E-2</v>
      </c>
      <c r="I136">
        <v>7.4999999999999997E-2</v>
      </c>
      <c r="J136">
        <v>11</v>
      </c>
      <c r="K136">
        <v>9</v>
      </c>
      <c r="L136" t="s">
        <v>34</v>
      </c>
      <c r="M136" t="s">
        <v>35</v>
      </c>
      <c r="N136" t="s">
        <v>36</v>
      </c>
      <c r="O136">
        <v>4</v>
      </c>
      <c r="P136" t="s">
        <v>8</v>
      </c>
      <c r="Q136">
        <v>6.1</v>
      </c>
      <c r="R136" s="1" t="str">
        <f t="shared" si="2"/>
        <v>II</v>
      </c>
    </row>
    <row r="137" spans="1:18">
      <c r="A137">
        <v>3432</v>
      </c>
      <c r="B137" t="s">
        <v>33</v>
      </c>
      <c r="C137">
        <v>0.35</v>
      </c>
      <c r="D137">
        <v>0.26500000000000001</v>
      </c>
      <c r="E137">
        <v>9.5000000000000001E-2</v>
      </c>
      <c r="F137">
        <v>0.19900000000000001</v>
      </c>
      <c r="G137">
        <v>7.2999999999999995E-2</v>
      </c>
      <c r="H137">
        <v>4.9000000000000002E-2</v>
      </c>
      <c r="I137">
        <v>0.06</v>
      </c>
      <c r="J137">
        <v>5</v>
      </c>
      <c r="K137">
        <v>9</v>
      </c>
      <c r="L137" t="s">
        <v>34</v>
      </c>
      <c r="M137" t="s">
        <v>35</v>
      </c>
      <c r="N137" t="s">
        <v>36</v>
      </c>
      <c r="O137">
        <v>9</v>
      </c>
      <c r="P137" t="s">
        <v>9</v>
      </c>
      <c r="Q137">
        <v>1.9</v>
      </c>
      <c r="R137" s="1" t="str">
        <f t="shared" si="2"/>
        <v>II</v>
      </c>
    </row>
    <row r="138" spans="1:18">
      <c r="A138">
        <v>3816</v>
      </c>
      <c r="B138" t="s">
        <v>33</v>
      </c>
      <c r="C138">
        <v>0.46</v>
      </c>
      <c r="D138">
        <v>0.34</v>
      </c>
      <c r="E138">
        <v>0.1</v>
      </c>
      <c r="F138">
        <v>0.38600000000000001</v>
      </c>
      <c r="G138">
        <v>0.18049999999999999</v>
      </c>
      <c r="H138">
        <v>8.7499999999999994E-2</v>
      </c>
      <c r="I138">
        <v>9.6500000000000002E-2</v>
      </c>
      <c r="J138">
        <v>8</v>
      </c>
      <c r="K138">
        <v>1</v>
      </c>
      <c r="L138" t="s">
        <v>70</v>
      </c>
      <c r="M138" t="s">
        <v>71</v>
      </c>
      <c r="N138" t="s">
        <v>45</v>
      </c>
      <c r="O138">
        <v>1</v>
      </c>
      <c r="P138" t="s">
        <v>4</v>
      </c>
      <c r="Q138">
        <v>22.1</v>
      </c>
      <c r="R138" s="1" t="str">
        <f t="shared" si="2"/>
        <v>II</v>
      </c>
    </row>
    <row r="139" spans="1:18">
      <c r="A139">
        <v>727</v>
      </c>
      <c r="B139" t="s">
        <v>33</v>
      </c>
      <c r="C139">
        <v>0.4</v>
      </c>
      <c r="D139">
        <v>0.30499999999999999</v>
      </c>
      <c r="E139">
        <v>8.5000000000000006E-2</v>
      </c>
      <c r="F139">
        <v>0.29699999999999999</v>
      </c>
      <c r="G139">
        <v>0.108</v>
      </c>
      <c r="H139">
        <v>7.0499999999999993E-2</v>
      </c>
      <c r="I139">
        <v>0.1</v>
      </c>
      <c r="J139">
        <v>10</v>
      </c>
      <c r="K139">
        <v>4</v>
      </c>
      <c r="L139" t="s">
        <v>40</v>
      </c>
      <c r="M139" t="s">
        <v>41</v>
      </c>
      <c r="N139" t="s">
        <v>42</v>
      </c>
      <c r="O139">
        <v>2</v>
      </c>
      <c r="P139" t="s">
        <v>5</v>
      </c>
      <c r="Q139">
        <v>18</v>
      </c>
      <c r="R139" s="1" t="str">
        <f t="shared" ref="R139:R202" si="3">IF(OR(AND(J139 &gt; 15, B139 = "Infant"), AND(D139 = "Male", C139 &gt; 0.75),
    OR(I139 &gt; 0.8, G139 &gt; 0.5), G139 &gt; 1.2),
    "I",
    IF(OR(AND(I139 &lt; 0.4, G139 &lt; 0.4), AND(J139 &gt; 15, D139 = "Male"), AND(J139 &gt; 18, D139 = "Female"), C139 &lt; 0.36),
    "II",
    "III"))</f>
        <v>II</v>
      </c>
    </row>
    <row r="140" spans="1:18">
      <c r="A140">
        <v>1110</v>
      </c>
      <c r="B140" t="s">
        <v>33</v>
      </c>
      <c r="C140">
        <v>0.52</v>
      </c>
      <c r="D140">
        <v>0.4</v>
      </c>
      <c r="E140">
        <v>0.14499999999999999</v>
      </c>
      <c r="F140">
        <v>0.77649999999999997</v>
      </c>
      <c r="G140">
        <v>0.35249999999999998</v>
      </c>
      <c r="H140">
        <v>0.1845</v>
      </c>
      <c r="I140">
        <v>0.185</v>
      </c>
      <c r="J140">
        <v>9</v>
      </c>
      <c r="K140">
        <v>4</v>
      </c>
      <c r="L140" t="s">
        <v>40</v>
      </c>
      <c r="M140" t="s">
        <v>41</v>
      </c>
      <c r="N140" t="s">
        <v>42</v>
      </c>
      <c r="O140">
        <v>5</v>
      </c>
      <c r="P140" t="s">
        <v>12</v>
      </c>
      <c r="Q140">
        <v>12.8</v>
      </c>
      <c r="R140" s="1" t="str">
        <f t="shared" si="3"/>
        <v>II</v>
      </c>
    </row>
    <row r="141" spans="1:18">
      <c r="A141">
        <v>3866</v>
      </c>
      <c r="B141" t="s">
        <v>33</v>
      </c>
      <c r="C141">
        <v>0.52500000000000002</v>
      </c>
      <c r="D141">
        <v>0.39500000000000002</v>
      </c>
      <c r="E141">
        <v>0.16500000000000001</v>
      </c>
      <c r="F141">
        <v>0.78200000000000003</v>
      </c>
      <c r="G141">
        <v>0.28499999999999998</v>
      </c>
      <c r="H141">
        <v>0.14050000000000001</v>
      </c>
      <c r="I141">
        <v>0.28499999999999998</v>
      </c>
      <c r="J141">
        <v>19</v>
      </c>
      <c r="K141">
        <v>6</v>
      </c>
      <c r="L141" t="s">
        <v>46</v>
      </c>
      <c r="M141" t="s">
        <v>47</v>
      </c>
      <c r="N141" t="s">
        <v>48</v>
      </c>
      <c r="O141">
        <v>1</v>
      </c>
      <c r="P141" t="s">
        <v>4</v>
      </c>
      <c r="Q141">
        <v>22.1</v>
      </c>
      <c r="R141" s="1" t="str">
        <f t="shared" si="3"/>
        <v>II</v>
      </c>
    </row>
    <row r="142" spans="1:18">
      <c r="A142">
        <v>520</v>
      </c>
      <c r="B142" t="s">
        <v>33</v>
      </c>
      <c r="C142">
        <v>0.34499999999999997</v>
      </c>
      <c r="D142">
        <v>0.25</v>
      </c>
      <c r="E142">
        <v>0.09</v>
      </c>
      <c r="F142">
        <v>0.20300000000000001</v>
      </c>
      <c r="G142">
        <v>7.8E-2</v>
      </c>
      <c r="H142">
        <v>5.8999999999999997E-2</v>
      </c>
      <c r="I142">
        <v>5.5E-2</v>
      </c>
      <c r="J142">
        <v>6</v>
      </c>
      <c r="K142">
        <v>4</v>
      </c>
      <c r="L142" t="s">
        <v>40</v>
      </c>
      <c r="M142" t="s">
        <v>41</v>
      </c>
      <c r="N142" t="s">
        <v>42</v>
      </c>
      <c r="O142">
        <v>9</v>
      </c>
      <c r="P142" t="s">
        <v>9</v>
      </c>
      <c r="Q142">
        <v>1.9</v>
      </c>
      <c r="R142" s="1" t="str">
        <f t="shared" si="3"/>
        <v>II</v>
      </c>
    </row>
    <row r="143" spans="1:18">
      <c r="A143">
        <v>3326</v>
      </c>
      <c r="B143" t="s">
        <v>33</v>
      </c>
      <c r="C143">
        <v>0.34499999999999997</v>
      </c>
      <c r="D143">
        <v>0.26500000000000001</v>
      </c>
      <c r="E143">
        <v>0.09</v>
      </c>
      <c r="F143">
        <v>0.16300000000000001</v>
      </c>
      <c r="G143">
        <v>6.1499999999999999E-2</v>
      </c>
      <c r="H143">
        <v>3.6999999999999998E-2</v>
      </c>
      <c r="I143">
        <v>4.8500000000000001E-2</v>
      </c>
      <c r="J143">
        <v>10</v>
      </c>
      <c r="K143">
        <v>2</v>
      </c>
      <c r="L143" t="s">
        <v>49</v>
      </c>
      <c r="M143" t="s">
        <v>50</v>
      </c>
      <c r="N143" t="s">
        <v>51</v>
      </c>
      <c r="O143">
        <v>6</v>
      </c>
      <c r="P143" t="s">
        <v>7</v>
      </c>
      <c r="Q143">
        <v>14.1</v>
      </c>
      <c r="R143" s="1" t="str">
        <f t="shared" si="3"/>
        <v>II</v>
      </c>
    </row>
    <row r="144" spans="1:18">
      <c r="A144">
        <v>806</v>
      </c>
      <c r="B144" t="s">
        <v>33</v>
      </c>
      <c r="C144">
        <v>0.40500000000000003</v>
      </c>
      <c r="D144">
        <v>0.30499999999999999</v>
      </c>
      <c r="E144">
        <v>0.12</v>
      </c>
      <c r="F144">
        <v>0.31850000000000001</v>
      </c>
      <c r="G144">
        <v>0.1235</v>
      </c>
      <c r="H144">
        <v>9.0499999999999997E-2</v>
      </c>
      <c r="I144">
        <v>9.5000000000000001E-2</v>
      </c>
      <c r="J144">
        <v>7</v>
      </c>
      <c r="K144">
        <v>13</v>
      </c>
      <c r="L144" t="s">
        <v>43</v>
      </c>
      <c r="M144" t="s">
        <v>44</v>
      </c>
      <c r="N144" t="s">
        <v>45</v>
      </c>
      <c r="O144">
        <v>1</v>
      </c>
      <c r="P144" t="s">
        <v>4</v>
      </c>
      <c r="Q144">
        <v>22.1</v>
      </c>
      <c r="R144" s="1" t="str">
        <f t="shared" si="3"/>
        <v>II</v>
      </c>
    </row>
    <row r="145" spans="1:18">
      <c r="A145">
        <v>393</v>
      </c>
      <c r="B145" t="s">
        <v>33</v>
      </c>
      <c r="C145">
        <v>0.47</v>
      </c>
      <c r="D145">
        <v>0.375</v>
      </c>
      <c r="E145">
        <v>0.125</v>
      </c>
      <c r="F145">
        <v>0.5615</v>
      </c>
      <c r="G145">
        <v>0.252</v>
      </c>
      <c r="H145">
        <v>0.13700000000000001</v>
      </c>
      <c r="I145">
        <v>0.18</v>
      </c>
      <c r="J145">
        <v>10</v>
      </c>
      <c r="K145">
        <v>13</v>
      </c>
      <c r="L145" t="s">
        <v>43</v>
      </c>
      <c r="M145" t="s">
        <v>44</v>
      </c>
      <c r="N145" t="s">
        <v>45</v>
      </c>
      <c r="O145">
        <v>5</v>
      </c>
      <c r="P145" t="s">
        <v>12</v>
      </c>
      <c r="Q145">
        <v>12.8</v>
      </c>
      <c r="R145" s="1" t="str">
        <f t="shared" si="3"/>
        <v>II</v>
      </c>
    </row>
    <row r="146" spans="1:18">
      <c r="A146">
        <v>1607</v>
      </c>
      <c r="B146" t="s">
        <v>33</v>
      </c>
      <c r="C146">
        <v>0.54</v>
      </c>
      <c r="D146">
        <v>0.42499999999999999</v>
      </c>
      <c r="E146">
        <v>0.13</v>
      </c>
      <c r="F146">
        <v>0.72050000000000003</v>
      </c>
      <c r="G146">
        <v>0.29549999999999998</v>
      </c>
      <c r="H146">
        <v>0.16900000000000001</v>
      </c>
      <c r="I146">
        <v>0.22500000000000001</v>
      </c>
      <c r="J146">
        <v>10</v>
      </c>
      <c r="K146">
        <v>3</v>
      </c>
      <c r="L146" t="s">
        <v>52</v>
      </c>
      <c r="M146" t="s">
        <v>53</v>
      </c>
      <c r="N146" t="s">
        <v>54</v>
      </c>
      <c r="O146">
        <v>7</v>
      </c>
      <c r="P146" t="s">
        <v>6</v>
      </c>
      <c r="Q146">
        <v>2.5</v>
      </c>
      <c r="R146" s="1" t="str">
        <f t="shared" si="3"/>
        <v>II</v>
      </c>
    </row>
    <row r="147" spans="1:18">
      <c r="A147">
        <v>1457</v>
      </c>
      <c r="B147" t="s">
        <v>33</v>
      </c>
      <c r="C147">
        <v>0.47499999999999998</v>
      </c>
      <c r="D147">
        <v>0.36499999999999999</v>
      </c>
      <c r="E147">
        <v>0.115</v>
      </c>
      <c r="F147">
        <v>0.45900000000000002</v>
      </c>
      <c r="G147">
        <v>0.2175</v>
      </c>
      <c r="H147">
        <v>9.2999999999999999E-2</v>
      </c>
      <c r="I147">
        <v>0.11650000000000001</v>
      </c>
      <c r="J147">
        <v>7</v>
      </c>
      <c r="K147">
        <v>10</v>
      </c>
      <c r="L147" t="s">
        <v>37</v>
      </c>
      <c r="M147" t="s">
        <v>38</v>
      </c>
      <c r="N147" t="s">
        <v>39</v>
      </c>
      <c r="O147">
        <v>3</v>
      </c>
      <c r="P147" t="s">
        <v>10</v>
      </c>
      <c r="Q147">
        <v>3.6</v>
      </c>
      <c r="R147" s="1" t="str">
        <f t="shared" si="3"/>
        <v>II</v>
      </c>
    </row>
    <row r="148" spans="1:18">
      <c r="A148">
        <v>3832</v>
      </c>
      <c r="B148" t="s">
        <v>33</v>
      </c>
      <c r="C148">
        <v>0.54500000000000004</v>
      </c>
      <c r="D148">
        <v>0.42</v>
      </c>
      <c r="E148">
        <v>0.17499999999999999</v>
      </c>
      <c r="F148">
        <v>0.754</v>
      </c>
      <c r="G148">
        <v>0.25600000000000001</v>
      </c>
      <c r="H148">
        <v>0.17749999999999999</v>
      </c>
      <c r="I148">
        <v>0.27500000000000002</v>
      </c>
      <c r="J148">
        <v>10</v>
      </c>
      <c r="K148">
        <v>8</v>
      </c>
      <c r="L148" t="s">
        <v>55</v>
      </c>
      <c r="M148" t="s">
        <v>56</v>
      </c>
      <c r="N148" t="s">
        <v>57</v>
      </c>
      <c r="O148">
        <v>2</v>
      </c>
      <c r="P148" t="s">
        <v>5</v>
      </c>
      <c r="Q148">
        <v>18</v>
      </c>
      <c r="R148" s="1" t="str">
        <f t="shared" si="3"/>
        <v>II</v>
      </c>
    </row>
    <row r="149" spans="1:18">
      <c r="A149">
        <v>1555</v>
      </c>
      <c r="B149" t="s">
        <v>33</v>
      </c>
      <c r="C149">
        <v>0.41</v>
      </c>
      <c r="D149">
        <v>0.3</v>
      </c>
      <c r="E149">
        <v>0.09</v>
      </c>
      <c r="F149">
        <v>0.30399999999999999</v>
      </c>
      <c r="G149">
        <v>0.129</v>
      </c>
      <c r="H149">
        <v>7.0999999999999994E-2</v>
      </c>
      <c r="I149">
        <v>9.5500000000000002E-2</v>
      </c>
      <c r="J149">
        <v>8</v>
      </c>
      <c r="K149">
        <v>4</v>
      </c>
      <c r="L149" t="s">
        <v>40</v>
      </c>
      <c r="M149" t="s">
        <v>41</v>
      </c>
      <c r="N149" t="s">
        <v>42</v>
      </c>
      <c r="O149">
        <v>1</v>
      </c>
      <c r="P149" t="s">
        <v>4</v>
      </c>
      <c r="Q149">
        <v>22.1</v>
      </c>
      <c r="R149" s="1" t="str">
        <f t="shared" si="3"/>
        <v>II</v>
      </c>
    </row>
    <row r="150" spans="1:18">
      <c r="A150">
        <v>4163</v>
      </c>
      <c r="B150" t="s">
        <v>33</v>
      </c>
      <c r="C150">
        <v>0.38500000000000001</v>
      </c>
      <c r="D150">
        <v>0.255</v>
      </c>
      <c r="E150">
        <v>0.1</v>
      </c>
      <c r="F150">
        <v>0.3175</v>
      </c>
      <c r="G150">
        <v>0.13700000000000001</v>
      </c>
      <c r="H150">
        <v>6.8000000000000005E-2</v>
      </c>
      <c r="I150">
        <v>9.1999999999999998E-2</v>
      </c>
      <c r="J150">
        <v>8</v>
      </c>
      <c r="K150">
        <v>6</v>
      </c>
      <c r="L150" t="s">
        <v>46</v>
      </c>
      <c r="M150" t="s">
        <v>47</v>
      </c>
      <c r="N150" t="s">
        <v>48</v>
      </c>
      <c r="O150">
        <v>7</v>
      </c>
      <c r="P150" t="s">
        <v>6</v>
      </c>
      <c r="Q150">
        <v>2.5</v>
      </c>
      <c r="R150" s="1" t="str">
        <f t="shared" si="3"/>
        <v>II</v>
      </c>
    </row>
    <row r="151" spans="1:18">
      <c r="A151">
        <v>3818</v>
      </c>
      <c r="B151" t="s">
        <v>33</v>
      </c>
      <c r="C151">
        <v>0.47499999999999998</v>
      </c>
      <c r="D151">
        <v>0.38500000000000001</v>
      </c>
      <c r="E151">
        <v>0.12</v>
      </c>
      <c r="F151">
        <v>0.56200000000000006</v>
      </c>
      <c r="G151">
        <v>0.28899999999999998</v>
      </c>
      <c r="H151">
        <v>9.0499999999999997E-2</v>
      </c>
      <c r="I151">
        <v>0.153</v>
      </c>
      <c r="J151">
        <v>8</v>
      </c>
      <c r="K151">
        <v>8</v>
      </c>
      <c r="L151" t="s">
        <v>55</v>
      </c>
      <c r="M151" t="s">
        <v>56</v>
      </c>
      <c r="N151" t="s">
        <v>57</v>
      </c>
      <c r="O151">
        <v>9</v>
      </c>
      <c r="P151" t="s">
        <v>9</v>
      </c>
      <c r="Q151">
        <v>1.9</v>
      </c>
      <c r="R151" s="1" t="str">
        <f t="shared" si="3"/>
        <v>II</v>
      </c>
    </row>
    <row r="152" spans="1:18">
      <c r="A152">
        <v>4004</v>
      </c>
      <c r="B152" t="s">
        <v>33</v>
      </c>
      <c r="C152">
        <v>0.51</v>
      </c>
      <c r="D152">
        <v>0.39</v>
      </c>
      <c r="E152">
        <v>0.125</v>
      </c>
      <c r="F152">
        <v>0.59699999999999998</v>
      </c>
      <c r="G152">
        <v>0.29299999999999998</v>
      </c>
      <c r="H152">
        <v>0.1265</v>
      </c>
      <c r="I152">
        <v>0.1555</v>
      </c>
      <c r="J152">
        <v>8</v>
      </c>
      <c r="K152">
        <v>6</v>
      </c>
      <c r="L152" t="s">
        <v>46</v>
      </c>
      <c r="M152" t="s">
        <v>47</v>
      </c>
      <c r="N152" t="s">
        <v>48</v>
      </c>
      <c r="O152">
        <v>8</v>
      </c>
      <c r="P152" t="s">
        <v>13</v>
      </c>
      <c r="Q152">
        <v>12.3</v>
      </c>
      <c r="R152" s="1" t="str">
        <f t="shared" si="3"/>
        <v>II</v>
      </c>
    </row>
    <row r="153" spans="1:18">
      <c r="A153">
        <v>3920</v>
      </c>
      <c r="B153" t="s">
        <v>33</v>
      </c>
      <c r="C153">
        <v>0.56499999999999995</v>
      </c>
      <c r="D153">
        <v>0.43</v>
      </c>
      <c r="E153">
        <v>0.13500000000000001</v>
      </c>
      <c r="F153">
        <v>0.85450000000000004</v>
      </c>
      <c r="G153">
        <v>0.32100000000000001</v>
      </c>
      <c r="H153">
        <v>0.17749999999999999</v>
      </c>
      <c r="I153">
        <v>0.27500000000000002</v>
      </c>
      <c r="J153">
        <v>11</v>
      </c>
      <c r="K153">
        <v>14</v>
      </c>
      <c r="L153" t="s">
        <v>72</v>
      </c>
      <c r="M153" t="s">
        <v>73</v>
      </c>
      <c r="N153" t="s">
        <v>74</v>
      </c>
      <c r="O153">
        <v>7</v>
      </c>
      <c r="P153" t="s">
        <v>6</v>
      </c>
      <c r="Q153">
        <v>2.5</v>
      </c>
      <c r="R153" s="1" t="str">
        <f t="shared" si="3"/>
        <v>II</v>
      </c>
    </row>
    <row r="154" spans="1:18">
      <c r="A154">
        <v>2494</v>
      </c>
      <c r="B154" t="s">
        <v>33</v>
      </c>
      <c r="C154">
        <v>0.42</v>
      </c>
      <c r="D154">
        <v>0.31</v>
      </c>
      <c r="E154">
        <v>0.1</v>
      </c>
      <c r="F154">
        <v>0.28649999999999998</v>
      </c>
      <c r="G154">
        <v>0.115</v>
      </c>
      <c r="H154">
        <v>7.3499999999999996E-2</v>
      </c>
      <c r="I154">
        <v>8.5000000000000006E-2</v>
      </c>
      <c r="J154">
        <v>8</v>
      </c>
      <c r="K154">
        <v>7</v>
      </c>
      <c r="L154" t="s">
        <v>62</v>
      </c>
      <c r="M154" t="s">
        <v>63</v>
      </c>
      <c r="N154" t="s">
        <v>64</v>
      </c>
      <c r="O154">
        <v>5</v>
      </c>
      <c r="P154" t="s">
        <v>12</v>
      </c>
      <c r="Q154">
        <v>12.8</v>
      </c>
      <c r="R154" s="1" t="str">
        <f t="shared" si="3"/>
        <v>II</v>
      </c>
    </row>
    <row r="155" spans="1:18">
      <c r="A155">
        <v>952</v>
      </c>
      <c r="B155" t="s">
        <v>33</v>
      </c>
      <c r="C155">
        <v>0.48</v>
      </c>
      <c r="D155">
        <v>0.36</v>
      </c>
      <c r="E155">
        <v>0.1</v>
      </c>
      <c r="F155">
        <v>0.439</v>
      </c>
      <c r="G155">
        <v>0.19400000000000001</v>
      </c>
      <c r="H155">
        <v>9.9000000000000005E-2</v>
      </c>
      <c r="I155">
        <v>0.115</v>
      </c>
      <c r="J155">
        <v>8</v>
      </c>
      <c r="K155">
        <v>9</v>
      </c>
      <c r="L155" t="s">
        <v>34</v>
      </c>
      <c r="M155" t="s">
        <v>35</v>
      </c>
      <c r="N155" t="s">
        <v>36</v>
      </c>
      <c r="O155">
        <v>10</v>
      </c>
      <c r="P155" t="s">
        <v>11</v>
      </c>
      <c r="Q155">
        <v>24.1</v>
      </c>
      <c r="R155" s="1" t="str">
        <f t="shared" si="3"/>
        <v>II</v>
      </c>
    </row>
    <row r="156" spans="1:18">
      <c r="A156">
        <v>2743</v>
      </c>
      <c r="B156" t="s">
        <v>33</v>
      </c>
      <c r="C156">
        <v>0.46</v>
      </c>
      <c r="D156">
        <v>0.34499999999999997</v>
      </c>
      <c r="E156">
        <v>0.105</v>
      </c>
      <c r="F156">
        <v>0.41499999999999998</v>
      </c>
      <c r="G156">
        <v>0.187</v>
      </c>
      <c r="H156">
        <v>8.6999999999999994E-2</v>
      </c>
      <c r="I156">
        <v>0.11</v>
      </c>
      <c r="J156">
        <v>8</v>
      </c>
      <c r="K156">
        <v>1</v>
      </c>
      <c r="L156" t="s">
        <v>70</v>
      </c>
      <c r="M156" t="s">
        <v>71</v>
      </c>
      <c r="N156" t="s">
        <v>45</v>
      </c>
      <c r="O156">
        <v>9</v>
      </c>
      <c r="P156" t="s">
        <v>9</v>
      </c>
      <c r="Q156">
        <v>1.9</v>
      </c>
      <c r="R156" s="1" t="str">
        <f t="shared" si="3"/>
        <v>II</v>
      </c>
    </row>
    <row r="157" spans="1:18">
      <c r="A157">
        <v>748</v>
      </c>
      <c r="B157" t="s">
        <v>33</v>
      </c>
      <c r="C157">
        <v>0.52</v>
      </c>
      <c r="D157">
        <v>0.38500000000000001</v>
      </c>
      <c r="E157">
        <v>0.14000000000000001</v>
      </c>
      <c r="F157">
        <v>0.65949999999999998</v>
      </c>
      <c r="G157">
        <v>0.2485</v>
      </c>
      <c r="H157">
        <v>0.20349999999999999</v>
      </c>
      <c r="I157">
        <v>0.16</v>
      </c>
      <c r="J157">
        <v>9</v>
      </c>
      <c r="K157">
        <v>3</v>
      </c>
      <c r="L157" t="s">
        <v>52</v>
      </c>
      <c r="M157" t="s">
        <v>53</v>
      </c>
      <c r="N157" t="s">
        <v>54</v>
      </c>
      <c r="O157">
        <v>4</v>
      </c>
      <c r="P157" t="s">
        <v>8</v>
      </c>
      <c r="Q157">
        <v>6.1</v>
      </c>
      <c r="R157" s="1" t="str">
        <f t="shared" si="3"/>
        <v>II</v>
      </c>
    </row>
    <row r="158" spans="1:18">
      <c r="A158">
        <v>3831</v>
      </c>
      <c r="B158" t="s">
        <v>33</v>
      </c>
      <c r="C158">
        <v>0.5</v>
      </c>
      <c r="D158">
        <v>0.38500000000000001</v>
      </c>
      <c r="E158">
        <v>0.12</v>
      </c>
      <c r="F158">
        <v>0.63349999999999995</v>
      </c>
      <c r="G158">
        <v>0.23050000000000001</v>
      </c>
      <c r="H158">
        <v>0.125</v>
      </c>
      <c r="I158">
        <v>0.23499999999999999</v>
      </c>
      <c r="J158">
        <v>14</v>
      </c>
      <c r="K158">
        <v>1</v>
      </c>
      <c r="L158" t="s">
        <v>70</v>
      </c>
      <c r="M158" t="s">
        <v>71</v>
      </c>
      <c r="N158" t="s">
        <v>45</v>
      </c>
      <c r="O158">
        <v>8</v>
      </c>
      <c r="P158" t="s">
        <v>13</v>
      </c>
      <c r="Q158">
        <v>12.3</v>
      </c>
      <c r="R158" s="1" t="str">
        <f t="shared" si="3"/>
        <v>II</v>
      </c>
    </row>
    <row r="159" spans="1:18">
      <c r="A159">
        <v>1992</v>
      </c>
      <c r="B159" t="s">
        <v>33</v>
      </c>
      <c r="C159">
        <v>0.28499999999999998</v>
      </c>
      <c r="D159">
        <v>0.215</v>
      </c>
      <c r="E159">
        <v>0.06</v>
      </c>
      <c r="F159">
        <v>9.35E-2</v>
      </c>
      <c r="G159">
        <v>3.1E-2</v>
      </c>
      <c r="H159">
        <v>2.3E-2</v>
      </c>
      <c r="I159">
        <v>0.03</v>
      </c>
      <c r="J159">
        <v>6</v>
      </c>
      <c r="K159">
        <v>9</v>
      </c>
      <c r="L159" t="s">
        <v>34</v>
      </c>
      <c r="M159" t="s">
        <v>35</v>
      </c>
      <c r="N159" t="s">
        <v>36</v>
      </c>
      <c r="O159">
        <v>5</v>
      </c>
      <c r="P159" t="s">
        <v>12</v>
      </c>
      <c r="Q159">
        <v>12.8</v>
      </c>
      <c r="R159" s="1" t="str">
        <f t="shared" si="3"/>
        <v>II</v>
      </c>
    </row>
    <row r="160" spans="1:18">
      <c r="A160">
        <v>91</v>
      </c>
      <c r="B160" t="s">
        <v>33</v>
      </c>
      <c r="C160">
        <v>0.56499999999999995</v>
      </c>
      <c r="D160">
        <v>0.42499999999999999</v>
      </c>
      <c r="E160">
        <v>0.13500000000000001</v>
      </c>
      <c r="F160">
        <v>0.8115</v>
      </c>
      <c r="G160">
        <v>0.34100000000000003</v>
      </c>
      <c r="H160">
        <v>0.16750000000000001</v>
      </c>
      <c r="I160">
        <v>0.255</v>
      </c>
      <c r="J160">
        <v>15</v>
      </c>
      <c r="K160">
        <v>13</v>
      </c>
      <c r="L160" t="s">
        <v>43</v>
      </c>
      <c r="M160" t="s">
        <v>44</v>
      </c>
      <c r="N160" t="s">
        <v>45</v>
      </c>
      <c r="O160">
        <v>3</v>
      </c>
      <c r="P160" t="s">
        <v>10</v>
      </c>
      <c r="Q160">
        <v>3.6</v>
      </c>
      <c r="R160" s="1" t="str">
        <f t="shared" si="3"/>
        <v>II</v>
      </c>
    </row>
    <row r="161" spans="1:18">
      <c r="A161">
        <v>2565</v>
      </c>
      <c r="B161" t="s">
        <v>33</v>
      </c>
      <c r="C161">
        <v>0.45</v>
      </c>
      <c r="D161">
        <v>0.35</v>
      </c>
      <c r="E161">
        <v>0.125</v>
      </c>
      <c r="F161">
        <v>0.47749999999999998</v>
      </c>
      <c r="G161">
        <v>0.2235</v>
      </c>
      <c r="H161">
        <v>8.8999999999999996E-2</v>
      </c>
      <c r="I161">
        <v>0.11799999999999999</v>
      </c>
      <c r="J161">
        <v>6</v>
      </c>
      <c r="K161">
        <v>6</v>
      </c>
      <c r="L161" t="s">
        <v>46</v>
      </c>
      <c r="M161" t="s">
        <v>47</v>
      </c>
      <c r="N161" t="s">
        <v>48</v>
      </c>
      <c r="O161">
        <v>8</v>
      </c>
      <c r="P161" t="s">
        <v>13</v>
      </c>
      <c r="Q161">
        <v>12.3</v>
      </c>
      <c r="R161" s="1" t="str">
        <f t="shared" si="3"/>
        <v>II</v>
      </c>
    </row>
    <row r="162" spans="1:18">
      <c r="A162">
        <v>2495</v>
      </c>
      <c r="B162" t="s">
        <v>33</v>
      </c>
      <c r="C162">
        <v>0.4</v>
      </c>
      <c r="D162">
        <v>0.30499999999999999</v>
      </c>
      <c r="E162">
        <v>0.13</v>
      </c>
      <c r="F162">
        <v>0.29349999999999998</v>
      </c>
      <c r="G162">
        <v>9.6000000000000002E-2</v>
      </c>
      <c r="H162">
        <v>6.7500000000000004E-2</v>
      </c>
      <c r="I162">
        <v>0.105</v>
      </c>
      <c r="J162">
        <v>9</v>
      </c>
      <c r="K162">
        <v>9</v>
      </c>
      <c r="L162" t="s">
        <v>34</v>
      </c>
      <c r="M162" t="s">
        <v>35</v>
      </c>
      <c r="N162" t="s">
        <v>36</v>
      </c>
      <c r="O162">
        <v>3</v>
      </c>
      <c r="P162" t="s">
        <v>10</v>
      </c>
      <c r="Q162">
        <v>3.6</v>
      </c>
      <c r="R162" s="1" t="str">
        <f t="shared" si="3"/>
        <v>II</v>
      </c>
    </row>
    <row r="163" spans="1:18">
      <c r="A163">
        <v>2057</v>
      </c>
      <c r="B163" t="s">
        <v>33</v>
      </c>
      <c r="C163">
        <v>0.47499999999999998</v>
      </c>
      <c r="D163">
        <v>0.38</v>
      </c>
      <c r="E163">
        <v>0.14000000000000001</v>
      </c>
      <c r="F163">
        <v>0.68899999999999995</v>
      </c>
      <c r="G163">
        <v>0.3165</v>
      </c>
      <c r="H163">
        <v>0.13150000000000001</v>
      </c>
      <c r="I163">
        <v>0.19550000000000001</v>
      </c>
      <c r="J163">
        <v>7</v>
      </c>
      <c r="K163">
        <v>7</v>
      </c>
      <c r="L163" t="s">
        <v>62</v>
      </c>
      <c r="M163" t="s">
        <v>63</v>
      </c>
      <c r="N163" t="s">
        <v>64</v>
      </c>
      <c r="O163">
        <v>8</v>
      </c>
      <c r="P163" t="s">
        <v>13</v>
      </c>
      <c r="Q163">
        <v>12.3</v>
      </c>
      <c r="R163" s="1" t="str">
        <f t="shared" si="3"/>
        <v>II</v>
      </c>
    </row>
    <row r="164" spans="1:18">
      <c r="A164">
        <v>3833</v>
      </c>
      <c r="B164" t="s">
        <v>33</v>
      </c>
      <c r="C164">
        <v>0.46</v>
      </c>
      <c r="D164">
        <v>0.36499999999999999</v>
      </c>
      <c r="E164">
        <v>0.115</v>
      </c>
      <c r="F164">
        <v>0.44850000000000001</v>
      </c>
      <c r="G164">
        <v>0.16500000000000001</v>
      </c>
      <c r="H164">
        <v>8.3000000000000004E-2</v>
      </c>
      <c r="I164">
        <v>0.17</v>
      </c>
      <c r="J164">
        <v>14</v>
      </c>
      <c r="K164">
        <v>14</v>
      </c>
      <c r="L164" t="s">
        <v>72</v>
      </c>
      <c r="M164" t="s">
        <v>73</v>
      </c>
      <c r="N164" t="s">
        <v>74</v>
      </c>
      <c r="O164">
        <v>2</v>
      </c>
      <c r="P164" t="s">
        <v>5</v>
      </c>
      <c r="Q164">
        <v>18</v>
      </c>
      <c r="R164" s="1" t="str">
        <f t="shared" si="3"/>
        <v>II</v>
      </c>
    </row>
    <row r="165" spans="1:18">
      <c r="A165">
        <v>3611</v>
      </c>
      <c r="B165" t="s">
        <v>33</v>
      </c>
      <c r="C165">
        <v>0.57999999999999996</v>
      </c>
      <c r="D165">
        <v>0.45</v>
      </c>
      <c r="E165">
        <v>0.16</v>
      </c>
      <c r="F165">
        <v>0.86750000000000005</v>
      </c>
      <c r="G165">
        <v>0.39350000000000002</v>
      </c>
      <c r="H165">
        <v>0.221</v>
      </c>
      <c r="I165">
        <v>0.215</v>
      </c>
      <c r="J165">
        <v>9</v>
      </c>
      <c r="K165">
        <v>11</v>
      </c>
      <c r="L165" t="s">
        <v>65</v>
      </c>
      <c r="M165" t="s">
        <v>66</v>
      </c>
      <c r="N165" t="s">
        <v>45</v>
      </c>
      <c r="O165">
        <v>1</v>
      </c>
      <c r="P165" t="s">
        <v>4</v>
      </c>
      <c r="Q165">
        <v>22.1</v>
      </c>
      <c r="R165" s="1" t="str">
        <f t="shared" si="3"/>
        <v>II</v>
      </c>
    </row>
    <row r="166" spans="1:18">
      <c r="A166">
        <v>2750</v>
      </c>
      <c r="B166" t="s">
        <v>33</v>
      </c>
      <c r="C166">
        <v>0.505</v>
      </c>
      <c r="D166">
        <v>0.38</v>
      </c>
      <c r="E166">
        <v>0.13500000000000001</v>
      </c>
      <c r="F166">
        <v>0.53849999999999998</v>
      </c>
      <c r="G166">
        <v>0.26450000000000001</v>
      </c>
      <c r="H166">
        <v>9.5000000000000001E-2</v>
      </c>
      <c r="I166">
        <v>0.16500000000000001</v>
      </c>
      <c r="J166">
        <v>9</v>
      </c>
      <c r="K166">
        <v>1</v>
      </c>
      <c r="L166" t="s">
        <v>70</v>
      </c>
      <c r="M166" t="s">
        <v>71</v>
      </c>
      <c r="N166" t="s">
        <v>45</v>
      </c>
      <c r="O166">
        <v>8</v>
      </c>
      <c r="P166" t="s">
        <v>13</v>
      </c>
      <c r="Q166">
        <v>12.3</v>
      </c>
      <c r="R166" s="1" t="str">
        <f t="shared" si="3"/>
        <v>II</v>
      </c>
    </row>
    <row r="167" spans="1:18">
      <c r="A167">
        <v>3476</v>
      </c>
      <c r="B167" t="s">
        <v>33</v>
      </c>
      <c r="C167">
        <v>0.4</v>
      </c>
      <c r="D167">
        <v>0.315</v>
      </c>
      <c r="E167">
        <v>8.5000000000000006E-2</v>
      </c>
      <c r="F167">
        <v>0.26750000000000002</v>
      </c>
      <c r="G167">
        <v>0.11600000000000001</v>
      </c>
      <c r="H167">
        <v>5.8500000000000003E-2</v>
      </c>
      <c r="I167">
        <v>7.6499999999999999E-2</v>
      </c>
      <c r="J167">
        <v>6</v>
      </c>
      <c r="K167">
        <v>10</v>
      </c>
      <c r="L167" t="s">
        <v>37</v>
      </c>
      <c r="M167" t="s">
        <v>38</v>
      </c>
      <c r="N167" t="s">
        <v>39</v>
      </c>
      <c r="O167">
        <v>8</v>
      </c>
      <c r="P167" t="s">
        <v>13</v>
      </c>
      <c r="Q167">
        <v>12.3</v>
      </c>
      <c r="R167" s="1" t="str">
        <f t="shared" si="3"/>
        <v>II</v>
      </c>
    </row>
    <row r="168" spans="1:18">
      <c r="A168">
        <v>258</v>
      </c>
      <c r="B168" t="s">
        <v>33</v>
      </c>
      <c r="C168">
        <v>0.54500000000000004</v>
      </c>
      <c r="D168">
        <v>0.46</v>
      </c>
      <c r="E168">
        <v>0.16</v>
      </c>
      <c r="F168">
        <v>0.89749999999999996</v>
      </c>
      <c r="G168">
        <v>0.34100000000000003</v>
      </c>
      <c r="H168">
        <v>0.16550000000000001</v>
      </c>
      <c r="I168">
        <v>0.34499999999999997</v>
      </c>
      <c r="J168">
        <v>10</v>
      </c>
      <c r="K168">
        <v>6</v>
      </c>
      <c r="L168" t="s">
        <v>46</v>
      </c>
      <c r="M168" t="s">
        <v>47</v>
      </c>
      <c r="N168" t="s">
        <v>48</v>
      </c>
      <c r="O168">
        <v>6</v>
      </c>
      <c r="P168" t="s">
        <v>7</v>
      </c>
      <c r="Q168">
        <v>14.1</v>
      </c>
      <c r="R168" s="1" t="str">
        <f t="shared" si="3"/>
        <v>II</v>
      </c>
    </row>
    <row r="169" spans="1:18">
      <c r="A169">
        <v>1907</v>
      </c>
      <c r="B169" t="s">
        <v>33</v>
      </c>
      <c r="C169">
        <v>0.57499999999999996</v>
      </c>
      <c r="D169">
        <v>0.45</v>
      </c>
      <c r="E169">
        <v>0.13500000000000001</v>
      </c>
      <c r="F169">
        <v>0.82450000000000001</v>
      </c>
      <c r="G169">
        <v>0.33750000000000002</v>
      </c>
      <c r="H169">
        <v>0.21149999999999999</v>
      </c>
      <c r="I169">
        <v>0.23899999999999999</v>
      </c>
      <c r="J169">
        <v>11</v>
      </c>
      <c r="K169">
        <v>1</v>
      </c>
      <c r="L169" t="s">
        <v>70</v>
      </c>
      <c r="M169" t="s">
        <v>71</v>
      </c>
      <c r="N169" t="s">
        <v>45</v>
      </c>
      <c r="O169">
        <v>8</v>
      </c>
      <c r="P169" t="s">
        <v>13</v>
      </c>
      <c r="Q169">
        <v>12.3</v>
      </c>
      <c r="R169" s="1" t="str">
        <f t="shared" si="3"/>
        <v>II</v>
      </c>
    </row>
    <row r="170" spans="1:18">
      <c r="A170">
        <v>218</v>
      </c>
      <c r="B170" t="s">
        <v>33</v>
      </c>
      <c r="C170">
        <v>0.40500000000000003</v>
      </c>
      <c r="D170">
        <v>0.3</v>
      </c>
      <c r="E170">
        <v>0.12</v>
      </c>
      <c r="F170">
        <v>0.32400000000000001</v>
      </c>
      <c r="G170">
        <v>0.1265</v>
      </c>
      <c r="H170">
        <v>7.0000000000000007E-2</v>
      </c>
      <c r="I170">
        <v>0.11</v>
      </c>
      <c r="J170">
        <v>7</v>
      </c>
      <c r="K170">
        <v>11</v>
      </c>
      <c r="L170" t="s">
        <v>65</v>
      </c>
      <c r="M170" t="s">
        <v>66</v>
      </c>
      <c r="N170" t="s">
        <v>45</v>
      </c>
      <c r="O170">
        <v>6</v>
      </c>
      <c r="P170" t="s">
        <v>7</v>
      </c>
      <c r="Q170">
        <v>14.1</v>
      </c>
      <c r="R170" s="1" t="str">
        <f t="shared" si="3"/>
        <v>II</v>
      </c>
    </row>
    <row r="171" spans="1:18">
      <c r="A171">
        <v>904</v>
      </c>
      <c r="B171" t="s">
        <v>33</v>
      </c>
      <c r="C171">
        <v>0.315</v>
      </c>
      <c r="D171">
        <v>0.23499999999999999</v>
      </c>
      <c r="E171">
        <v>7.4999999999999997E-2</v>
      </c>
      <c r="F171">
        <v>0.14849999999999999</v>
      </c>
      <c r="G171">
        <v>5.8500000000000003E-2</v>
      </c>
      <c r="H171">
        <v>3.7499999999999999E-2</v>
      </c>
      <c r="I171">
        <v>4.2500000000000003E-2</v>
      </c>
      <c r="J171">
        <v>6</v>
      </c>
      <c r="K171">
        <v>15</v>
      </c>
      <c r="L171" t="s">
        <v>60</v>
      </c>
      <c r="M171" t="s">
        <v>61</v>
      </c>
      <c r="N171" t="s">
        <v>45</v>
      </c>
      <c r="O171">
        <v>6</v>
      </c>
      <c r="P171" t="s">
        <v>7</v>
      </c>
      <c r="Q171">
        <v>14.1</v>
      </c>
      <c r="R171" s="1" t="str">
        <f t="shared" si="3"/>
        <v>II</v>
      </c>
    </row>
    <row r="172" spans="1:18">
      <c r="A172">
        <v>909</v>
      </c>
      <c r="B172" t="s">
        <v>33</v>
      </c>
      <c r="C172">
        <v>0.33500000000000002</v>
      </c>
      <c r="D172">
        <v>0.25</v>
      </c>
      <c r="E172">
        <v>7.4999999999999997E-2</v>
      </c>
      <c r="F172">
        <v>0.1825</v>
      </c>
      <c r="G172">
        <v>7.0499999999999993E-2</v>
      </c>
      <c r="H172">
        <v>4.3999999999999997E-2</v>
      </c>
      <c r="I172">
        <v>5.5E-2</v>
      </c>
      <c r="J172">
        <v>7</v>
      </c>
      <c r="K172">
        <v>13</v>
      </c>
      <c r="L172" t="s">
        <v>43</v>
      </c>
      <c r="M172" t="s">
        <v>44</v>
      </c>
      <c r="N172" t="s">
        <v>45</v>
      </c>
      <c r="O172">
        <v>5</v>
      </c>
      <c r="P172" t="s">
        <v>12</v>
      </c>
      <c r="Q172">
        <v>12.8</v>
      </c>
      <c r="R172" s="1" t="str">
        <f t="shared" si="3"/>
        <v>II</v>
      </c>
    </row>
    <row r="173" spans="1:18">
      <c r="A173">
        <v>303</v>
      </c>
      <c r="B173" t="s">
        <v>33</v>
      </c>
      <c r="C173">
        <v>0.37</v>
      </c>
      <c r="D173">
        <v>0.28000000000000003</v>
      </c>
      <c r="E173">
        <v>0.1</v>
      </c>
      <c r="F173">
        <v>0.252</v>
      </c>
      <c r="G173">
        <v>0.1065</v>
      </c>
      <c r="H173">
        <v>5.9499999999999997E-2</v>
      </c>
      <c r="I173">
        <v>7.3999999999999996E-2</v>
      </c>
      <c r="J173">
        <v>8</v>
      </c>
      <c r="K173">
        <v>8</v>
      </c>
      <c r="L173" t="s">
        <v>55</v>
      </c>
      <c r="M173" t="s">
        <v>56</v>
      </c>
      <c r="N173" t="s">
        <v>57</v>
      </c>
      <c r="O173">
        <v>6</v>
      </c>
      <c r="P173" t="s">
        <v>7</v>
      </c>
      <c r="Q173">
        <v>14.1</v>
      </c>
      <c r="R173" s="1" t="str">
        <f t="shared" si="3"/>
        <v>II</v>
      </c>
    </row>
    <row r="174" spans="1:18">
      <c r="A174">
        <v>1093</v>
      </c>
      <c r="B174" t="s">
        <v>33</v>
      </c>
      <c r="C174">
        <v>0.46</v>
      </c>
      <c r="D174">
        <v>0.35</v>
      </c>
      <c r="E174">
        <v>0.115</v>
      </c>
      <c r="F174">
        <v>0.41549999999999998</v>
      </c>
      <c r="G174">
        <v>0.18</v>
      </c>
      <c r="H174">
        <v>9.8000000000000004E-2</v>
      </c>
      <c r="I174">
        <v>0.11749999999999999</v>
      </c>
      <c r="J174">
        <v>7</v>
      </c>
      <c r="K174">
        <v>6</v>
      </c>
      <c r="L174" t="s">
        <v>46</v>
      </c>
      <c r="M174" t="s">
        <v>47</v>
      </c>
      <c r="N174" t="s">
        <v>48</v>
      </c>
      <c r="O174">
        <v>3</v>
      </c>
      <c r="P174" t="s">
        <v>10</v>
      </c>
      <c r="Q174">
        <v>3.6</v>
      </c>
      <c r="R174" s="1" t="str">
        <f t="shared" si="3"/>
        <v>II</v>
      </c>
    </row>
    <row r="175" spans="1:18">
      <c r="A175">
        <v>2887</v>
      </c>
      <c r="B175" t="s">
        <v>33</v>
      </c>
      <c r="C175">
        <v>0.505</v>
      </c>
      <c r="D175">
        <v>0.36499999999999999</v>
      </c>
      <c r="E175">
        <v>0.115</v>
      </c>
      <c r="F175">
        <v>0.52100000000000002</v>
      </c>
      <c r="G175">
        <v>0.25</v>
      </c>
      <c r="H175">
        <v>9.6000000000000002E-2</v>
      </c>
      <c r="I175">
        <v>0.15</v>
      </c>
      <c r="J175">
        <v>8</v>
      </c>
      <c r="K175">
        <v>3</v>
      </c>
      <c r="L175" t="s">
        <v>52</v>
      </c>
      <c r="M175" t="s">
        <v>53</v>
      </c>
      <c r="N175" t="s">
        <v>54</v>
      </c>
      <c r="O175">
        <v>7</v>
      </c>
      <c r="P175" t="s">
        <v>6</v>
      </c>
      <c r="Q175">
        <v>2.5</v>
      </c>
      <c r="R175" s="1" t="str">
        <f t="shared" si="3"/>
        <v>II</v>
      </c>
    </row>
    <row r="176" spans="1:18">
      <c r="A176">
        <v>3208</v>
      </c>
      <c r="B176" t="s">
        <v>33</v>
      </c>
      <c r="C176">
        <v>0.48</v>
      </c>
      <c r="D176">
        <v>0.38</v>
      </c>
      <c r="E176">
        <v>0.125</v>
      </c>
      <c r="F176">
        <v>0.52300000000000002</v>
      </c>
      <c r="G176">
        <v>0.21049999999999999</v>
      </c>
      <c r="H176">
        <v>0.1045</v>
      </c>
      <c r="I176">
        <v>0.17499999999999999</v>
      </c>
      <c r="J176">
        <v>15</v>
      </c>
      <c r="K176">
        <v>8</v>
      </c>
      <c r="L176" t="s">
        <v>55</v>
      </c>
      <c r="M176" t="s">
        <v>56</v>
      </c>
      <c r="N176" t="s">
        <v>57</v>
      </c>
      <c r="O176">
        <v>7</v>
      </c>
      <c r="P176" t="s">
        <v>6</v>
      </c>
      <c r="Q176">
        <v>2.5</v>
      </c>
      <c r="R176" s="1" t="str">
        <f t="shared" si="3"/>
        <v>II</v>
      </c>
    </row>
    <row r="177" spans="1:18">
      <c r="A177">
        <v>912</v>
      </c>
      <c r="B177" t="s">
        <v>33</v>
      </c>
      <c r="C177">
        <v>0.34</v>
      </c>
      <c r="D177">
        <v>0.25</v>
      </c>
      <c r="E177">
        <v>7.0000000000000007E-2</v>
      </c>
      <c r="F177">
        <v>0.2225</v>
      </c>
      <c r="G177">
        <v>0.104</v>
      </c>
      <c r="H177">
        <v>4.2500000000000003E-2</v>
      </c>
      <c r="I177">
        <v>5.5E-2</v>
      </c>
      <c r="J177">
        <v>7</v>
      </c>
      <c r="K177">
        <v>10</v>
      </c>
      <c r="L177" t="s">
        <v>37</v>
      </c>
      <c r="M177" t="s">
        <v>38</v>
      </c>
      <c r="N177" t="s">
        <v>39</v>
      </c>
      <c r="O177">
        <v>5</v>
      </c>
      <c r="P177" t="s">
        <v>12</v>
      </c>
      <c r="Q177">
        <v>12.8</v>
      </c>
      <c r="R177" s="1" t="str">
        <f t="shared" si="3"/>
        <v>II</v>
      </c>
    </row>
    <row r="178" spans="1:18">
      <c r="A178">
        <v>3271</v>
      </c>
      <c r="B178" t="s">
        <v>33</v>
      </c>
      <c r="C178">
        <v>0.625</v>
      </c>
      <c r="D178">
        <v>0.47499999999999998</v>
      </c>
      <c r="E178">
        <v>0.13</v>
      </c>
      <c r="F178">
        <v>0.85950000000000004</v>
      </c>
      <c r="G178">
        <v>0.31950000000000001</v>
      </c>
      <c r="H178">
        <v>0.17749999999999999</v>
      </c>
      <c r="I178">
        <v>0.24</v>
      </c>
      <c r="J178">
        <v>13</v>
      </c>
      <c r="K178">
        <v>3</v>
      </c>
      <c r="L178" t="s">
        <v>52</v>
      </c>
      <c r="M178" t="s">
        <v>53</v>
      </c>
      <c r="N178" t="s">
        <v>54</v>
      </c>
      <c r="O178">
        <v>9</v>
      </c>
      <c r="P178" t="s">
        <v>9</v>
      </c>
      <c r="Q178">
        <v>1.9</v>
      </c>
      <c r="R178" s="1" t="str">
        <f t="shared" si="3"/>
        <v>II</v>
      </c>
    </row>
    <row r="179" spans="1:18">
      <c r="A179">
        <v>2093</v>
      </c>
      <c r="B179" t="s">
        <v>33</v>
      </c>
      <c r="C179">
        <v>0.53</v>
      </c>
      <c r="D179">
        <v>0.42499999999999999</v>
      </c>
      <c r="E179">
        <v>0.13</v>
      </c>
      <c r="F179">
        <v>0.74550000000000005</v>
      </c>
      <c r="G179">
        <v>0.29949999999999999</v>
      </c>
      <c r="H179">
        <v>0.13550000000000001</v>
      </c>
      <c r="I179">
        <v>0.245</v>
      </c>
      <c r="J179">
        <v>10</v>
      </c>
      <c r="K179">
        <v>14</v>
      </c>
      <c r="L179" t="s">
        <v>72</v>
      </c>
      <c r="M179" t="s">
        <v>73</v>
      </c>
      <c r="N179" t="s">
        <v>74</v>
      </c>
      <c r="O179">
        <v>6</v>
      </c>
      <c r="P179" t="s">
        <v>7</v>
      </c>
      <c r="Q179">
        <v>14.1</v>
      </c>
      <c r="R179" s="1" t="str">
        <f t="shared" si="3"/>
        <v>II</v>
      </c>
    </row>
    <row r="180" spans="1:18">
      <c r="A180">
        <v>3269</v>
      </c>
      <c r="B180" t="s">
        <v>33</v>
      </c>
      <c r="C180">
        <v>0.41</v>
      </c>
      <c r="D180">
        <v>0.31</v>
      </c>
      <c r="E180">
        <v>0.125</v>
      </c>
      <c r="F180">
        <v>0.35949999999999999</v>
      </c>
      <c r="G180">
        <v>0.14149999999999999</v>
      </c>
      <c r="H180">
        <v>8.8499999999999995E-2</v>
      </c>
      <c r="I180">
        <v>0.115</v>
      </c>
      <c r="J180">
        <v>11</v>
      </c>
      <c r="K180">
        <v>11</v>
      </c>
      <c r="L180" t="s">
        <v>65</v>
      </c>
      <c r="M180" t="s">
        <v>66</v>
      </c>
      <c r="N180" t="s">
        <v>45</v>
      </c>
      <c r="O180">
        <v>9</v>
      </c>
      <c r="P180" t="s">
        <v>9</v>
      </c>
      <c r="Q180">
        <v>1.9</v>
      </c>
      <c r="R180" s="1" t="str">
        <f t="shared" si="3"/>
        <v>II</v>
      </c>
    </row>
    <row r="181" spans="1:18">
      <c r="A181">
        <v>3847</v>
      </c>
      <c r="B181" t="s">
        <v>33</v>
      </c>
      <c r="C181">
        <v>0.37</v>
      </c>
      <c r="D181">
        <v>0.27500000000000002</v>
      </c>
      <c r="E181">
        <v>8.5000000000000006E-2</v>
      </c>
      <c r="F181">
        <v>0.20449999999999999</v>
      </c>
      <c r="G181">
        <v>9.6000000000000002E-2</v>
      </c>
      <c r="H181">
        <v>5.6000000000000001E-2</v>
      </c>
      <c r="I181">
        <v>0.08</v>
      </c>
      <c r="J181">
        <v>6</v>
      </c>
      <c r="K181">
        <v>9</v>
      </c>
      <c r="L181" t="s">
        <v>34</v>
      </c>
      <c r="M181" t="s">
        <v>35</v>
      </c>
      <c r="N181" t="s">
        <v>36</v>
      </c>
      <c r="O181">
        <v>1</v>
      </c>
      <c r="P181" t="s">
        <v>4</v>
      </c>
      <c r="Q181">
        <v>22.1</v>
      </c>
      <c r="R181" s="1" t="str">
        <f t="shared" si="3"/>
        <v>II</v>
      </c>
    </row>
    <row r="182" spans="1:18">
      <c r="A182">
        <v>1842</v>
      </c>
      <c r="B182" t="s">
        <v>33</v>
      </c>
      <c r="C182">
        <v>0.435</v>
      </c>
      <c r="D182">
        <v>0.33500000000000002</v>
      </c>
      <c r="E182">
        <v>0.1</v>
      </c>
      <c r="F182">
        <v>0.32450000000000001</v>
      </c>
      <c r="G182">
        <v>0.13500000000000001</v>
      </c>
      <c r="H182">
        <v>7.85E-2</v>
      </c>
      <c r="I182">
        <v>9.8000000000000004E-2</v>
      </c>
      <c r="J182">
        <v>7</v>
      </c>
      <c r="K182">
        <v>11</v>
      </c>
      <c r="L182" t="s">
        <v>65</v>
      </c>
      <c r="M182" t="s">
        <v>66</v>
      </c>
      <c r="N182" t="s">
        <v>45</v>
      </c>
      <c r="O182">
        <v>10</v>
      </c>
      <c r="P182" t="s">
        <v>11</v>
      </c>
      <c r="Q182">
        <v>24.1</v>
      </c>
      <c r="R182" s="1" t="str">
        <f t="shared" si="3"/>
        <v>II</v>
      </c>
    </row>
    <row r="183" spans="1:18">
      <c r="A183">
        <v>971</v>
      </c>
      <c r="B183" t="s">
        <v>33</v>
      </c>
      <c r="C183">
        <v>0.51500000000000001</v>
      </c>
      <c r="D183">
        <v>0.43</v>
      </c>
      <c r="E183">
        <v>0.14000000000000001</v>
      </c>
      <c r="F183">
        <v>0.83399999999999996</v>
      </c>
      <c r="G183">
        <v>0.36699999999999999</v>
      </c>
      <c r="H183">
        <v>0.2</v>
      </c>
      <c r="I183">
        <v>0.23</v>
      </c>
      <c r="J183">
        <v>8</v>
      </c>
      <c r="K183">
        <v>15</v>
      </c>
      <c r="L183" t="s">
        <v>60</v>
      </c>
      <c r="M183" t="s">
        <v>61</v>
      </c>
      <c r="N183" t="s">
        <v>45</v>
      </c>
      <c r="O183">
        <v>2</v>
      </c>
      <c r="P183" t="s">
        <v>5</v>
      </c>
      <c r="Q183">
        <v>18</v>
      </c>
      <c r="R183" s="1" t="str">
        <f t="shared" si="3"/>
        <v>II</v>
      </c>
    </row>
    <row r="184" spans="1:18">
      <c r="A184">
        <v>427</v>
      </c>
      <c r="B184" t="s">
        <v>33</v>
      </c>
      <c r="C184">
        <v>0.61</v>
      </c>
      <c r="D184">
        <v>0.48499999999999999</v>
      </c>
      <c r="E184">
        <v>0.16500000000000001</v>
      </c>
      <c r="F184">
        <v>1.0914999999999999</v>
      </c>
      <c r="G184">
        <v>0.39350000000000002</v>
      </c>
      <c r="H184">
        <v>0.24349999999999999</v>
      </c>
      <c r="I184">
        <v>0.33</v>
      </c>
      <c r="J184">
        <v>18</v>
      </c>
      <c r="K184">
        <v>11</v>
      </c>
      <c r="L184" t="s">
        <v>65</v>
      </c>
      <c r="M184" t="s">
        <v>66</v>
      </c>
      <c r="N184" t="s">
        <v>45</v>
      </c>
      <c r="O184">
        <v>7</v>
      </c>
      <c r="P184" t="s">
        <v>6</v>
      </c>
      <c r="Q184">
        <v>2.5</v>
      </c>
      <c r="R184" s="1" t="str">
        <f t="shared" si="3"/>
        <v>II</v>
      </c>
    </row>
    <row r="185" spans="1:18">
      <c r="A185">
        <v>713</v>
      </c>
      <c r="B185" t="s">
        <v>33</v>
      </c>
      <c r="C185">
        <v>0.28000000000000003</v>
      </c>
      <c r="D185">
        <v>0.20499999999999999</v>
      </c>
      <c r="E185">
        <v>5.5E-2</v>
      </c>
      <c r="F185">
        <v>0.1135</v>
      </c>
      <c r="G185">
        <v>4.4999999999999998E-2</v>
      </c>
      <c r="H185">
        <v>2.75E-2</v>
      </c>
      <c r="I185">
        <v>3.3500000000000002E-2</v>
      </c>
      <c r="J185">
        <v>7</v>
      </c>
      <c r="K185">
        <v>11</v>
      </c>
      <c r="L185" t="s">
        <v>65</v>
      </c>
      <c r="M185" t="s">
        <v>66</v>
      </c>
      <c r="N185" t="s">
        <v>45</v>
      </c>
      <c r="O185">
        <v>5</v>
      </c>
      <c r="P185" t="s">
        <v>12</v>
      </c>
      <c r="Q185">
        <v>12.8</v>
      </c>
      <c r="R185" s="1" t="str">
        <f t="shared" si="3"/>
        <v>II</v>
      </c>
    </row>
    <row r="186" spans="1:18">
      <c r="A186">
        <v>1235</v>
      </c>
      <c r="B186" t="s">
        <v>33</v>
      </c>
      <c r="C186">
        <v>0.375</v>
      </c>
      <c r="D186">
        <v>0.28999999999999998</v>
      </c>
      <c r="E186">
        <v>9.5000000000000001E-2</v>
      </c>
      <c r="F186">
        <v>0.21299999999999999</v>
      </c>
      <c r="G186">
        <v>9.6000000000000002E-2</v>
      </c>
      <c r="H186">
        <v>4.1000000000000002E-2</v>
      </c>
      <c r="I186">
        <v>6.0999999999999999E-2</v>
      </c>
      <c r="J186">
        <v>5</v>
      </c>
      <c r="K186">
        <v>1</v>
      </c>
      <c r="L186" t="s">
        <v>70</v>
      </c>
      <c r="M186" t="s">
        <v>71</v>
      </c>
      <c r="N186" t="s">
        <v>45</v>
      </c>
      <c r="O186">
        <v>3</v>
      </c>
      <c r="P186" t="s">
        <v>10</v>
      </c>
      <c r="Q186">
        <v>3.6</v>
      </c>
      <c r="R186" s="1" t="str">
        <f t="shared" si="3"/>
        <v>II</v>
      </c>
    </row>
    <row r="187" spans="1:18">
      <c r="A187">
        <v>1557</v>
      </c>
      <c r="B187" t="s">
        <v>33</v>
      </c>
      <c r="C187">
        <v>0.41499999999999998</v>
      </c>
      <c r="D187">
        <v>0.32500000000000001</v>
      </c>
      <c r="E187">
        <v>0.1</v>
      </c>
      <c r="F187">
        <v>0.313</v>
      </c>
      <c r="G187">
        <v>0.13900000000000001</v>
      </c>
      <c r="H187">
        <v>6.25E-2</v>
      </c>
      <c r="I187">
        <v>9.6500000000000002E-2</v>
      </c>
      <c r="J187">
        <v>7</v>
      </c>
      <c r="K187">
        <v>10</v>
      </c>
      <c r="L187" t="s">
        <v>37</v>
      </c>
      <c r="M187" t="s">
        <v>38</v>
      </c>
      <c r="N187" t="s">
        <v>39</v>
      </c>
      <c r="O187">
        <v>2</v>
      </c>
      <c r="P187" t="s">
        <v>5</v>
      </c>
      <c r="Q187">
        <v>18</v>
      </c>
      <c r="R187" s="1" t="str">
        <f t="shared" si="3"/>
        <v>II</v>
      </c>
    </row>
    <row r="188" spans="1:18">
      <c r="A188">
        <v>2567</v>
      </c>
      <c r="B188" t="s">
        <v>33</v>
      </c>
      <c r="C188">
        <v>0.45500000000000002</v>
      </c>
      <c r="D188">
        <v>0.35</v>
      </c>
      <c r="E188">
        <v>0.12</v>
      </c>
      <c r="F188">
        <v>0.45550000000000002</v>
      </c>
      <c r="G188">
        <v>0.19450000000000001</v>
      </c>
      <c r="H188">
        <v>0.1045</v>
      </c>
      <c r="I188">
        <v>0.13750000000000001</v>
      </c>
      <c r="J188">
        <v>7</v>
      </c>
      <c r="K188">
        <v>1</v>
      </c>
      <c r="L188" t="s">
        <v>70</v>
      </c>
      <c r="M188" t="s">
        <v>71</v>
      </c>
      <c r="N188" t="s">
        <v>45</v>
      </c>
      <c r="O188">
        <v>3</v>
      </c>
      <c r="P188" t="s">
        <v>10</v>
      </c>
      <c r="Q188">
        <v>3.6</v>
      </c>
      <c r="R188" s="1" t="str">
        <f t="shared" si="3"/>
        <v>II</v>
      </c>
    </row>
    <row r="189" spans="1:18">
      <c r="A189">
        <v>3937</v>
      </c>
      <c r="B189" t="s">
        <v>33</v>
      </c>
      <c r="C189">
        <v>0.47499999999999998</v>
      </c>
      <c r="D189">
        <v>0.4</v>
      </c>
      <c r="E189">
        <v>0.115</v>
      </c>
      <c r="F189">
        <v>0.54100000000000004</v>
      </c>
      <c r="G189">
        <v>0.186</v>
      </c>
      <c r="H189">
        <v>0.10249999999999999</v>
      </c>
      <c r="I189">
        <v>0.21</v>
      </c>
      <c r="J189">
        <v>13</v>
      </c>
      <c r="K189">
        <v>2</v>
      </c>
      <c r="L189" t="s">
        <v>49</v>
      </c>
      <c r="M189" t="s">
        <v>50</v>
      </c>
      <c r="N189" t="s">
        <v>51</v>
      </c>
      <c r="O189">
        <v>2</v>
      </c>
      <c r="P189" t="s">
        <v>5</v>
      </c>
      <c r="Q189">
        <v>18</v>
      </c>
      <c r="R189" s="1" t="str">
        <f t="shared" si="3"/>
        <v>II</v>
      </c>
    </row>
    <row r="190" spans="1:18">
      <c r="A190">
        <v>729</v>
      </c>
      <c r="B190" t="s">
        <v>33</v>
      </c>
      <c r="C190">
        <v>0.505</v>
      </c>
      <c r="D190">
        <v>0.4</v>
      </c>
      <c r="E190">
        <v>0.125</v>
      </c>
      <c r="F190">
        <v>0.77</v>
      </c>
      <c r="G190">
        <v>0.27350000000000002</v>
      </c>
      <c r="H190">
        <v>0.159</v>
      </c>
      <c r="I190">
        <v>0.255</v>
      </c>
      <c r="J190">
        <v>13</v>
      </c>
      <c r="K190">
        <v>11</v>
      </c>
      <c r="L190" t="s">
        <v>65</v>
      </c>
      <c r="M190" t="s">
        <v>66</v>
      </c>
      <c r="N190" t="s">
        <v>45</v>
      </c>
      <c r="O190">
        <v>5</v>
      </c>
      <c r="P190" t="s">
        <v>12</v>
      </c>
      <c r="Q190">
        <v>12.8</v>
      </c>
      <c r="R190" s="1" t="str">
        <f t="shared" si="3"/>
        <v>II</v>
      </c>
    </row>
    <row r="191" spans="1:18">
      <c r="A191">
        <v>841</v>
      </c>
      <c r="B191" t="s">
        <v>33</v>
      </c>
      <c r="C191">
        <v>0.49</v>
      </c>
      <c r="D191">
        <v>0.38500000000000001</v>
      </c>
      <c r="E191">
        <v>0.125</v>
      </c>
      <c r="F191">
        <v>0.60899999999999999</v>
      </c>
      <c r="G191">
        <v>0.30649999999999999</v>
      </c>
      <c r="H191">
        <v>9.6000000000000002E-2</v>
      </c>
      <c r="I191">
        <v>0.17749999999999999</v>
      </c>
      <c r="J191">
        <v>8</v>
      </c>
      <c r="K191">
        <v>9</v>
      </c>
      <c r="L191" t="s">
        <v>34</v>
      </c>
      <c r="M191" t="s">
        <v>35</v>
      </c>
      <c r="N191" t="s">
        <v>36</v>
      </c>
      <c r="O191">
        <v>6</v>
      </c>
      <c r="P191" t="s">
        <v>7</v>
      </c>
      <c r="Q191">
        <v>14.1</v>
      </c>
      <c r="R191" s="1" t="str">
        <f t="shared" si="3"/>
        <v>II</v>
      </c>
    </row>
    <row r="192" spans="1:18">
      <c r="A192">
        <v>172</v>
      </c>
      <c r="B192" t="s">
        <v>33</v>
      </c>
      <c r="C192">
        <v>0.53</v>
      </c>
      <c r="D192">
        <v>0.39500000000000002</v>
      </c>
      <c r="E192">
        <v>0.14499999999999999</v>
      </c>
      <c r="F192">
        <v>0.77500000000000002</v>
      </c>
      <c r="G192">
        <v>0.308</v>
      </c>
      <c r="H192">
        <v>0.16900000000000001</v>
      </c>
      <c r="I192">
        <v>0.255</v>
      </c>
      <c r="J192">
        <v>7</v>
      </c>
      <c r="K192">
        <v>8</v>
      </c>
      <c r="L192" t="s">
        <v>55</v>
      </c>
      <c r="M192" t="s">
        <v>56</v>
      </c>
      <c r="N192" t="s">
        <v>57</v>
      </c>
      <c r="O192">
        <v>3</v>
      </c>
      <c r="P192" t="s">
        <v>10</v>
      </c>
      <c r="Q192">
        <v>3.6</v>
      </c>
      <c r="R192" s="1" t="str">
        <f t="shared" si="3"/>
        <v>II</v>
      </c>
    </row>
    <row r="193" spans="1:18">
      <c r="A193">
        <v>2257</v>
      </c>
      <c r="B193" t="s">
        <v>33</v>
      </c>
      <c r="C193">
        <v>0.52</v>
      </c>
      <c r="D193">
        <v>0.38</v>
      </c>
      <c r="E193">
        <v>0.13500000000000001</v>
      </c>
      <c r="F193">
        <v>0.58250000000000002</v>
      </c>
      <c r="G193">
        <v>0.2505</v>
      </c>
      <c r="H193">
        <v>0.1565</v>
      </c>
      <c r="I193">
        <v>0.17499999999999999</v>
      </c>
      <c r="J193">
        <v>8</v>
      </c>
      <c r="K193">
        <v>2</v>
      </c>
      <c r="L193" t="s">
        <v>49</v>
      </c>
      <c r="M193" t="s">
        <v>50</v>
      </c>
      <c r="N193" t="s">
        <v>51</v>
      </c>
      <c r="O193">
        <v>1</v>
      </c>
      <c r="P193" t="s">
        <v>4</v>
      </c>
      <c r="Q193">
        <v>22.1</v>
      </c>
      <c r="R193" s="1" t="str">
        <f t="shared" si="3"/>
        <v>II</v>
      </c>
    </row>
    <row r="194" spans="1:18">
      <c r="A194">
        <v>1309</v>
      </c>
      <c r="B194" t="s">
        <v>33</v>
      </c>
      <c r="C194">
        <v>0.54500000000000004</v>
      </c>
      <c r="D194">
        <v>0.44500000000000001</v>
      </c>
      <c r="E194">
        <v>0.15</v>
      </c>
      <c r="F194">
        <v>0.8</v>
      </c>
      <c r="G194">
        <v>0.35349999999999998</v>
      </c>
      <c r="H194">
        <v>0.16300000000000001</v>
      </c>
      <c r="I194">
        <v>0.20699999999999999</v>
      </c>
      <c r="J194">
        <v>9</v>
      </c>
      <c r="K194">
        <v>14</v>
      </c>
      <c r="L194" t="s">
        <v>72</v>
      </c>
      <c r="M194" t="s">
        <v>73</v>
      </c>
      <c r="N194" t="s">
        <v>74</v>
      </c>
      <c r="O194">
        <v>4</v>
      </c>
      <c r="P194" t="s">
        <v>8</v>
      </c>
      <c r="Q194">
        <v>6.1</v>
      </c>
      <c r="R194" s="1" t="str">
        <f t="shared" si="3"/>
        <v>II</v>
      </c>
    </row>
    <row r="195" spans="1:18">
      <c r="A195">
        <v>1287</v>
      </c>
      <c r="B195" t="s">
        <v>33</v>
      </c>
      <c r="C195">
        <v>0.5</v>
      </c>
      <c r="D195">
        <v>0.39500000000000002</v>
      </c>
      <c r="E195">
        <v>0.14000000000000001</v>
      </c>
      <c r="F195">
        <v>0.62150000000000005</v>
      </c>
      <c r="G195">
        <v>0.29249999999999998</v>
      </c>
      <c r="H195">
        <v>0.1205</v>
      </c>
      <c r="I195">
        <v>0.19500000000000001</v>
      </c>
      <c r="J195">
        <v>9</v>
      </c>
      <c r="K195">
        <v>8</v>
      </c>
      <c r="L195" t="s">
        <v>55</v>
      </c>
      <c r="M195" t="s">
        <v>56</v>
      </c>
      <c r="N195" t="s">
        <v>57</v>
      </c>
      <c r="O195">
        <v>3</v>
      </c>
      <c r="P195" t="s">
        <v>10</v>
      </c>
      <c r="Q195">
        <v>3.6</v>
      </c>
      <c r="R195" s="1" t="str">
        <f t="shared" si="3"/>
        <v>II</v>
      </c>
    </row>
    <row r="196" spans="1:18">
      <c r="A196">
        <v>2153</v>
      </c>
      <c r="B196" t="s">
        <v>33</v>
      </c>
      <c r="C196">
        <v>0.4</v>
      </c>
      <c r="D196">
        <v>0.3</v>
      </c>
      <c r="E196">
        <v>0.115</v>
      </c>
      <c r="F196">
        <v>0.30249999999999999</v>
      </c>
      <c r="G196">
        <v>0.13350000000000001</v>
      </c>
      <c r="H196">
        <v>4.65E-2</v>
      </c>
      <c r="I196">
        <v>9.35E-2</v>
      </c>
      <c r="J196">
        <v>8</v>
      </c>
      <c r="K196">
        <v>4</v>
      </c>
      <c r="L196" t="s">
        <v>40</v>
      </c>
      <c r="M196" t="s">
        <v>41</v>
      </c>
      <c r="N196" t="s">
        <v>42</v>
      </c>
      <c r="O196">
        <v>3</v>
      </c>
      <c r="P196" t="s">
        <v>10</v>
      </c>
      <c r="Q196">
        <v>3.6</v>
      </c>
      <c r="R196" s="1" t="str">
        <f t="shared" si="3"/>
        <v>II</v>
      </c>
    </row>
    <row r="197" spans="1:18">
      <c r="A197">
        <v>1640</v>
      </c>
      <c r="B197" t="s">
        <v>33</v>
      </c>
      <c r="C197">
        <v>0.57499999999999996</v>
      </c>
      <c r="D197">
        <v>0.45</v>
      </c>
      <c r="E197">
        <v>0.13500000000000001</v>
      </c>
      <c r="F197">
        <v>0.80700000000000005</v>
      </c>
      <c r="G197">
        <v>0.36149999999999999</v>
      </c>
      <c r="H197">
        <v>0.17599999999999999</v>
      </c>
      <c r="I197">
        <v>0.254</v>
      </c>
      <c r="J197">
        <v>10</v>
      </c>
      <c r="K197">
        <v>3</v>
      </c>
      <c r="L197" t="s">
        <v>52</v>
      </c>
      <c r="M197" t="s">
        <v>53</v>
      </c>
      <c r="N197" t="s">
        <v>54</v>
      </c>
      <c r="O197">
        <v>7</v>
      </c>
      <c r="P197" t="s">
        <v>6</v>
      </c>
      <c r="Q197">
        <v>2.5</v>
      </c>
      <c r="R197" s="1" t="str">
        <f t="shared" si="3"/>
        <v>II</v>
      </c>
    </row>
    <row r="198" spans="1:18">
      <c r="A198">
        <v>4166</v>
      </c>
      <c r="B198" t="s">
        <v>33</v>
      </c>
      <c r="C198">
        <v>0.40500000000000003</v>
      </c>
      <c r="D198">
        <v>0.3</v>
      </c>
      <c r="E198">
        <v>8.5000000000000006E-2</v>
      </c>
      <c r="F198">
        <v>0.30349999999999999</v>
      </c>
      <c r="G198">
        <v>0.15</v>
      </c>
      <c r="H198">
        <v>5.0500000000000003E-2</v>
      </c>
      <c r="I198">
        <v>8.7999999999999995E-2</v>
      </c>
      <c r="J198">
        <v>7</v>
      </c>
      <c r="K198">
        <v>15</v>
      </c>
      <c r="L198" t="s">
        <v>60</v>
      </c>
      <c r="M198" t="s">
        <v>61</v>
      </c>
      <c r="N198" t="s">
        <v>45</v>
      </c>
      <c r="O198">
        <v>3</v>
      </c>
      <c r="P198" t="s">
        <v>10</v>
      </c>
      <c r="Q198">
        <v>3.6</v>
      </c>
      <c r="R198" s="1" t="str">
        <f t="shared" si="3"/>
        <v>II</v>
      </c>
    </row>
    <row r="199" spans="1:18">
      <c r="A199">
        <v>443</v>
      </c>
      <c r="B199" t="s">
        <v>33</v>
      </c>
      <c r="C199">
        <v>0.505</v>
      </c>
      <c r="D199">
        <v>0.42499999999999999</v>
      </c>
      <c r="E199">
        <v>0.14000000000000001</v>
      </c>
      <c r="F199">
        <v>0.85</v>
      </c>
      <c r="G199">
        <v>0.27500000000000002</v>
      </c>
      <c r="H199">
        <v>0.16250000000000001</v>
      </c>
      <c r="I199">
        <v>0.28499999999999998</v>
      </c>
      <c r="J199">
        <v>19</v>
      </c>
      <c r="K199">
        <v>6</v>
      </c>
      <c r="L199" t="s">
        <v>46</v>
      </c>
      <c r="M199" t="s">
        <v>47</v>
      </c>
      <c r="N199" t="s">
        <v>48</v>
      </c>
      <c r="O199">
        <v>7</v>
      </c>
      <c r="P199" t="s">
        <v>6</v>
      </c>
      <c r="Q199">
        <v>2.5</v>
      </c>
      <c r="R199" s="1" t="str">
        <f t="shared" si="3"/>
        <v>II</v>
      </c>
    </row>
    <row r="200" spans="1:18">
      <c r="A200">
        <v>1570</v>
      </c>
      <c r="B200" t="s">
        <v>33</v>
      </c>
      <c r="C200">
        <v>0.47499999999999998</v>
      </c>
      <c r="D200">
        <v>0.36</v>
      </c>
      <c r="E200">
        <v>0.14499999999999999</v>
      </c>
      <c r="F200">
        <v>0.63249999999999995</v>
      </c>
      <c r="G200">
        <v>0.28249999999999997</v>
      </c>
      <c r="H200">
        <v>0.13700000000000001</v>
      </c>
      <c r="I200">
        <v>0.19</v>
      </c>
      <c r="J200">
        <v>8</v>
      </c>
      <c r="K200">
        <v>5</v>
      </c>
      <c r="L200" t="s">
        <v>67</v>
      </c>
      <c r="M200" t="s">
        <v>68</v>
      </c>
      <c r="N200" t="s">
        <v>69</v>
      </c>
      <c r="O200">
        <v>7</v>
      </c>
      <c r="P200" t="s">
        <v>6</v>
      </c>
      <c r="Q200">
        <v>2.5</v>
      </c>
      <c r="R200" s="1" t="str">
        <f t="shared" si="3"/>
        <v>II</v>
      </c>
    </row>
    <row r="201" spans="1:18">
      <c r="A201">
        <v>1271</v>
      </c>
      <c r="B201" t="s">
        <v>33</v>
      </c>
      <c r="C201">
        <v>0.47</v>
      </c>
      <c r="D201">
        <v>0.35499999999999998</v>
      </c>
      <c r="E201">
        <v>0.18</v>
      </c>
      <c r="F201">
        <v>0.48</v>
      </c>
      <c r="G201">
        <v>0.20549999999999999</v>
      </c>
      <c r="H201">
        <v>0.105</v>
      </c>
      <c r="I201">
        <v>0.15049999999999999</v>
      </c>
      <c r="J201">
        <v>8</v>
      </c>
      <c r="K201">
        <v>7</v>
      </c>
      <c r="L201" t="s">
        <v>62</v>
      </c>
      <c r="M201" t="s">
        <v>63</v>
      </c>
      <c r="N201" t="s">
        <v>64</v>
      </c>
      <c r="O201">
        <v>1</v>
      </c>
      <c r="P201" t="s">
        <v>4</v>
      </c>
      <c r="Q201">
        <v>22.1</v>
      </c>
      <c r="R201" s="1" t="str">
        <f t="shared" si="3"/>
        <v>II</v>
      </c>
    </row>
    <row r="202" spans="1:18">
      <c r="A202">
        <v>2041</v>
      </c>
      <c r="B202" t="s">
        <v>33</v>
      </c>
      <c r="C202">
        <v>0.32</v>
      </c>
      <c r="D202">
        <v>0.255</v>
      </c>
      <c r="E202">
        <v>8.5000000000000006E-2</v>
      </c>
      <c r="F202">
        <v>0.17449999999999999</v>
      </c>
      <c r="G202">
        <v>7.1999999999999995E-2</v>
      </c>
      <c r="H202">
        <v>3.3000000000000002E-2</v>
      </c>
      <c r="I202">
        <v>5.7000000000000002E-2</v>
      </c>
      <c r="J202">
        <v>8</v>
      </c>
      <c r="K202">
        <v>4</v>
      </c>
      <c r="L202" t="s">
        <v>40</v>
      </c>
      <c r="M202" t="s">
        <v>41</v>
      </c>
      <c r="N202" t="s">
        <v>42</v>
      </c>
      <c r="O202">
        <v>5</v>
      </c>
      <c r="P202" t="s">
        <v>12</v>
      </c>
      <c r="Q202">
        <v>12.8</v>
      </c>
      <c r="R202" s="1" t="str">
        <f t="shared" si="3"/>
        <v>II</v>
      </c>
    </row>
    <row r="203" spans="1:18">
      <c r="A203">
        <v>103</v>
      </c>
      <c r="B203" t="s">
        <v>33</v>
      </c>
      <c r="C203">
        <v>0.53</v>
      </c>
      <c r="D203">
        <v>0.435</v>
      </c>
      <c r="E203">
        <v>0.16</v>
      </c>
      <c r="F203">
        <v>0.88300000000000001</v>
      </c>
      <c r="G203">
        <v>0.316</v>
      </c>
      <c r="H203">
        <v>0.16400000000000001</v>
      </c>
      <c r="I203">
        <v>0.33500000000000002</v>
      </c>
      <c r="J203">
        <v>15</v>
      </c>
      <c r="K203">
        <v>10</v>
      </c>
      <c r="L203" t="s">
        <v>37</v>
      </c>
      <c r="M203" t="s">
        <v>38</v>
      </c>
      <c r="N203" t="s">
        <v>39</v>
      </c>
      <c r="O203">
        <v>3</v>
      </c>
      <c r="P203" t="s">
        <v>10</v>
      </c>
      <c r="Q203">
        <v>3.6</v>
      </c>
      <c r="R203" s="1" t="str">
        <f t="shared" ref="R203:R266" si="4">IF(OR(AND(J203 &gt; 15, B203 = "Infant"), AND(D203 = "Male", C203 &gt; 0.75),
    OR(I203 &gt; 0.8, G203 &gt; 0.5), G203 &gt; 1.2),
    "I",
    IF(OR(AND(I203 &lt; 0.4, G203 &lt; 0.4), AND(J203 &gt; 15, D203 = "Male"), AND(J203 &gt; 18, D203 = "Female"), C203 &lt; 0.36),
    "II",
    "III"))</f>
        <v>II</v>
      </c>
    </row>
    <row r="204" spans="1:18">
      <c r="A204">
        <v>1612</v>
      </c>
      <c r="B204" t="s">
        <v>33</v>
      </c>
      <c r="C204">
        <v>0.55000000000000004</v>
      </c>
      <c r="D204">
        <v>0.435</v>
      </c>
      <c r="E204">
        <v>0.14000000000000001</v>
      </c>
      <c r="F204">
        <v>0.76249999999999996</v>
      </c>
      <c r="G204">
        <v>0.32700000000000001</v>
      </c>
      <c r="H204">
        <v>0.16850000000000001</v>
      </c>
      <c r="I204">
        <v>0.25900000000000001</v>
      </c>
      <c r="J204">
        <v>10</v>
      </c>
      <c r="K204">
        <v>1</v>
      </c>
      <c r="L204" t="s">
        <v>70</v>
      </c>
      <c r="M204" t="s">
        <v>71</v>
      </c>
      <c r="N204" t="s">
        <v>45</v>
      </c>
      <c r="O204">
        <v>10</v>
      </c>
      <c r="P204" t="s">
        <v>11</v>
      </c>
      <c r="Q204">
        <v>24.1</v>
      </c>
      <c r="R204" s="1" t="str">
        <f t="shared" si="4"/>
        <v>II</v>
      </c>
    </row>
    <row r="205" spans="1:18">
      <c r="A205">
        <v>3910</v>
      </c>
      <c r="B205" t="s">
        <v>33</v>
      </c>
      <c r="C205">
        <v>0.45500000000000002</v>
      </c>
      <c r="D205">
        <v>0.375</v>
      </c>
      <c r="E205">
        <v>0.125</v>
      </c>
      <c r="F205">
        <v>0.45800000000000002</v>
      </c>
      <c r="G205">
        <v>0.19850000000000001</v>
      </c>
      <c r="H205">
        <v>0.111</v>
      </c>
      <c r="I205">
        <v>0.12</v>
      </c>
      <c r="J205">
        <v>10</v>
      </c>
      <c r="K205">
        <v>9</v>
      </c>
      <c r="L205" t="s">
        <v>34</v>
      </c>
      <c r="M205" t="s">
        <v>35</v>
      </c>
      <c r="N205" t="s">
        <v>36</v>
      </c>
      <c r="O205">
        <v>2</v>
      </c>
      <c r="P205" t="s">
        <v>5</v>
      </c>
      <c r="Q205">
        <v>18</v>
      </c>
      <c r="R205" s="1" t="str">
        <f t="shared" si="4"/>
        <v>II</v>
      </c>
    </row>
    <row r="206" spans="1:18">
      <c r="A206">
        <v>3356</v>
      </c>
      <c r="B206" t="s">
        <v>33</v>
      </c>
      <c r="C206">
        <v>0.435</v>
      </c>
      <c r="D206">
        <v>0.34</v>
      </c>
      <c r="E206">
        <v>0.11</v>
      </c>
      <c r="F206">
        <v>0.40699999999999997</v>
      </c>
      <c r="G206">
        <v>0.16850000000000001</v>
      </c>
      <c r="H206">
        <v>7.2999999999999995E-2</v>
      </c>
      <c r="I206">
        <v>0.13</v>
      </c>
      <c r="J206">
        <v>10</v>
      </c>
      <c r="K206">
        <v>2</v>
      </c>
      <c r="L206" t="s">
        <v>49</v>
      </c>
      <c r="M206" t="s">
        <v>50</v>
      </c>
      <c r="N206" t="s">
        <v>51</v>
      </c>
      <c r="O206">
        <v>1</v>
      </c>
      <c r="P206" t="s">
        <v>4</v>
      </c>
      <c r="Q206">
        <v>22.1</v>
      </c>
      <c r="R206" s="1" t="str">
        <f t="shared" si="4"/>
        <v>II</v>
      </c>
    </row>
    <row r="207" spans="1:18">
      <c r="A207">
        <v>2063</v>
      </c>
      <c r="B207" t="s">
        <v>33</v>
      </c>
      <c r="C207">
        <v>0.505</v>
      </c>
      <c r="D207">
        <v>0.38500000000000001</v>
      </c>
      <c r="E207">
        <v>0.13</v>
      </c>
      <c r="F207">
        <v>0.64349999999999996</v>
      </c>
      <c r="G207">
        <v>0.3135</v>
      </c>
      <c r="H207">
        <v>0.14899999999999999</v>
      </c>
      <c r="I207">
        <v>0.1515</v>
      </c>
      <c r="J207">
        <v>7</v>
      </c>
      <c r="K207">
        <v>6</v>
      </c>
      <c r="L207" t="s">
        <v>46</v>
      </c>
      <c r="M207" t="s">
        <v>47</v>
      </c>
      <c r="N207" t="s">
        <v>48</v>
      </c>
      <c r="O207">
        <v>7</v>
      </c>
      <c r="P207" t="s">
        <v>6</v>
      </c>
      <c r="Q207">
        <v>2.5</v>
      </c>
      <c r="R207" s="1" t="str">
        <f t="shared" si="4"/>
        <v>II</v>
      </c>
    </row>
    <row r="208" spans="1:18">
      <c r="A208">
        <v>2165</v>
      </c>
      <c r="B208" t="s">
        <v>33</v>
      </c>
      <c r="C208">
        <v>0.375</v>
      </c>
      <c r="D208">
        <v>0.30499999999999999</v>
      </c>
      <c r="E208">
        <v>0.09</v>
      </c>
      <c r="F208">
        <v>0.32450000000000001</v>
      </c>
      <c r="G208">
        <v>0.13950000000000001</v>
      </c>
      <c r="H208">
        <v>5.6500000000000002E-2</v>
      </c>
      <c r="I208">
        <v>9.5000000000000001E-2</v>
      </c>
      <c r="J208">
        <v>5</v>
      </c>
      <c r="K208">
        <v>15</v>
      </c>
      <c r="L208" t="s">
        <v>60</v>
      </c>
      <c r="M208" t="s">
        <v>61</v>
      </c>
      <c r="N208" t="s">
        <v>45</v>
      </c>
      <c r="O208">
        <v>9</v>
      </c>
      <c r="P208" t="s">
        <v>9</v>
      </c>
      <c r="Q208">
        <v>1.9</v>
      </c>
      <c r="R208" s="1" t="str">
        <f t="shared" si="4"/>
        <v>II</v>
      </c>
    </row>
    <row r="209" spans="1:18">
      <c r="A209">
        <v>714</v>
      </c>
      <c r="B209" t="s">
        <v>33</v>
      </c>
      <c r="C209">
        <v>0.35499999999999998</v>
      </c>
      <c r="D209">
        <v>0.26500000000000001</v>
      </c>
      <c r="E209">
        <v>8.5000000000000006E-2</v>
      </c>
      <c r="F209">
        <v>0.20100000000000001</v>
      </c>
      <c r="G209">
        <v>6.9000000000000006E-2</v>
      </c>
      <c r="H209">
        <v>5.2999999999999999E-2</v>
      </c>
      <c r="I209">
        <v>6.9500000000000006E-2</v>
      </c>
      <c r="J209">
        <v>8</v>
      </c>
      <c r="K209">
        <v>12</v>
      </c>
      <c r="L209" t="s">
        <v>58</v>
      </c>
      <c r="M209" t="s">
        <v>59</v>
      </c>
      <c r="N209" t="s">
        <v>45</v>
      </c>
      <c r="O209">
        <v>10</v>
      </c>
      <c r="P209" t="s">
        <v>11</v>
      </c>
      <c r="Q209">
        <v>24.1</v>
      </c>
      <c r="R209" s="1" t="str">
        <f t="shared" si="4"/>
        <v>II</v>
      </c>
    </row>
    <row r="210" spans="1:18">
      <c r="A210">
        <v>2263</v>
      </c>
      <c r="B210" t="s">
        <v>33</v>
      </c>
      <c r="C210">
        <v>0.57999999999999996</v>
      </c>
      <c r="D210">
        <v>0.45500000000000002</v>
      </c>
      <c r="E210">
        <v>0.16</v>
      </c>
      <c r="F210">
        <v>0.92149999999999999</v>
      </c>
      <c r="G210">
        <v>0.312</v>
      </c>
      <c r="H210">
        <v>0.19600000000000001</v>
      </c>
      <c r="I210">
        <v>0.3</v>
      </c>
      <c r="J210">
        <v>17</v>
      </c>
      <c r="K210">
        <v>13</v>
      </c>
      <c r="L210" t="s">
        <v>43</v>
      </c>
      <c r="M210" t="s">
        <v>44</v>
      </c>
      <c r="N210" t="s">
        <v>45</v>
      </c>
      <c r="O210">
        <v>10</v>
      </c>
      <c r="P210" t="s">
        <v>11</v>
      </c>
      <c r="Q210">
        <v>24.1</v>
      </c>
      <c r="R210" s="1" t="str">
        <f t="shared" si="4"/>
        <v>II</v>
      </c>
    </row>
    <row r="211" spans="1:18">
      <c r="A211">
        <v>677</v>
      </c>
      <c r="B211" t="s">
        <v>33</v>
      </c>
      <c r="C211">
        <v>0.54</v>
      </c>
      <c r="D211">
        <v>0.41499999999999998</v>
      </c>
      <c r="E211">
        <v>0.14499999999999999</v>
      </c>
      <c r="F211">
        <v>0.74</v>
      </c>
      <c r="G211">
        <v>0.26350000000000001</v>
      </c>
      <c r="H211">
        <v>0.16800000000000001</v>
      </c>
      <c r="I211">
        <v>0.245</v>
      </c>
      <c r="J211">
        <v>12</v>
      </c>
      <c r="K211">
        <v>9</v>
      </c>
      <c r="L211" t="s">
        <v>34</v>
      </c>
      <c r="M211" t="s">
        <v>35</v>
      </c>
      <c r="N211" t="s">
        <v>36</v>
      </c>
      <c r="O211">
        <v>5</v>
      </c>
      <c r="P211" t="s">
        <v>12</v>
      </c>
      <c r="Q211">
        <v>12.8</v>
      </c>
      <c r="R211" s="1" t="str">
        <f t="shared" si="4"/>
        <v>II</v>
      </c>
    </row>
    <row r="212" spans="1:18">
      <c r="A212">
        <v>2896</v>
      </c>
      <c r="B212" t="s">
        <v>33</v>
      </c>
      <c r="C212">
        <v>0.54</v>
      </c>
      <c r="D212">
        <v>0.41499999999999998</v>
      </c>
      <c r="E212">
        <v>0.11</v>
      </c>
      <c r="F212">
        <v>0.61899999999999999</v>
      </c>
      <c r="G212">
        <v>0.27550000000000002</v>
      </c>
      <c r="H212">
        <v>0.15</v>
      </c>
      <c r="I212">
        <v>0.17649999999999999</v>
      </c>
      <c r="J212">
        <v>10</v>
      </c>
      <c r="K212">
        <v>1</v>
      </c>
      <c r="L212" t="s">
        <v>70</v>
      </c>
      <c r="M212" t="s">
        <v>71</v>
      </c>
      <c r="N212" t="s">
        <v>45</v>
      </c>
      <c r="O212">
        <v>9</v>
      </c>
      <c r="P212" t="s">
        <v>9</v>
      </c>
      <c r="Q212">
        <v>1.9</v>
      </c>
      <c r="R212" s="1" t="str">
        <f t="shared" si="4"/>
        <v>II</v>
      </c>
    </row>
    <row r="213" spans="1:18">
      <c r="A213">
        <v>2715</v>
      </c>
      <c r="B213" t="s">
        <v>33</v>
      </c>
      <c r="C213">
        <v>0.28999999999999998</v>
      </c>
      <c r="D213">
        <v>0.215</v>
      </c>
      <c r="E213">
        <v>6.5000000000000002E-2</v>
      </c>
      <c r="F213">
        <v>9.8500000000000004E-2</v>
      </c>
      <c r="G213">
        <v>4.2500000000000003E-2</v>
      </c>
      <c r="H213">
        <v>2.1000000000000001E-2</v>
      </c>
      <c r="I213">
        <v>3.1E-2</v>
      </c>
      <c r="J213">
        <v>5</v>
      </c>
      <c r="K213">
        <v>8</v>
      </c>
      <c r="L213" t="s">
        <v>55</v>
      </c>
      <c r="M213" t="s">
        <v>56</v>
      </c>
      <c r="N213" t="s">
        <v>57</v>
      </c>
      <c r="O213">
        <v>10</v>
      </c>
      <c r="P213" t="s">
        <v>11</v>
      </c>
      <c r="Q213">
        <v>24.1</v>
      </c>
      <c r="R213" s="1" t="str">
        <f t="shared" si="4"/>
        <v>II</v>
      </c>
    </row>
    <row r="214" spans="1:18">
      <c r="A214">
        <v>3312</v>
      </c>
      <c r="B214" t="s">
        <v>33</v>
      </c>
      <c r="C214">
        <v>0.48</v>
      </c>
      <c r="D214">
        <v>0.38</v>
      </c>
      <c r="E214">
        <v>0.13500000000000001</v>
      </c>
      <c r="F214">
        <v>0.50700000000000001</v>
      </c>
      <c r="G214">
        <v>0.1915</v>
      </c>
      <c r="H214">
        <v>0.13650000000000001</v>
      </c>
      <c r="I214">
        <v>0.155</v>
      </c>
      <c r="J214">
        <v>12</v>
      </c>
      <c r="K214">
        <v>15</v>
      </c>
      <c r="L214" t="s">
        <v>60</v>
      </c>
      <c r="M214" t="s">
        <v>61</v>
      </c>
      <c r="N214" t="s">
        <v>45</v>
      </c>
      <c r="O214">
        <v>5</v>
      </c>
      <c r="P214" t="s">
        <v>12</v>
      </c>
      <c r="Q214">
        <v>12.8</v>
      </c>
      <c r="R214" s="1" t="str">
        <f t="shared" si="4"/>
        <v>II</v>
      </c>
    </row>
    <row r="215" spans="1:18">
      <c r="A215">
        <v>9</v>
      </c>
      <c r="B215" t="s">
        <v>33</v>
      </c>
      <c r="C215">
        <v>0.47499999999999998</v>
      </c>
      <c r="D215">
        <v>0.37</v>
      </c>
      <c r="E215">
        <v>0.125</v>
      </c>
      <c r="F215">
        <v>0.50949999999999995</v>
      </c>
      <c r="G215">
        <v>0.2165</v>
      </c>
      <c r="H215">
        <v>0.1125</v>
      </c>
      <c r="I215">
        <v>0.16500000000000001</v>
      </c>
      <c r="J215">
        <v>9</v>
      </c>
      <c r="K215">
        <v>2</v>
      </c>
      <c r="L215" t="s">
        <v>49</v>
      </c>
      <c r="M215" t="s">
        <v>50</v>
      </c>
      <c r="N215" t="s">
        <v>51</v>
      </c>
      <c r="O215">
        <v>3</v>
      </c>
      <c r="P215" t="s">
        <v>10</v>
      </c>
      <c r="Q215">
        <v>3.6</v>
      </c>
      <c r="R215" s="1" t="str">
        <f t="shared" si="4"/>
        <v>II</v>
      </c>
    </row>
    <row r="216" spans="1:18">
      <c r="A216">
        <v>2556</v>
      </c>
      <c r="B216" t="s">
        <v>33</v>
      </c>
      <c r="C216">
        <v>0.37</v>
      </c>
      <c r="D216">
        <v>0.28999999999999998</v>
      </c>
      <c r="E216">
        <v>0.08</v>
      </c>
      <c r="F216">
        <v>0.2545</v>
      </c>
      <c r="G216">
        <v>0.108</v>
      </c>
      <c r="H216">
        <v>5.6500000000000002E-2</v>
      </c>
      <c r="I216">
        <v>7.0000000000000007E-2</v>
      </c>
      <c r="J216">
        <v>6</v>
      </c>
      <c r="K216">
        <v>15</v>
      </c>
      <c r="L216" t="s">
        <v>60</v>
      </c>
      <c r="M216" t="s">
        <v>61</v>
      </c>
      <c r="N216" t="s">
        <v>45</v>
      </c>
      <c r="O216">
        <v>5</v>
      </c>
      <c r="P216" t="s">
        <v>12</v>
      </c>
      <c r="Q216">
        <v>12.8</v>
      </c>
      <c r="R216" s="1" t="str">
        <f t="shared" si="4"/>
        <v>II</v>
      </c>
    </row>
    <row r="217" spans="1:18">
      <c r="A217">
        <v>3872</v>
      </c>
      <c r="B217" t="s">
        <v>33</v>
      </c>
      <c r="C217">
        <v>0.45</v>
      </c>
      <c r="D217">
        <v>0.36</v>
      </c>
      <c r="E217">
        <v>0.11</v>
      </c>
      <c r="F217">
        <v>0.44700000000000001</v>
      </c>
      <c r="G217">
        <v>0.20300000000000001</v>
      </c>
      <c r="H217">
        <v>8.2000000000000003E-2</v>
      </c>
      <c r="I217">
        <v>0.13</v>
      </c>
      <c r="J217">
        <v>12</v>
      </c>
      <c r="K217">
        <v>13</v>
      </c>
      <c r="L217" t="s">
        <v>43</v>
      </c>
      <c r="M217" t="s">
        <v>44</v>
      </c>
      <c r="N217" t="s">
        <v>45</v>
      </c>
      <c r="O217">
        <v>10</v>
      </c>
      <c r="P217" t="s">
        <v>11</v>
      </c>
      <c r="Q217">
        <v>24.1</v>
      </c>
      <c r="R217" s="1" t="str">
        <f t="shared" si="4"/>
        <v>II</v>
      </c>
    </row>
    <row r="218" spans="1:18">
      <c r="A218">
        <v>821</v>
      </c>
      <c r="B218" t="s">
        <v>33</v>
      </c>
      <c r="C218">
        <v>0.36499999999999999</v>
      </c>
      <c r="D218">
        <v>0.27500000000000002</v>
      </c>
      <c r="E218">
        <v>0.13500000000000001</v>
      </c>
      <c r="F218">
        <v>0.24</v>
      </c>
      <c r="G218">
        <v>0.108</v>
      </c>
      <c r="H218">
        <v>4.4499999999999998E-2</v>
      </c>
      <c r="I218">
        <v>7.3499999999999996E-2</v>
      </c>
      <c r="J218">
        <v>7</v>
      </c>
      <c r="K218">
        <v>10</v>
      </c>
      <c r="L218" t="s">
        <v>37</v>
      </c>
      <c r="M218" t="s">
        <v>38</v>
      </c>
      <c r="N218" t="s">
        <v>39</v>
      </c>
      <c r="O218">
        <v>2</v>
      </c>
      <c r="P218" t="s">
        <v>5</v>
      </c>
      <c r="Q218">
        <v>18</v>
      </c>
      <c r="R218" s="1" t="str">
        <f t="shared" si="4"/>
        <v>II</v>
      </c>
    </row>
    <row r="219" spans="1:18">
      <c r="A219">
        <v>2007</v>
      </c>
      <c r="B219" t="s">
        <v>33</v>
      </c>
      <c r="C219">
        <v>0.40500000000000003</v>
      </c>
      <c r="D219">
        <v>0.25</v>
      </c>
      <c r="E219">
        <v>0.09</v>
      </c>
      <c r="F219">
        <v>0.28749999999999998</v>
      </c>
      <c r="G219">
        <v>0.128</v>
      </c>
      <c r="H219">
        <v>6.3E-2</v>
      </c>
      <c r="I219">
        <v>8.0500000000000002E-2</v>
      </c>
      <c r="J219">
        <v>7</v>
      </c>
      <c r="K219">
        <v>11</v>
      </c>
      <c r="L219" t="s">
        <v>65</v>
      </c>
      <c r="M219" t="s">
        <v>66</v>
      </c>
      <c r="N219" t="s">
        <v>45</v>
      </c>
      <c r="O219">
        <v>5</v>
      </c>
      <c r="P219" t="s">
        <v>12</v>
      </c>
      <c r="Q219">
        <v>12.8</v>
      </c>
      <c r="R219" s="1" t="str">
        <f t="shared" si="4"/>
        <v>II</v>
      </c>
    </row>
    <row r="220" spans="1:18">
      <c r="A220">
        <v>619</v>
      </c>
      <c r="B220" t="s">
        <v>33</v>
      </c>
      <c r="C220">
        <v>0.31</v>
      </c>
      <c r="D220">
        <v>0.22500000000000001</v>
      </c>
      <c r="E220">
        <v>7.4999999999999997E-2</v>
      </c>
      <c r="F220">
        <v>0.1295</v>
      </c>
      <c r="G220">
        <v>4.5499999999999999E-2</v>
      </c>
      <c r="H220">
        <v>3.3500000000000002E-2</v>
      </c>
      <c r="I220">
        <v>4.3999999999999997E-2</v>
      </c>
      <c r="J220">
        <v>9</v>
      </c>
      <c r="K220">
        <v>7</v>
      </c>
      <c r="L220" t="s">
        <v>62</v>
      </c>
      <c r="M220" t="s">
        <v>63</v>
      </c>
      <c r="N220" t="s">
        <v>64</v>
      </c>
      <c r="O220">
        <v>2</v>
      </c>
      <c r="P220" t="s">
        <v>5</v>
      </c>
      <c r="Q220">
        <v>18</v>
      </c>
      <c r="R220" s="1" t="str">
        <f t="shared" si="4"/>
        <v>II</v>
      </c>
    </row>
    <row r="221" spans="1:18">
      <c r="A221">
        <v>2341</v>
      </c>
      <c r="B221" t="s">
        <v>33</v>
      </c>
      <c r="C221">
        <v>0.59</v>
      </c>
      <c r="D221">
        <v>0.47</v>
      </c>
      <c r="E221">
        <v>0.17</v>
      </c>
      <c r="F221">
        <v>0.9</v>
      </c>
      <c r="G221">
        <v>0.35499999999999998</v>
      </c>
      <c r="H221">
        <v>0.1905</v>
      </c>
      <c r="I221">
        <v>0.25</v>
      </c>
      <c r="J221">
        <v>11</v>
      </c>
      <c r="K221">
        <v>7</v>
      </c>
      <c r="L221" t="s">
        <v>62</v>
      </c>
      <c r="M221" t="s">
        <v>63</v>
      </c>
      <c r="N221" t="s">
        <v>64</v>
      </c>
      <c r="O221">
        <v>1</v>
      </c>
      <c r="P221" t="s">
        <v>4</v>
      </c>
      <c r="Q221">
        <v>22.1</v>
      </c>
      <c r="R221" s="1" t="str">
        <f t="shared" si="4"/>
        <v>II</v>
      </c>
    </row>
    <row r="222" spans="1:18">
      <c r="A222">
        <v>819</v>
      </c>
      <c r="B222" t="s">
        <v>33</v>
      </c>
      <c r="C222">
        <v>0.35</v>
      </c>
      <c r="D222">
        <v>0.25</v>
      </c>
      <c r="E222">
        <v>7.0000000000000007E-2</v>
      </c>
      <c r="F222">
        <v>0.18</v>
      </c>
      <c r="G222">
        <v>6.5500000000000003E-2</v>
      </c>
      <c r="H222">
        <v>4.8000000000000001E-2</v>
      </c>
      <c r="I222">
        <v>5.3999999999999999E-2</v>
      </c>
      <c r="J222">
        <v>6</v>
      </c>
      <c r="K222">
        <v>12</v>
      </c>
      <c r="L222" t="s">
        <v>58</v>
      </c>
      <c r="M222" t="s">
        <v>59</v>
      </c>
      <c r="N222" t="s">
        <v>45</v>
      </c>
      <c r="O222">
        <v>8</v>
      </c>
      <c r="P222" t="s">
        <v>13</v>
      </c>
      <c r="Q222">
        <v>12.3</v>
      </c>
      <c r="R222" s="1" t="str">
        <f t="shared" si="4"/>
        <v>II</v>
      </c>
    </row>
    <row r="223" spans="1:18">
      <c r="A223">
        <v>404</v>
      </c>
      <c r="B223" t="s">
        <v>33</v>
      </c>
      <c r="C223">
        <v>0.51500000000000001</v>
      </c>
      <c r="D223">
        <v>0.41499999999999998</v>
      </c>
      <c r="E223">
        <v>0.14000000000000001</v>
      </c>
      <c r="F223">
        <v>0.69350000000000001</v>
      </c>
      <c r="G223">
        <v>0.3115</v>
      </c>
      <c r="H223">
        <v>0.152</v>
      </c>
      <c r="I223">
        <v>0.2</v>
      </c>
      <c r="J223">
        <v>10</v>
      </c>
      <c r="K223">
        <v>13</v>
      </c>
      <c r="L223" t="s">
        <v>43</v>
      </c>
      <c r="M223" t="s">
        <v>44</v>
      </c>
      <c r="N223" t="s">
        <v>45</v>
      </c>
      <c r="O223">
        <v>1</v>
      </c>
      <c r="P223" t="s">
        <v>4</v>
      </c>
      <c r="Q223">
        <v>22.1</v>
      </c>
      <c r="R223" s="1" t="str">
        <f t="shared" si="4"/>
        <v>II</v>
      </c>
    </row>
    <row r="224" spans="1:18">
      <c r="A224">
        <v>3259</v>
      </c>
      <c r="B224" t="s">
        <v>33</v>
      </c>
      <c r="C224">
        <v>0.45500000000000002</v>
      </c>
      <c r="D224">
        <v>0.375</v>
      </c>
      <c r="E224">
        <v>0.125</v>
      </c>
      <c r="F224">
        <v>0.48399999999999999</v>
      </c>
      <c r="G224">
        <v>0.2155</v>
      </c>
      <c r="H224">
        <v>0.10199999999999999</v>
      </c>
      <c r="I224">
        <v>0.16500000000000001</v>
      </c>
      <c r="J224">
        <v>7</v>
      </c>
      <c r="K224">
        <v>14</v>
      </c>
      <c r="L224" t="s">
        <v>72</v>
      </c>
      <c r="M224" t="s">
        <v>73</v>
      </c>
      <c r="N224" t="s">
        <v>74</v>
      </c>
      <c r="O224">
        <v>9</v>
      </c>
      <c r="P224" t="s">
        <v>9</v>
      </c>
      <c r="Q224">
        <v>1.9</v>
      </c>
      <c r="R224" s="1" t="str">
        <f t="shared" si="4"/>
        <v>II</v>
      </c>
    </row>
    <row r="225" spans="1:18">
      <c r="A225">
        <v>126</v>
      </c>
      <c r="B225" t="s">
        <v>33</v>
      </c>
      <c r="C225">
        <v>0.27</v>
      </c>
      <c r="D225">
        <v>0.19500000000000001</v>
      </c>
      <c r="E225">
        <v>0.06</v>
      </c>
      <c r="F225">
        <v>7.2999999999999995E-2</v>
      </c>
      <c r="G225">
        <v>2.8500000000000001E-2</v>
      </c>
      <c r="H225">
        <v>2.35E-2</v>
      </c>
      <c r="I225">
        <v>0.03</v>
      </c>
      <c r="J225">
        <v>5</v>
      </c>
      <c r="K225">
        <v>12</v>
      </c>
      <c r="L225" t="s">
        <v>58</v>
      </c>
      <c r="M225" t="s">
        <v>59</v>
      </c>
      <c r="N225" t="s">
        <v>45</v>
      </c>
      <c r="O225">
        <v>10</v>
      </c>
      <c r="P225" t="s">
        <v>11</v>
      </c>
      <c r="Q225">
        <v>24.1</v>
      </c>
      <c r="R225" s="1" t="str">
        <f t="shared" si="4"/>
        <v>II</v>
      </c>
    </row>
    <row r="226" spans="1:18">
      <c r="A226">
        <v>961</v>
      </c>
      <c r="B226" t="s">
        <v>33</v>
      </c>
      <c r="C226">
        <v>0.5</v>
      </c>
      <c r="D226">
        <v>0.4</v>
      </c>
      <c r="E226">
        <v>0.125</v>
      </c>
      <c r="F226">
        <v>0.67249999999999999</v>
      </c>
      <c r="G226">
        <v>0.33600000000000002</v>
      </c>
      <c r="H226">
        <v>0.12</v>
      </c>
      <c r="I226">
        <v>0.1825</v>
      </c>
      <c r="J226">
        <v>7</v>
      </c>
      <c r="K226">
        <v>9</v>
      </c>
      <c r="L226" t="s">
        <v>34</v>
      </c>
      <c r="M226" t="s">
        <v>35</v>
      </c>
      <c r="N226" t="s">
        <v>36</v>
      </c>
      <c r="O226">
        <v>4</v>
      </c>
      <c r="P226" t="s">
        <v>8</v>
      </c>
      <c r="Q226">
        <v>6.1</v>
      </c>
      <c r="R226" s="1" t="str">
        <f t="shared" si="4"/>
        <v>II</v>
      </c>
    </row>
    <row r="227" spans="1:18">
      <c r="A227">
        <v>3861</v>
      </c>
      <c r="B227" t="s">
        <v>33</v>
      </c>
      <c r="C227">
        <v>0.55000000000000004</v>
      </c>
      <c r="D227">
        <v>0.46500000000000002</v>
      </c>
      <c r="E227">
        <v>0.15</v>
      </c>
      <c r="F227">
        <v>1.0820000000000001</v>
      </c>
      <c r="G227">
        <v>0.35749999999999998</v>
      </c>
      <c r="H227">
        <v>0.19400000000000001</v>
      </c>
      <c r="I227">
        <v>0.19</v>
      </c>
      <c r="J227">
        <v>14</v>
      </c>
      <c r="K227">
        <v>12</v>
      </c>
      <c r="L227" t="s">
        <v>58</v>
      </c>
      <c r="M227" t="s">
        <v>59</v>
      </c>
      <c r="N227" t="s">
        <v>45</v>
      </c>
      <c r="O227">
        <v>6</v>
      </c>
      <c r="P227" t="s">
        <v>7</v>
      </c>
      <c r="Q227">
        <v>14.1</v>
      </c>
      <c r="R227" s="1" t="str">
        <f t="shared" si="4"/>
        <v>II</v>
      </c>
    </row>
    <row r="228" spans="1:18">
      <c r="A228">
        <v>1267</v>
      </c>
      <c r="B228" t="s">
        <v>33</v>
      </c>
      <c r="C228">
        <v>0.46</v>
      </c>
      <c r="D228">
        <v>0.35</v>
      </c>
      <c r="E228">
        <v>0.105</v>
      </c>
      <c r="F228">
        <v>0.3705</v>
      </c>
      <c r="G228">
        <v>0.1575</v>
      </c>
      <c r="H228">
        <v>7.6999999999999999E-2</v>
      </c>
      <c r="I228">
        <v>0.114</v>
      </c>
      <c r="J228">
        <v>9</v>
      </c>
      <c r="K228">
        <v>1</v>
      </c>
      <c r="L228" t="s">
        <v>70</v>
      </c>
      <c r="M228" t="s">
        <v>71</v>
      </c>
      <c r="N228" t="s">
        <v>45</v>
      </c>
      <c r="O228">
        <v>3</v>
      </c>
      <c r="P228" t="s">
        <v>10</v>
      </c>
      <c r="Q228">
        <v>3.6</v>
      </c>
      <c r="R228" s="1" t="str">
        <f t="shared" si="4"/>
        <v>II</v>
      </c>
    </row>
    <row r="229" spans="1:18">
      <c r="A229">
        <v>2504</v>
      </c>
      <c r="B229" t="s">
        <v>33</v>
      </c>
      <c r="C229">
        <v>0.3</v>
      </c>
      <c r="D229">
        <v>0.23</v>
      </c>
      <c r="E229">
        <v>7.4999999999999997E-2</v>
      </c>
      <c r="F229">
        <v>0.127</v>
      </c>
      <c r="G229">
        <v>5.1999999999999998E-2</v>
      </c>
      <c r="H229">
        <v>0.03</v>
      </c>
      <c r="I229">
        <v>3.4500000000000003E-2</v>
      </c>
      <c r="J229">
        <v>6</v>
      </c>
      <c r="K229">
        <v>8</v>
      </c>
      <c r="L229" t="s">
        <v>55</v>
      </c>
      <c r="M229" t="s">
        <v>56</v>
      </c>
      <c r="N229" t="s">
        <v>57</v>
      </c>
      <c r="O229">
        <v>9</v>
      </c>
      <c r="P229" t="s">
        <v>9</v>
      </c>
      <c r="Q229">
        <v>1.9</v>
      </c>
      <c r="R229" s="1" t="str">
        <f t="shared" si="4"/>
        <v>II</v>
      </c>
    </row>
    <row r="230" spans="1:18">
      <c r="A230">
        <v>4075</v>
      </c>
      <c r="B230" t="s">
        <v>33</v>
      </c>
      <c r="C230">
        <v>0.52</v>
      </c>
      <c r="D230">
        <v>0.4</v>
      </c>
      <c r="E230">
        <v>0.14000000000000001</v>
      </c>
      <c r="F230">
        <v>0.622</v>
      </c>
      <c r="G230">
        <v>0.27800000000000002</v>
      </c>
      <c r="H230">
        <v>0.14549999999999999</v>
      </c>
      <c r="I230">
        <v>0.16900000000000001</v>
      </c>
      <c r="J230">
        <v>8</v>
      </c>
      <c r="K230">
        <v>2</v>
      </c>
      <c r="L230" t="s">
        <v>49</v>
      </c>
      <c r="M230" t="s">
        <v>50</v>
      </c>
      <c r="N230" t="s">
        <v>51</v>
      </c>
      <c r="O230">
        <v>8</v>
      </c>
      <c r="P230" t="s">
        <v>13</v>
      </c>
      <c r="Q230">
        <v>12.3</v>
      </c>
      <c r="R230" s="1" t="str">
        <f t="shared" si="4"/>
        <v>II</v>
      </c>
    </row>
    <row r="231" spans="1:18">
      <c r="A231">
        <v>3200</v>
      </c>
      <c r="B231" t="s">
        <v>33</v>
      </c>
      <c r="C231">
        <v>0.49</v>
      </c>
      <c r="D231">
        <v>0.38</v>
      </c>
      <c r="E231">
        <v>0.155</v>
      </c>
      <c r="F231">
        <v>0.57799999999999996</v>
      </c>
      <c r="G231">
        <v>0.23949999999999999</v>
      </c>
      <c r="H231">
        <v>0.1255</v>
      </c>
      <c r="I231">
        <v>0.18</v>
      </c>
      <c r="J231">
        <v>9</v>
      </c>
      <c r="K231">
        <v>12</v>
      </c>
      <c r="L231" t="s">
        <v>58</v>
      </c>
      <c r="M231" t="s">
        <v>59</v>
      </c>
      <c r="N231" t="s">
        <v>45</v>
      </c>
      <c r="O231">
        <v>1</v>
      </c>
      <c r="P231" t="s">
        <v>4</v>
      </c>
      <c r="Q231">
        <v>22.1</v>
      </c>
      <c r="R231" s="1" t="str">
        <f t="shared" si="4"/>
        <v>II</v>
      </c>
    </row>
    <row r="232" spans="1:18">
      <c r="A232">
        <v>2392</v>
      </c>
      <c r="B232" t="s">
        <v>33</v>
      </c>
      <c r="C232">
        <v>0.37</v>
      </c>
      <c r="D232">
        <v>0.28999999999999998</v>
      </c>
      <c r="E232">
        <v>0.09</v>
      </c>
      <c r="F232">
        <v>0.24099999999999999</v>
      </c>
      <c r="G232">
        <v>0.11</v>
      </c>
      <c r="H232">
        <v>4.4999999999999998E-2</v>
      </c>
      <c r="I232">
        <v>6.9000000000000006E-2</v>
      </c>
      <c r="J232">
        <v>10</v>
      </c>
      <c r="K232">
        <v>2</v>
      </c>
      <c r="L232" t="s">
        <v>49</v>
      </c>
      <c r="M232" t="s">
        <v>50</v>
      </c>
      <c r="N232" t="s">
        <v>51</v>
      </c>
      <c r="O232">
        <v>5</v>
      </c>
      <c r="P232" t="s">
        <v>12</v>
      </c>
      <c r="Q232">
        <v>12.8</v>
      </c>
      <c r="R232" s="1" t="str">
        <f t="shared" si="4"/>
        <v>II</v>
      </c>
    </row>
    <row r="233" spans="1:18">
      <c r="A233">
        <v>3036</v>
      </c>
      <c r="B233" t="s">
        <v>33</v>
      </c>
      <c r="C233">
        <v>0.55000000000000004</v>
      </c>
      <c r="D233">
        <v>0.40500000000000003</v>
      </c>
      <c r="E233">
        <v>0.15</v>
      </c>
      <c r="F233">
        <v>0.67549999999999999</v>
      </c>
      <c r="G233">
        <v>0.30149999999999999</v>
      </c>
      <c r="H233">
        <v>0.14649999999999999</v>
      </c>
      <c r="I233">
        <v>0.21</v>
      </c>
      <c r="J233">
        <v>10</v>
      </c>
      <c r="K233">
        <v>12</v>
      </c>
      <c r="L233" t="s">
        <v>58</v>
      </c>
      <c r="M233" t="s">
        <v>59</v>
      </c>
      <c r="N233" t="s">
        <v>45</v>
      </c>
      <c r="O233">
        <v>9</v>
      </c>
      <c r="P233" t="s">
        <v>9</v>
      </c>
      <c r="Q233">
        <v>1.9</v>
      </c>
      <c r="R233" s="1" t="str">
        <f t="shared" si="4"/>
        <v>II</v>
      </c>
    </row>
    <row r="234" spans="1:18">
      <c r="A234">
        <v>1532</v>
      </c>
      <c r="B234" t="s">
        <v>33</v>
      </c>
      <c r="C234">
        <v>0.21</v>
      </c>
      <c r="D234">
        <v>0.17</v>
      </c>
      <c r="E234">
        <v>4.4999999999999998E-2</v>
      </c>
      <c r="F234">
        <v>4.7500000000000001E-2</v>
      </c>
      <c r="G234">
        <v>1.9E-2</v>
      </c>
      <c r="H234">
        <v>1.0999999999999999E-2</v>
      </c>
      <c r="I234">
        <v>1.2999999999999999E-2</v>
      </c>
      <c r="J234">
        <v>5</v>
      </c>
      <c r="K234">
        <v>11</v>
      </c>
      <c r="L234" t="s">
        <v>65</v>
      </c>
      <c r="M234" t="s">
        <v>66</v>
      </c>
      <c r="N234" t="s">
        <v>45</v>
      </c>
      <c r="O234">
        <v>7</v>
      </c>
      <c r="P234" t="s">
        <v>6</v>
      </c>
      <c r="Q234">
        <v>2.5</v>
      </c>
      <c r="R234" s="1" t="str">
        <f t="shared" si="4"/>
        <v>II</v>
      </c>
    </row>
    <row r="235" spans="1:18">
      <c r="A235">
        <v>2344</v>
      </c>
      <c r="B235" t="s">
        <v>33</v>
      </c>
      <c r="C235">
        <v>0.17</v>
      </c>
      <c r="D235">
        <v>0.125</v>
      </c>
      <c r="E235">
        <v>5.5E-2</v>
      </c>
      <c r="F235">
        <v>2.35E-2</v>
      </c>
      <c r="G235">
        <v>8.9999999999999993E-3</v>
      </c>
      <c r="H235">
        <v>5.4999999999999997E-3</v>
      </c>
      <c r="I235">
        <v>8.0000000000000002E-3</v>
      </c>
      <c r="J235">
        <v>6</v>
      </c>
      <c r="K235">
        <v>13</v>
      </c>
      <c r="L235" t="s">
        <v>43</v>
      </c>
      <c r="M235" t="s">
        <v>44</v>
      </c>
      <c r="N235" t="s">
        <v>45</v>
      </c>
      <c r="O235">
        <v>8</v>
      </c>
      <c r="P235" t="s">
        <v>13</v>
      </c>
      <c r="Q235">
        <v>12.3</v>
      </c>
      <c r="R235" s="1" t="str">
        <f t="shared" si="4"/>
        <v>II</v>
      </c>
    </row>
    <row r="236" spans="1:18">
      <c r="A236">
        <v>735</v>
      </c>
      <c r="B236" t="s">
        <v>33</v>
      </c>
      <c r="C236">
        <v>0.52500000000000002</v>
      </c>
      <c r="D236">
        <v>0.42499999999999999</v>
      </c>
      <c r="E236">
        <v>0.12</v>
      </c>
      <c r="F236">
        <v>0.86650000000000005</v>
      </c>
      <c r="G236">
        <v>0.28249999999999997</v>
      </c>
      <c r="H236">
        <v>0.17599999999999999</v>
      </c>
      <c r="I236">
        <v>0.28999999999999998</v>
      </c>
      <c r="J236">
        <v>18</v>
      </c>
      <c r="K236">
        <v>8</v>
      </c>
      <c r="L236" t="s">
        <v>55</v>
      </c>
      <c r="M236" t="s">
        <v>56</v>
      </c>
      <c r="N236" t="s">
        <v>57</v>
      </c>
      <c r="O236">
        <v>7</v>
      </c>
      <c r="P236" t="s">
        <v>6</v>
      </c>
      <c r="Q236">
        <v>2.5</v>
      </c>
      <c r="R236" s="1" t="str">
        <f t="shared" si="4"/>
        <v>II</v>
      </c>
    </row>
    <row r="237" spans="1:18">
      <c r="A237">
        <v>3722</v>
      </c>
      <c r="B237" t="s">
        <v>33</v>
      </c>
      <c r="C237">
        <v>0.43</v>
      </c>
      <c r="D237">
        <v>0.31</v>
      </c>
      <c r="E237">
        <v>0.13</v>
      </c>
      <c r="F237">
        <v>0.64849999999999997</v>
      </c>
      <c r="G237">
        <v>0.27350000000000002</v>
      </c>
      <c r="H237">
        <v>0.16300000000000001</v>
      </c>
      <c r="I237">
        <v>0.184</v>
      </c>
      <c r="J237">
        <v>9</v>
      </c>
      <c r="K237">
        <v>15</v>
      </c>
      <c r="L237" t="s">
        <v>60</v>
      </c>
      <c r="M237" t="s">
        <v>61</v>
      </c>
      <c r="N237" t="s">
        <v>45</v>
      </c>
      <c r="O237">
        <v>10</v>
      </c>
      <c r="P237" t="s">
        <v>11</v>
      </c>
      <c r="Q237">
        <v>24.1</v>
      </c>
      <c r="R237" s="1" t="str">
        <f t="shared" si="4"/>
        <v>II</v>
      </c>
    </row>
    <row r="238" spans="1:18">
      <c r="A238">
        <v>2583</v>
      </c>
      <c r="B238" t="s">
        <v>33</v>
      </c>
      <c r="C238">
        <v>0.53</v>
      </c>
      <c r="D238">
        <v>0.41</v>
      </c>
      <c r="E238">
        <v>0.14000000000000001</v>
      </c>
      <c r="F238">
        <v>0.68100000000000005</v>
      </c>
      <c r="G238">
        <v>0.3095</v>
      </c>
      <c r="H238">
        <v>0.14149999999999999</v>
      </c>
      <c r="I238">
        <v>0.1835</v>
      </c>
      <c r="J238">
        <v>6</v>
      </c>
      <c r="K238">
        <v>13</v>
      </c>
      <c r="L238" t="s">
        <v>43</v>
      </c>
      <c r="M238" t="s">
        <v>44</v>
      </c>
      <c r="N238" t="s">
        <v>45</v>
      </c>
      <c r="O238">
        <v>6</v>
      </c>
      <c r="P238" t="s">
        <v>7</v>
      </c>
      <c r="Q238">
        <v>14.1</v>
      </c>
      <c r="R238" s="1" t="str">
        <f t="shared" si="4"/>
        <v>II</v>
      </c>
    </row>
    <row r="239" spans="1:18">
      <c r="A239">
        <v>1215</v>
      </c>
      <c r="B239" t="s">
        <v>33</v>
      </c>
      <c r="C239">
        <v>0.27500000000000002</v>
      </c>
      <c r="D239">
        <v>0.19500000000000001</v>
      </c>
      <c r="E239">
        <v>0.09</v>
      </c>
      <c r="F239">
        <v>0.1125</v>
      </c>
      <c r="G239">
        <v>5.45E-2</v>
      </c>
      <c r="H239">
        <v>2.9499999999999998E-2</v>
      </c>
      <c r="I239">
        <v>3.5499999999999997E-2</v>
      </c>
      <c r="J239">
        <v>6</v>
      </c>
      <c r="K239">
        <v>4</v>
      </c>
      <c r="L239" t="s">
        <v>40</v>
      </c>
      <c r="M239" t="s">
        <v>41</v>
      </c>
      <c r="N239" t="s">
        <v>42</v>
      </c>
      <c r="O239">
        <v>2</v>
      </c>
      <c r="P239" t="s">
        <v>5</v>
      </c>
      <c r="Q239">
        <v>18</v>
      </c>
      <c r="R239" s="1" t="str">
        <f t="shared" si="4"/>
        <v>II</v>
      </c>
    </row>
    <row r="240" spans="1:18">
      <c r="A240">
        <v>814</v>
      </c>
      <c r="B240" t="s">
        <v>33</v>
      </c>
      <c r="C240">
        <v>0.255</v>
      </c>
      <c r="D240">
        <v>0.185</v>
      </c>
      <c r="E240">
        <v>0.06</v>
      </c>
      <c r="F240">
        <v>8.7999999999999995E-2</v>
      </c>
      <c r="G240">
        <v>3.6499999999999998E-2</v>
      </c>
      <c r="H240">
        <v>2.1000000000000001E-2</v>
      </c>
      <c r="I240">
        <v>2.3E-2</v>
      </c>
      <c r="J240">
        <v>5</v>
      </c>
      <c r="K240">
        <v>14</v>
      </c>
      <c r="L240" t="s">
        <v>72</v>
      </c>
      <c r="M240" t="s">
        <v>73</v>
      </c>
      <c r="N240" t="s">
        <v>74</v>
      </c>
      <c r="O240">
        <v>7</v>
      </c>
      <c r="P240" t="s">
        <v>6</v>
      </c>
      <c r="Q240">
        <v>2.5</v>
      </c>
      <c r="R240" s="1" t="str">
        <f t="shared" si="4"/>
        <v>II</v>
      </c>
    </row>
    <row r="241" spans="1:18">
      <c r="A241">
        <v>908</v>
      </c>
      <c r="B241" t="s">
        <v>33</v>
      </c>
      <c r="C241">
        <v>0.33</v>
      </c>
      <c r="D241">
        <v>0.26500000000000001</v>
      </c>
      <c r="E241">
        <v>8.5000000000000006E-2</v>
      </c>
      <c r="F241">
        <v>0.19600000000000001</v>
      </c>
      <c r="G241">
        <v>7.7499999999999999E-2</v>
      </c>
      <c r="H241">
        <v>3.0499999999999999E-2</v>
      </c>
      <c r="I241">
        <v>4.4499999999999998E-2</v>
      </c>
      <c r="J241">
        <v>6</v>
      </c>
      <c r="K241">
        <v>1</v>
      </c>
      <c r="L241" t="s">
        <v>70</v>
      </c>
      <c r="M241" t="s">
        <v>71</v>
      </c>
      <c r="N241" t="s">
        <v>45</v>
      </c>
      <c r="O241">
        <v>1</v>
      </c>
      <c r="P241" t="s">
        <v>4</v>
      </c>
      <c r="Q241">
        <v>22.1</v>
      </c>
      <c r="R241" s="1" t="str">
        <f t="shared" si="4"/>
        <v>II</v>
      </c>
    </row>
    <row r="242" spans="1:18">
      <c r="A242">
        <v>1606</v>
      </c>
      <c r="B242" t="s">
        <v>33</v>
      </c>
      <c r="C242">
        <v>0.54</v>
      </c>
      <c r="D242">
        <v>0.42</v>
      </c>
      <c r="E242">
        <v>0.14000000000000001</v>
      </c>
      <c r="F242">
        <v>0.62749999999999995</v>
      </c>
      <c r="G242">
        <v>0.2505</v>
      </c>
      <c r="H242">
        <v>0.11749999999999999</v>
      </c>
      <c r="I242">
        <v>0.23499999999999999</v>
      </c>
      <c r="J242">
        <v>9</v>
      </c>
      <c r="K242">
        <v>5</v>
      </c>
      <c r="L242" t="s">
        <v>67</v>
      </c>
      <c r="M242" t="s">
        <v>68</v>
      </c>
      <c r="N242" t="s">
        <v>69</v>
      </c>
      <c r="O242">
        <v>7</v>
      </c>
      <c r="P242" t="s">
        <v>6</v>
      </c>
      <c r="Q242">
        <v>2.5</v>
      </c>
      <c r="R242" s="1" t="str">
        <f t="shared" si="4"/>
        <v>II</v>
      </c>
    </row>
    <row r="243" spans="1:18">
      <c r="A243">
        <v>2298</v>
      </c>
      <c r="B243" t="s">
        <v>33</v>
      </c>
      <c r="C243">
        <v>0.47499999999999998</v>
      </c>
      <c r="D243">
        <v>0.36</v>
      </c>
      <c r="E243">
        <v>0.12</v>
      </c>
      <c r="F243">
        <v>0.57799999999999996</v>
      </c>
      <c r="G243">
        <v>0.28249999999999997</v>
      </c>
      <c r="H243">
        <v>0.12</v>
      </c>
      <c r="I243">
        <v>0.17</v>
      </c>
      <c r="J243">
        <v>8</v>
      </c>
      <c r="K243">
        <v>1</v>
      </c>
      <c r="L243" t="s">
        <v>70</v>
      </c>
      <c r="M243" t="s">
        <v>71</v>
      </c>
      <c r="N243" t="s">
        <v>45</v>
      </c>
      <c r="O243">
        <v>8</v>
      </c>
      <c r="P243" t="s">
        <v>13</v>
      </c>
      <c r="Q243">
        <v>12.3</v>
      </c>
      <c r="R243" s="1" t="str">
        <f t="shared" si="4"/>
        <v>II</v>
      </c>
    </row>
    <row r="244" spans="1:18">
      <c r="A244">
        <v>710</v>
      </c>
      <c r="B244" t="s">
        <v>33</v>
      </c>
      <c r="C244">
        <v>0.29499999999999998</v>
      </c>
      <c r="D244">
        <v>0.22500000000000001</v>
      </c>
      <c r="E244">
        <v>0.09</v>
      </c>
      <c r="F244">
        <v>0.1105</v>
      </c>
      <c r="G244">
        <v>4.0500000000000001E-2</v>
      </c>
      <c r="H244">
        <v>2.4500000000000001E-2</v>
      </c>
      <c r="I244">
        <v>3.2000000000000001E-2</v>
      </c>
      <c r="J244">
        <v>7</v>
      </c>
      <c r="K244">
        <v>13</v>
      </c>
      <c r="L244" t="s">
        <v>43</v>
      </c>
      <c r="M244" t="s">
        <v>44</v>
      </c>
      <c r="N244" t="s">
        <v>45</v>
      </c>
      <c r="O244">
        <v>7</v>
      </c>
      <c r="P244" t="s">
        <v>6</v>
      </c>
      <c r="Q244">
        <v>2.5</v>
      </c>
      <c r="R244" s="1" t="str">
        <f t="shared" si="4"/>
        <v>II</v>
      </c>
    </row>
    <row r="245" spans="1:18">
      <c r="A245">
        <v>3843</v>
      </c>
      <c r="B245" t="s">
        <v>33</v>
      </c>
      <c r="C245">
        <v>0.61499999999999999</v>
      </c>
      <c r="D245">
        <v>0.47499999999999998</v>
      </c>
      <c r="E245">
        <v>0.14499999999999999</v>
      </c>
      <c r="F245">
        <v>0.95250000000000001</v>
      </c>
      <c r="G245">
        <v>0.39150000000000001</v>
      </c>
      <c r="H245">
        <v>0.19500000000000001</v>
      </c>
      <c r="I245">
        <v>0.32</v>
      </c>
      <c r="J245">
        <v>9</v>
      </c>
      <c r="K245">
        <v>14</v>
      </c>
      <c r="L245" t="s">
        <v>72</v>
      </c>
      <c r="M245" t="s">
        <v>73</v>
      </c>
      <c r="N245" t="s">
        <v>74</v>
      </c>
      <c r="O245">
        <v>6</v>
      </c>
      <c r="P245" t="s">
        <v>7</v>
      </c>
      <c r="Q245">
        <v>14.1</v>
      </c>
      <c r="R245" s="1" t="str">
        <f t="shared" si="4"/>
        <v>II</v>
      </c>
    </row>
    <row r="246" spans="1:18">
      <c r="A246">
        <v>22</v>
      </c>
      <c r="B246" t="s">
        <v>33</v>
      </c>
      <c r="C246">
        <v>0.38</v>
      </c>
      <c r="D246">
        <v>0.27500000000000002</v>
      </c>
      <c r="E246">
        <v>0.1</v>
      </c>
      <c r="F246">
        <v>0.22550000000000001</v>
      </c>
      <c r="G246">
        <v>0.08</v>
      </c>
      <c r="H246">
        <v>4.9000000000000002E-2</v>
      </c>
      <c r="I246">
        <v>8.5000000000000006E-2</v>
      </c>
      <c r="J246">
        <v>10</v>
      </c>
      <c r="K246">
        <v>2</v>
      </c>
      <c r="L246" t="s">
        <v>49</v>
      </c>
      <c r="M246" t="s">
        <v>50</v>
      </c>
      <c r="N246" t="s">
        <v>51</v>
      </c>
      <c r="O246">
        <v>8</v>
      </c>
      <c r="P246" t="s">
        <v>13</v>
      </c>
      <c r="Q246">
        <v>12.3</v>
      </c>
      <c r="R246" s="1" t="str">
        <f t="shared" si="4"/>
        <v>II</v>
      </c>
    </row>
    <row r="247" spans="1:18">
      <c r="A247">
        <v>157</v>
      </c>
      <c r="B247" t="s">
        <v>33</v>
      </c>
      <c r="C247">
        <v>0.57499999999999996</v>
      </c>
      <c r="D247">
        <v>0.46</v>
      </c>
      <c r="E247">
        <v>0.19</v>
      </c>
      <c r="F247">
        <v>0.99399999999999999</v>
      </c>
      <c r="G247">
        <v>0.39200000000000002</v>
      </c>
      <c r="H247">
        <v>0.24249999999999999</v>
      </c>
      <c r="I247">
        <v>0.34</v>
      </c>
      <c r="J247">
        <v>13</v>
      </c>
      <c r="K247">
        <v>14</v>
      </c>
      <c r="L247" t="s">
        <v>72</v>
      </c>
      <c r="M247" t="s">
        <v>73</v>
      </c>
      <c r="N247" t="s">
        <v>74</v>
      </c>
      <c r="O247">
        <v>3</v>
      </c>
      <c r="P247" t="s">
        <v>10</v>
      </c>
      <c r="Q247">
        <v>3.6</v>
      </c>
      <c r="R247" s="1" t="str">
        <f t="shared" si="4"/>
        <v>II</v>
      </c>
    </row>
    <row r="248" spans="1:18">
      <c r="A248">
        <v>2501</v>
      </c>
      <c r="B248" t="s">
        <v>33</v>
      </c>
      <c r="C248">
        <v>0.48</v>
      </c>
      <c r="D248">
        <v>0.39</v>
      </c>
      <c r="E248">
        <v>0.125</v>
      </c>
      <c r="F248">
        <v>0.6905</v>
      </c>
      <c r="G248">
        <v>0.219</v>
      </c>
      <c r="H248">
        <v>0.155</v>
      </c>
      <c r="I248">
        <v>0.2</v>
      </c>
      <c r="J248">
        <v>12</v>
      </c>
      <c r="K248">
        <v>12</v>
      </c>
      <c r="L248" t="s">
        <v>58</v>
      </c>
      <c r="M248" t="s">
        <v>59</v>
      </c>
      <c r="N248" t="s">
        <v>45</v>
      </c>
      <c r="O248">
        <v>1</v>
      </c>
      <c r="P248" t="s">
        <v>4</v>
      </c>
      <c r="Q248">
        <v>22.1</v>
      </c>
      <c r="R248" s="1" t="str">
        <f t="shared" si="4"/>
        <v>II</v>
      </c>
    </row>
    <row r="249" spans="1:18">
      <c r="A249">
        <v>2226</v>
      </c>
      <c r="B249" t="s">
        <v>33</v>
      </c>
      <c r="C249">
        <v>0.59</v>
      </c>
      <c r="D249">
        <v>0.47499999999999998</v>
      </c>
      <c r="E249">
        <v>0.155</v>
      </c>
      <c r="F249">
        <v>0.85699999999999998</v>
      </c>
      <c r="G249">
        <v>0.35599999999999998</v>
      </c>
      <c r="H249">
        <v>0.17399999999999999</v>
      </c>
      <c r="I249">
        <v>0.28000000000000003</v>
      </c>
      <c r="J249">
        <v>13</v>
      </c>
      <c r="K249">
        <v>13</v>
      </c>
      <c r="L249" t="s">
        <v>43</v>
      </c>
      <c r="M249" t="s">
        <v>44</v>
      </c>
      <c r="N249" t="s">
        <v>45</v>
      </c>
      <c r="O249">
        <v>5</v>
      </c>
      <c r="P249" t="s">
        <v>12</v>
      </c>
      <c r="Q249">
        <v>12.8</v>
      </c>
      <c r="R249" s="1" t="str">
        <f t="shared" si="4"/>
        <v>II</v>
      </c>
    </row>
    <row r="250" spans="1:18">
      <c r="A250">
        <v>3723</v>
      </c>
      <c r="B250" t="s">
        <v>33</v>
      </c>
      <c r="C250">
        <v>0.46500000000000002</v>
      </c>
      <c r="D250">
        <v>0.36</v>
      </c>
      <c r="E250">
        <v>0.105</v>
      </c>
      <c r="F250">
        <v>0.45200000000000001</v>
      </c>
      <c r="G250">
        <v>0.22</v>
      </c>
      <c r="H250">
        <v>0.159</v>
      </c>
      <c r="I250">
        <v>0.10349999999999999</v>
      </c>
      <c r="J250">
        <v>9</v>
      </c>
      <c r="K250">
        <v>4</v>
      </c>
      <c r="L250" t="s">
        <v>40</v>
      </c>
      <c r="M250" t="s">
        <v>41</v>
      </c>
      <c r="N250" t="s">
        <v>42</v>
      </c>
      <c r="O250">
        <v>2</v>
      </c>
      <c r="P250" t="s">
        <v>5</v>
      </c>
      <c r="Q250">
        <v>18</v>
      </c>
      <c r="R250" s="1" t="str">
        <f t="shared" si="4"/>
        <v>II</v>
      </c>
    </row>
    <row r="251" spans="1:18">
      <c r="A251">
        <v>2559</v>
      </c>
      <c r="B251" t="s">
        <v>33</v>
      </c>
      <c r="C251">
        <v>0.40500000000000003</v>
      </c>
      <c r="D251">
        <v>0.31</v>
      </c>
      <c r="E251">
        <v>6.5000000000000002E-2</v>
      </c>
      <c r="F251">
        <v>0.32050000000000001</v>
      </c>
      <c r="G251">
        <v>0.1575</v>
      </c>
      <c r="H251">
        <v>6.6000000000000003E-2</v>
      </c>
      <c r="I251">
        <v>8.7999999999999995E-2</v>
      </c>
      <c r="J251">
        <v>6</v>
      </c>
      <c r="K251">
        <v>7</v>
      </c>
      <c r="L251" t="s">
        <v>62</v>
      </c>
      <c r="M251" t="s">
        <v>63</v>
      </c>
      <c r="N251" t="s">
        <v>64</v>
      </c>
      <c r="O251">
        <v>1</v>
      </c>
      <c r="P251" t="s">
        <v>4</v>
      </c>
      <c r="Q251">
        <v>22.1</v>
      </c>
      <c r="R251" s="1" t="str">
        <f t="shared" si="4"/>
        <v>II</v>
      </c>
    </row>
    <row r="252" spans="1:18">
      <c r="A252">
        <v>331</v>
      </c>
      <c r="B252" t="s">
        <v>33</v>
      </c>
      <c r="C252">
        <v>0.5</v>
      </c>
      <c r="D252">
        <v>0.38</v>
      </c>
      <c r="E252">
        <v>0.155</v>
      </c>
      <c r="F252">
        <v>0.59550000000000003</v>
      </c>
      <c r="G252">
        <v>0.2135</v>
      </c>
      <c r="H252">
        <v>0.161</v>
      </c>
      <c r="I252">
        <v>0.2</v>
      </c>
      <c r="J252">
        <v>12</v>
      </c>
      <c r="K252">
        <v>15</v>
      </c>
      <c r="L252" t="s">
        <v>60</v>
      </c>
      <c r="M252" t="s">
        <v>61</v>
      </c>
      <c r="N252" t="s">
        <v>45</v>
      </c>
      <c r="O252">
        <v>4</v>
      </c>
      <c r="P252" t="s">
        <v>8</v>
      </c>
      <c r="Q252">
        <v>6.1</v>
      </c>
      <c r="R252" s="1" t="str">
        <f t="shared" si="4"/>
        <v>II</v>
      </c>
    </row>
    <row r="253" spans="1:18">
      <c r="A253">
        <v>1229</v>
      </c>
      <c r="B253" t="s">
        <v>33</v>
      </c>
      <c r="C253">
        <v>0.36</v>
      </c>
      <c r="D253">
        <v>0.27</v>
      </c>
      <c r="E253">
        <v>8.5000000000000006E-2</v>
      </c>
      <c r="F253">
        <v>0.19600000000000001</v>
      </c>
      <c r="G253">
        <v>8.7499999999999994E-2</v>
      </c>
      <c r="H253">
        <v>3.5000000000000003E-2</v>
      </c>
      <c r="I253">
        <v>6.4000000000000001E-2</v>
      </c>
      <c r="J253">
        <v>4</v>
      </c>
      <c r="K253">
        <v>1</v>
      </c>
      <c r="L253" t="s">
        <v>70</v>
      </c>
      <c r="M253" t="s">
        <v>71</v>
      </c>
      <c r="N253" t="s">
        <v>45</v>
      </c>
      <c r="O253">
        <v>3</v>
      </c>
      <c r="P253" t="s">
        <v>10</v>
      </c>
      <c r="Q253">
        <v>3.6</v>
      </c>
      <c r="R253" s="1" t="str">
        <f t="shared" si="4"/>
        <v>II</v>
      </c>
    </row>
    <row r="254" spans="1:18">
      <c r="A254">
        <v>6</v>
      </c>
      <c r="B254" t="s">
        <v>33</v>
      </c>
      <c r="C254">
        <v>0.42499999999999999</v>
      </c>
      <c r="D254">
        <v>0.3</v>
      </c>
      <c r="E254">
        <v>9.5000000000000001E-2</v>
      </c>
      <c r="F254">
        <v>0.35149999999999998</v>
      </c>
      <c r="G254">
        <v>0.14099999999999999</v>
      </c>
      <c r="H254">
        <v>7.7499999999999999E-2</v>
      </c>
      <c r="I254">
        <v>0.12</v>
      </c>
      <c r="J254">
        <v>8</v>
      </c>
      <c r="K254">
        <v>9</v>
      </c>
      <c r="L254" t="s">
        <v>34</v>
      </c>
      <c r="M254" t="s">
        <v>35</v>
      </c>
      <c r="N254" t="s">
        <v>36</v>
      </c>
      <c r="O254">
        <v>3</v>
      </c>
      <c r="P254" t="s">
        <v>10</v>
      </c>
      <c r="Q254">
        <v>3.6</v>
      </c>
      <c r="R254" s="1" t="str">
        <f t="shared" si="4"/>
        <v>II</v>
      </c>
    </row>
    <row r="255" spans="1:18">
      <c r="A255">
        <v>2514</v>
      </c>
      <c r="B255" t="s">
        <v>33</v>
      </c>
      <c r="C255">
        <v>0.46500000000000002</v>
      </c>
      <c r="D255">
        <v>0.35</v>
      </c>
      <c r="E255">
        <v>0.13500000000000001</v>
      </c>
      <c r="F255">
        <v>0.62649999999999995</v>
      </c>
      <c r="G255">
        <v>0.25900000000000001</v>
      </c>
      <c r="H255">
        <v>0.14449999999999999</v>
      </c>
      <c r="I255">
        <v>0.17499999999999999</v>
      </c>
      <c r="J255">
        <v>8</v>
      </c>
      <c r="K255">
        <v>3</v>
      </c>
      <c r="L255" t="s">
        <v>52</v>
      </c>
      <c r="M255" t="s">
        <v>53</v>
      </c>
      <c r="N255" t="s">
        <v>54</v>
      </c>
      <c r="O255">
        <v>6</v>
      </c>
      <c r="P255" t="s">
        <v>7</v>
      </c>
      <c r="Q255">
        <v>14.1</v>
      </c>
      <c r="R255" s="1" t="str">
        <f t="shared" si="4"/>
        <v>II</v>
      </c>
    </row>
    <row r="256" spans="1:18">
      <c r="A256">
        <v>1333</v>
      </c>
      <c r="B256" t="s">
        <v>33</v>
      </c>
      <c r="C256">
        <v>0.56999999999999995</v>
      </c>
      <c r="D256">
        <v>0.44</v>
      </c>
      <c r="E256">
        <v>0.13</v>
      </c>
      <c r="F256">
        <v>0.76649999999999996</v>
      </c>
      <c r="G256">
        <v>0.34699999999999998</v>
      </c>
      <c r="H256">
        <v>0.17849999999999999</v>
      </c>
      <c r="I256">
        <v>0.20200000000000001</v>
      </c>
      <c r="J256">
        <v>10</v>
      </c>
      <c r="K256">
        <v>14</v>
      </c>
      <c r="L256" t="s">
        <v>72</v>
      </c>
      <c r="M256" t="s">
        <v>73</v>
      </c>
      <c r="N256" t="s">
        <v>74</v>
      </c>
      <c r="O256">
        <v>3</v>
      </c>
      <c r="P256" t="s">
        <v>10</v>
      </c>
      <c r="Q256">
        <v>3.6</v>
      </c>
      <c r="R256" s="1" t="str">
        <f t="shared" si="4"/>
        <v>II</v>
      </c>
    </row>
    <row r="257" spans="1:18">
      <c r="A257">
        <v>3894</v>
      </c>
      <c r="B257" t="s">
        <v>33</v>
      </c>
      <c r="C257">
        <v>0.435</v>
      </c>
      <c r="D257">
        <v>0.35499999999999998</v>
      </c>
      <c r="E257">
        <v>0.125</v>
      </c>
      <c r="F257">
        <v>0.40749999999999997</v>
      </c>
      <c r="G257">
        <v>0.1535</v>
      </c>
      <c r="H257">
        <v>7.3999999999999996E-2</v>
      </c>
      <c r="I257">
        <v>0.16500000000000001</v>
      </c>
      <c r="J257">
        <v>9</v>
      </c>
      <c r="K257">
        <v>9</v>
      </c>
      <c r="L257" t="s">
        <v>34</v>
      </c>
      <c r="M257" t="s">
        <v>35</v>
      </c>
      <c r="N257" t="s">
        <v>36</v>
      </c>
      <c r="O257">
        <v>5</v>
      </c>
      <c r="P257" t="s">
        <v>12</v>
      </c>
      <c r="Q257">
        <v>12.8</v>
      </c>
      <c r="R257" s="1" t="str">
        <f t="shared" si="4"/>
        <v>II</v>
      </c>
    </row>
    <row r="258" spans="1:18">
      <c r="A258">
        <v>2875</v>
      </c>
      <c r="B258" t="s">
        <v>33</v>
      </c>
      <c r="C258">
        <v>0.42499999999999999</v>
      </c>
      <c r="D258">
        <v>0.34</v>
      </c>
      <c r="E258">
        <v>0.1</v>
      </c>
      <c r="F258">
        <v>0.371</v>
      </c>
      <c r="G258">
        <v>0.15</v>
      </c>
      <c r="H258">
        <v>8.6499999999999994E-2</v>
      </c>
      <c r="I258">
        <v>0.115</v>
      </c>
      <c r="J258">
        <v>8</v>
      </c>
      <c r="K258">
        <v>7</v>
      </c>
      <c r="L258" t="s">
        <v>62</v>
      </c>
      <c r="M258" t="s">
        <v>63</v>
      </c>
      <c r="N258" t="s">
        <v>64</v>
      </c>
      <c r="O258">
        <v>4</v>
      </c>
      <c r="P258" t="s">
        <v>8</v>
      </c>
      <c r="Q258">
        <v>6.1</v>
      </c>
      <c r="R258" s="1" t="str">
        <f t="shared" si="4"/>
        <v>II</v>
      </c>
    </row>
    <row r="259" spans="1:18">
      <c r="A259">
        <v>3118</v>
      </c>
      <c r="B259" t="s">
        <v>33</v>
      </c>
      <c r="C259">
        <v>0.47</v>
      </c>
      <c r="D259">
        <v>0.36</v>
      </c>
      <c r="E259">
        <v>0.1</v>
      </c>
      <c r="F259">
        <v>0.47049999999999997</v>
      </c>
      <c r="G259">
        <v>0.16350000000000001</v>
      </c>
      <c r="H259">
        <v>8.8999999999999996E-2</v>
      </c>
      <c r="I259">
        <v>0.13850000000000001</v>
      </c>
      <c r="J259">
        <v>8</v>
      </c>
      <c r="K259">
        <v>13</v>
      </c>
      <c r="L259" t="s">
        <v>43</v>
      </c>
      <c r="M259" t="s">
        <v>44</v>
      </c>
      <c r="N259" t="s">
        <v>45</v>
      </c>
      <c r="O259">
        <v>5</v>
      </c>
      <c r="P259" t="s">
        <v>12</v>
      </c>
      <c r="Q259">
        <v>12.8</v>
      </c>
      <c r="R259" s="1" t="str">
        <f t="shared" si="4"/>
        <v>II</v>
      </c>
    </row>
    <row r="260" spans="1:18">
      <c r="A260">
        <v>3308</v>
      </c>
      <c r="B260" t="s">
        <v>33</v>
      </c>
      <c r="C260">
        <v>0.45</v>
      </c>
      <c r="D260">
        <v>0.32500000000000001</v>
      </c>
      <c r="E260">
        <v>0.13500000000000001</v>
      </c>
      <c r="F260">
        <v>0.438</v>
      </c>
      <c r="G260">
        <v>0.18049999999999999</v>
      </c>
      <c r="H260">
        <v>0.11650000000000001</v>
      </c>
      <c r="I260">
        <v>0.11</v>
      </c>
      <c r="J260">
        <v>9</v>
      </c>
      <c r="K260">
        <v>2</v>
      </c>
      <c r="L260" t="s">
        <v>49</v>
      </c>
      <c r="M260" t="s">
        <v>50</v>
      </c>
      <c r="N260" t="s">
        <v>51</v>
      </c>
      <c r="O260">
        <v>4</v>
      </c>
      <c r="P260" t="s">
        <v>8</v>
      </c>
      <c r="Q260">
        <v>6.1</v>
      </c>
      <c r="R260" s="1" t="str">
        <f t="shared" si="4"/>
        <v>II</v>
      </c>
    </row>
    <row r="261" spans="1:18">
      <c r="A261">
        <v>3952</v>
      </c>
      <c r="B261" t="s">
        <v>33</v>
      </c>
      <c r="C261">
        <v>0.46500000000000002</v>
      </c>
      <c r="D261">
        <v>0.39</v>
      </c>
      <c r="E261">
        <v>0.11</v>
      </c>
      <c r="F261">
        <v>0.63549999999999995</v>
      </c>
      <c r="G261">
        <v>0.18149999999999999</v>
      </c>
      <c r="H261">
        <v>0.157</v>
      </c>
      <c r="I261">
        <v>0.22500000000000001</v>
      </c>
      <c r="J261">
        <v>13</v>
      </c>
      <c r="K261">
        <v>10</v>
      </c>
      <c r="L261" t="s">
        <v>37</v>
      </c>
      <c r="M261" t="s">
        <v>38</v>
      </c>
      <c r="N261" t="s">
        <v>39</v>
      </c>
      <c r="O261">
        <v>7</v>
      </c>
      <c r="P261" t="s">
        <v>6</v>
      </c>
      <c r="Q261">
        <v>2.5</v>
      </c>
      <c r="R261" s="1" t="str">
        <f t="shared" si="4"/>
        <v>II</v>
      </c>
    </row>
    <row r="262" spans="1:18">
      <c r="A262">
        <v>1904</v>
      </c>
      <c r="B262" t="s">
        <v>33</v>
      </c>
      <c r="C262">
        <v>0.57499999999999996</v>
      </c>
      <c r="D262">
        <v>0.44500000000000001</v>
      </c>
      <c r="E262">
        <v>0.14499999999999999</v>
      </c>
      <c r="F262">
        <v>0.876</v>
      </c>
      <c r="G262">
        <v>0.3795</v>
      </c>
      <c r="H262">
        <v>0.1615</v>
      </c>
      <c r="I262">
        <v>0.27</v>
      </c>
      <c r="J262">
        <v>10</v>
      </c>
      <c r="K262">
        <v>12</v>
      </c>
      <c r="L262" t="s">
        <v>58</v>
      </c>
      <c r="M262" t="s">
        <v>59</v>
      </c>
      <c r="N262" t="s">
        <v>45</v>
      </c>
      <c r="O262">
        <v>2</v>
      </c>
      <c r="P262" t="s">
        <v>5</v>
      </c>
      <c r="Q262">
        <v>18</v>
      </c>
      <c r="R262" s="1" t="str">
        <f t="shared" si="4"/>
        <v>II</v>
      </c>
    </row>
    <row r="263" spans="1:18">
      <c r="A263">
        <v>3980</v>
      </c>
      <c r="B263" t="s">
        <v>33</v>
      </c>
      <c r="C263">
        <v>0.495</v>
      </c>
      <c r="D263">
        <v>0.375</v>
      </c>
      <c r="E263">
        <v>0.115</v>
      </c>
      <c r="F263">
        <v>0.62450000000000006</v>
      </c>
      <c r="G263">
        <v>0.28199999999999997</v>
      </c>
      <c r="H263">
        <v>0.14299999999999999</v>
      </c>
      <c r="I263">
        <v>0.155</v>
      </c>
      <c r="J263">
        <v>6</v>
      </c>
      <c r="K263">
        <v>13</v>
      </c>
      <c r="L263" t="s">
        <v>43</v>
      </c>
      <c r="M263" t="s">
        <v>44</v>
      </c>
      <c r="N263" t="s">
        <v>45</v>
      </c>
      <c r="O263">
        <v>2</v>
      </c>
      <c r="P263" t="s">
        <v>5</v>
      </c>
      <c r="Q263">
        <v>18</v>
      </c>
      <c r="R263" s="1" t="str">
        <f t="shared" si="4"/>
        <v>II</v>
      </c>
    </row>
    <row r="264" spans="1:18">
      <c r="A264">
        <v>2104</v>
      </c>
      <c r="B264" t="s">
        <v>33</v>
      </c>
      <c r="C264">
        <v>0.375</v>
      </c>
      <c r="D264">
        <v>0.28999999999999998</v>
      </c>
      <c r="E264">
        <v>0.1</v>
      </c>
      <c r="F264">
        <v>0.27600000000000002</v>
      </c>
      <c r="G264">
        <v>0.11749999999999999</v>
      </c>
      <c r="H264">
        <v>5.6500000000000002E-2</v>
      </c>
      <c r="I264">
        <v>8.5000000000000006E-2</v>
      </c>
      <c r="J264">
        <v>9</v>
      </c>
      <c r="K264">
        <v>3</v>
      </c>
      <c r="L264" t="s">
        <v>52</v>
      </c>
      <c r="M264" t="s">
        <v>53</v>
      </c>
      <c r="N264" t="s">
        <v>54</v>
      </c>
      <c r="O264">
        <v>2</v>
      </c>
      <c r="P264" t="s">
        <v>5</v>
      </c>
      <c r="Q264">
        <v>18</v>
      </c>
      <c r="R264" s="1" t="str">
        <f t="shared" si="4"/>
        <v>II</v>
      </c>
    </row>
    <row r="265" spans="1:18">
      <c r="A265">
        <v>978</v>
      </c>
      <c r="B265" t="s">
        <v>33</v>
      </c>
      <c r="C265">
        <v>0.53500000000000003</v>
      </c>
      <c r="D265">
        <v>0.4</v>
      </c>
      <c r="E265">
        <v>0.13500000000000001</v>
      </c>
      <c r="F265">
        <v>0.82150000000000001</v>
      </c>
      <c r="G265">
        <v>0.39350000000000002</v>
      </c>
      <c r="H265">
        <v>0.19600000000000001</v>
      </c>
      <c r="I265">
        <v>0.20499999999999999</v>
      </c>
      <c r="J265">
        <v>8</v>
      </c>
      <c r="K265">
        <v>2</v>
      </c>
      <c r="L265" t="s">
        <v>49</v>
      </c>
      <c r="M265" t="s">
        <v>50</v>
      </c>
      <c r="N265" t="s">
        <v>51</v>
      </c>
      <c r="O265">
        <v>7</v>
      </c>
      <c r="P265" t="s">
        <v>6</v>
      </c>
      <c r="Q265">
        <v>2.5</v>
      </c>
      <c r="R265" s="1" t="str">
        <f t="shared" si="4"/>
        <v>II</v>
      </c>
    </row>
    <row r="266" spans="1:18">
      <c r="A266">
        <v>3146</v>
      </c>
      <c r="B266" t="s">
        <v>33</v>
      </c>
      <c r="C266">
        <v>0.55000000000000004</v>
      </c>
      <c r="D266">
        <v>0.42</v>
      </c>
      <c r="E266">
        <v>0.17</v>
      </c>
      <c r="F266">
        <v>0.84650000000000003</v>
      </c>
      <c r="G266">
        <v>0.33600000000000002</v>
      </c>
      <c r="H266">
        <v>0.24049999999999999</v>
      </c>
      <c r="I266">
        <v>0.245</v>
      </c>
      <c r="J266">
        <v>13</v>
      </c>
      <c r="K266">
        <v>8</v>
      </c>
      <c r="L266" t="s">
        <v>55</v>
      </c>
      <c r="M266" t="s">
        <v>56</v>
      </c>
      <c r="N266" t="s">
        <v>57</v>
      </c>
      <c r="O266">
        <v>2</v>
      </c>
      <c r="P266" t="s">
        <v>5</v>
      </c>
      <c r="Q266">
        <v>18</v>
      </c>
      <c r="R266" s="1" t="str">
        <f t="shared" si="4"/>
        <v>II</v>
      </c>
    </row>
    <row r="267" spans="1:18">
      <c r="A267">
        <v>2244</v>
      </c>
      <c r="B267" t="s">
        <v>33</v>
      </c>
      <c r="C267">
        <v>0.46500000000000002</v>
      </c>
      <c r="D267">
        <v>0.36</v>
      </c>
      <c r="E267">
        <v>0.13</v>
      </c>
      <c r="F267">
        <v>0.52649999999999997</v>
      </c>
      <c r="G267">
        <v>0.21049999999999999</v>
      </c>
      <c r="H267">
        <v>0.11849999999999999</v>
      </c>
      <c r="I267">
        <v>0.16500000000000001</v>
      </c>
      <c r="J267">
        <v>10</v>
      </c>
      <c r="K267">
        <v>3</v>
      </c>
      <c r="L267" t="s">
        <v>52</v>
      </c>
      <c r="M267" t="s">
        <v>53</v>
      </c>
      <c r="N267" t="s">
        <v>54</v>
      </c>
      <c r="O267">
        <v>10</v>
      </c>
      <c r="P267" t="s">
        <v>11</v>
      </c>
      <c r="Q267">
        <v>24.1</v>
      </c>
      <c r="R267" s="1" t="str">
        <f t="shared" ref="R267:R330" si="5">IF(OR(AND(J267 &gt; 15, B267 = "Infant"), AND(D267 = "Male", C267 &gt; 0.75),
    OR(I267 &gt; 0.8, G267 &gt; 0.5), G267 &gt; 1.2),
    "I",
    IF(OR(AND(I267 &lt; 0.4, G267 &lt; 0.4), AND(J267 &gt; 15, D267 = "Male"), AND(J267 &gt; 18, D267 = "Female"), C267 &lt; 0.36),
    "II",
    "III"))</f>
        <v>II</v>
      </c>
    </row>
    <row r="268" spans="1:18">
      <c r="A268">
        <v>829</v>
      </c>
      <c r="B268" t="s">
        <v>33</v>
      </c>
      <c r="C268">
        <v>0.41</v>
      </c>
      <c r="D268">
        <v>0.32500000000000001</v>
      </c>
      <c r="E268">
        <v>0.1</v>
      </c>
      <c r="F268">
        <v>0.39400000000000002</v>
      </c>
      <c r="G268">
        <v>0.20799999999999999</v>
      </c>
      <c r="H268">
        <v>6.5500000000000003E-2</v>
      </c>
      <c r="I268">
        <v>0.106</v>
      </c>
      <c r="J268">
        <v>6</v>
      </c>
      <c r="K268">
        <v>1</v>
      </c>
      <c r="L268" t="s">
        <v>70</v>
      </c>
      <c r="M268" t="s">
        <v>71</v>
      </c>
      <c r="N268" t="s">
        <v>45</v>
      </c>
      <c r="O268">
        <v>5</v>
      </c>
      <c r="P268" t="s">
        <v>12</v>
      </c>
      <c r="Q268">
        <v>12.8</v>
      </c>
      <c r="R268" s="1" t="str">
        <f t="shared" si="5"/>
        <v>II</v>
      </c>
    </row>
    <row r="269" spans="1:18">
      <c r="A269">
        <v>2310</v>
      </c>
      <c r="B269" t="s">
        <v>33</v>
      </c>
      <c r="C269">
        <v>0.47</v>
      </c>
      <c r="D269">
        <v>0.375</v>
      </c>
      <c r="E269">
        <v>0.13</v>
      </c>
      <c r="F269">
        <v>0.57950000000000002</v>
      </c>
      <c r="G269">
        <v>0.2145</v>
      </c>
      <c r="H269">
        <v>0.16400000000000001</v>
      </c>
      <c r="I269">
        <v>0.19500000000000001</v>
      </c>
      <c r="J269">
        <v>13</v>
      </c>
      <c r="K269">
        <v>12</v>
      </c>
      <c r="L269" t="s">
        <v>58</v>
      </c>
      <c r="M269" t="s">
        <v>59</v>
      </c>
      <c r="N269" t="s">
        <v>45</v>
      </c>
      <c r="O269">
        <v>8</v>
      </c>
      <c r="P269" t="s">
        <v>13</v>
      </c>
      <c r="Q269">
        <v>12.3</v>
      </c>
      <c r="R269" s="1" t="str">
        <f t="shared" si="5"/>
        <v>II</v>
      </c>
    </row>
    <row r="270" spans="1:18">
      <c r="A270">
        <v>1453</v>
      </c>
      <c r="B270" t="s">
        <v>33</v>
      </c>
      <c r="C270">
        <v>0.47</v>
      </c>
      <c r="D270">
        <v>0.34499999999999997</v>
      </c>
      <c r="E270">
        <v>0.14000000000000001</v>
      </c>
      <c r="F270">
        <v>0.46150000000000002</v>
      </c>
      <c r="G270">
        <v>0.22900000000000001</v>
      </c>
      <c r="H270">
        <v>0.1105</v>
      </c>
      <c r="I270">
        <v>0.11600000000000001</v>
      </c>
      <c r="J270">
        <v>9</v>
      </c>
      <c r="K270">
        <v>11</v>
      </c>
      <c r="L270" t="s">
        <v>65</v>
      </c>
      <c r="M270" t="s">
        <v>66</v>
      </c>
      <c r="N270" t="s">
        <v>45</v>
      </c>
      <c r="O270">
        <v>4</v>
      </c>
      <c r="P270" t="s">
        <v>8</v>
      </c>
      <c r="Q270">
        <v>6.1</v>
      </c>
      <c r="R270" s="1" t="str">
        <f t="shared" si="5"/>
        <v>II</v>
      </c>
    </row>
    <row r="271" spans="1:18">
      <c r="A271">
        <v>3549</v>
      </c>
      <c r="B271" t="s">
        <v>33</v>
      </c>
      <c r="C271">
        <v>0.495</v>
      </c>
      <c r="D271">
        <v>0.37</v>
      </c>
      <c r="E271">
        <v>0.12</v>
      </c>
      <c r="F271">
        <v>0.59399999999999997</v>
      </c>
      <c r="G271">
        <v>0.28000000000000003</v>
      </c>
      <c r="H271">
        <v>0.11</v>
      </c>
      <c r="I271">
        <v>0.13750000000000001</v>
      </c>
      <c r="J271">
        <v>7</v>
      </c>
      <c r="K271">
        <v>12</v>
      </c>
      <c r="L271" t="s">
        <v>58</v>
      </c>
      <c r="M271" t="s">
        <v>59</v>
      </c>
      <c r="N271" t="s">
        <v>45</v>
      </c>
      <c r="O271">
        <v>5</v>
      </c>
      <c r="P271" t="s">
        <v>12</v>
      </c>
      <c r="Q271">
        <v>12.8</v>
      </c>
      <c r="R271" s="1" t="str">
        <f t="shared" si="5"/>
        <v>II</v>
      </c>
    </row>
    <row r="272" spans="1:18">
      <c r="A272">
        <v>794</v>
      </c>
      <c r="B272" t="s">
        <v>33</v>
      </c>
      <c r="C272">
        <v>0.57499999999999996</v>
      </c>
      <c r="D272">
        <v>0.45</v>
      </c>
      <c r="E272">
        <v>0.16500000000000001</v>
      </c>
      <c r="F272">
        <v>0.92149999999999999</v>
      </c>
      <c r="G272">
        <v>0.32750000000000001</v>
      </c>
      <c r="H272">
        <v>0.22500000000000001</v>
      </c>
      <c r="I272">
        <v>0.25600000000000001</v>
      </c>
      <c r="J272">
        <v>12</v>
      </c>
      <c r="K272">
        <v>14</v>
      </c>
      <c r="L272" t="s">
        <v>72</v>
      </c>
      <c r="M272" t="s">
        <v>73</v>
      </c>
      <c r="N272" t="s">
        <v>74</v>
      </c>
      <c r="O272">
        <v>1</v>
      </c>
      <c r="P272" t="s">
        <v>4</v>
      </c>
      <c r="Q272">
        <v>22.1</v>
      </c>
      <c r="R272" s="1" t="str">
        <f t="shared" si="5"/>
        <v>II</v>
      </c>
    </row>
    <row r="273" spans="1:18">
      <c r="A273">
        <v>1251</v>
      </c>
      <c r="B273" t="s">
        <v>33</v>
      </c>
      <c r="C273">
        <v>0.4</v>
      </c>
      <c r="D273">
        <v>0.28999999999999998</v>
      </c>
      <c r="E273">
        <v>0.1</v>
      </c>
      <c r="F273">
        <v>0.26750000000000002</v>
      </c>
      <c r="G273">
        <v>0.1205</v>
      </c>
      <c r="H273">
        <v>6.0499999999999998E-2</v>
      </c>
      <c r="I273">
        <v>7.6499999999999999E-2</v>
      </c>
      <c r="J273">
        <v>5</v>
      </c>
      <c r="K273">
        <v>14</v>
      </c>
      <c r="L273" t="s">
        <v>72</v>
      </c>
      <c r="M273" t="s">
        <v>73</v>
      </c>
      <c r="N273" t="s">
        <v>74</v>
      </c>
      <c r="O273">
        <v>7</v>
      </c>
      <c r="P273" t="s">
        <v>6</v>
      </c>
      <c r="Q273">
        <v>2.5</v>
      </c>
      <c r="R273" s="1" t="str">
        <f t="shared" si="5"/>
        <v>II</v>
      </c>
    </row>
    <row r="274" spans="1:18">
      <c r="A274">
        <v>2496</v>
      </c>
      <c r="B274" t="s">
        <v>33</v>
      </c>
      <c r="C274">
        <v>0.45</v>
      </c>
      <c r="D274">
        <v>0.36</v>
      </c>
      <c r="E274">
        <v>0.16</v>
      </c>
      <c r="F274">
        <v>0.56699999999999995</v>
      </c>
      <c r="G274">
        <v>0.17399999999999999</v>
      </c>
      <c r="H274">
        <v>0.1245</v>
      </c>
      <c r="I274">
        <v>0.22500000000000001</v>
      </c>
      <c r="J274">
        <v>12</v>
      </c>
      <c r="K274">
        <v>14</v>
      </c>
      <c r="L274" t="s">
        <v>72</v>
      </c>
      <c r="M274" t="s">
        <v>73</v>
      </c>
      <c r="N274" t="s">
        <v>74</v>
      </c>
      <c r="O274">
        <v>3</v>
      </c>
      <c r="P274" t="s">
        <v>10</v>
      </c>
      <c r="Q274">
        <v>3.6</v>
      </c>
      <c r="R274" s="1" t="str">
        <f t="shared" si="5"/>
        <v>II</v>
      </c>
    </row>
    <row r="275" spans="1:18">
      <c r="A275">
        <v>2446</v>
      </c>
      <c r="B275" t="s">
        <v>33</v>
      </c>
      <c r="C275">
        <v>0.5</v>
      </c>
      <c r="D275">
        <v>0.38</v>
      </c>
      <c r="E275">
        <v>0.13500000000000001</v>
      </c>
      <c r="F275">
        <v>0.58350000000000002</v>
      </c>
      <c r="G275">
        <v>0.22950000000000001</v>
      </c>
      <c r="H275">
        <v>0.1265</v>
      </c>
      <c r="I275">
        <v>0.18</v>
      </c>
      <c r="J275">
        <v>12</v>
      </c>
      <c r="K275">
        <v>11</v>
      </c>
      <c r="L275" t="s">
        <v>65</v>
      </c>
      <c r="M275" t="s">
        <v>66</v>
      </c>
      <c r="N275" t="s">
        <v>45</v>
      </c>
      <c r="O275">
        <v>6</v>
      </c>
      <c r="P275" t="s">
        <v>7</v>
      </c>
      <c r="Q275">
        <v>14.1</v>
      </c>
      <c r="R275" s="1" t="str">
        <f t="shared" si="5"/>
        <v>II</v>
      </c>
    </row>
    <row r="276" spans="1:18">
      <c r="A276">
        <v>2124</v>
      </c>
      <c r="B276" t="s">
        <v>33</v>
      </c>
      <c r="C276">
        <v>0.28999999999999998</v>
      </c>
      <c r="D276">
        <v>0.21</v>
      </c>
      <c r="E276">
        <v>7.4999999999999997E-2</v>
      </c>
      <c r="F276">
        <v>0.27500000000000002</v>
      </c>
      <c r="G276">
        <v>0.113</v>
      </c>
      <c r="H276">
        <v>6.7500000000000004E-2</v>
      </c>
      <c r="I276">
        <v>3.5000000000000003E-2</v>
      </c>
      <c r="J276">
        <v>6</v>
      </c>
      <c r="K276">
        <v>3</v>
      </c>
      <c r="L276" t="s">
        <v>52</v>
      </c>
      <c r="M276" t="s">
        <v>53</v>
      </c>
      <c r="N276" t="s">
        <v>54</v>
      </c>
      <c r="O276">
        <v>3</v>
      </c>
      <c r="P276" t="s">
        <v>10</v>
      </c>
      <c r="Q276">
        <v>3.6</v>
      </c>
      <c r="R276" s="1" t="str">
        <f t="shared" si="5"/>
        <v>II</v>
      </c>
    </row>
    <row r="277" spans="1:18">
      <c r="A277">
        <v>323</v>
      </c>
      <c r="B277" t="s">
        <v>33</v>
      </c>
      <c r="C277">
        <v>0.38500000000000001</v>
      </c>
      <c r="D277">
        <v>0.31</v>
      </c>
      <c r="E277">
        <v>0.1</v>
      </c>
      <c r="F277">
        <v>0.28449999999999998</v>
      </c>
      <c r="G277">
        <v>0.1065</v>
      </c>
      <c r="H277">
        <v>7.4999999999999997E-2</v>
      </c>
      <c r="I277">
        <v>0.1</v>
      </c>
      <c r="J277">
        <v>11</v>
      </c>
      <c r="K277">
        <v>5</v>
      </c>
      <c r="L277" t="s">
        <v>67</v>
      </c>
      <c r="M277" t="s">
        <v>68</v>
      </c>
      <c r="N277" t="s">
        <v>69</v>
      </c>
      <c r="O277">
        <v>6</v>
      </c>
      <c r="P277" t="s">
        <v>7</v>
      </c>
      <c r="Q277">
        <v>14.1</v>
      </c>
      <c r="R277" s="1" t="str">
        <f t="shared" si="5"/>
        <v>II</v>
      </c>
    </row>
    <row r="278" spans="1:18">
      <c r="A278">
        <v>2575</v>
      </c>
      <c r="B278" t="s">
        <v>33</v>
      </c>
      <c r="C278">
        <v>0.48</v>
      </c>
      <c r="D278">
        <v>0.37</v>
      </c>
      <c r="E278">
        <v>0.1</v>
      </c>
      <c r="F278">
        <v>0.51349999999999996</v>
      </c>
      <c r="G278">
        <v>0.24299999999999999</v>
      </c>
      <c r="H278">
        <v>0.10150000000000001</v>
      </c>
      <c r="I278">
        <v>0.13500000000000001</v>
      </c>
      <c r="J278">
        <v>8</v>
      </c>
      <c r="K278">
        <v>14</v>
      </c>
      <c r="L278" t="s">
        <v>72</v>
      </c>
      <c r="M278" t="s">
        <v>73</v>
      </c>
      <c r="N278" t="s">
        <v>74</v>
      </c>
      <c r="O278">
        <v>9</v>
      </c>
      <c r="P278" t="s">
        <v>9</v>
      </c>
      <c r="Q278">
        <v>1.9</v>
      </c>
      <c r="R278" s="1" t="str">
        <f t="shared" si="5"/>
        <v>II</v>
      </c>
    </row>
    <row r="279" spans="1:18">
      <c r="A279">
        <v>1885</v>
      </c>
      <c r="B279" t="s">
        <v>33</v>
      </c>
      <c r="C279">
        <v>0.55500000000000005</v>
      </c>
      <c r="D279">
        <v>0.4</v>
      </c>
      <c r="E279">
        <v>0.13</v>
      </c>
      <c r="F279">
        <v>0.70750000000000002</v>
      </c>
      <c r="G279">
        <v>0.33200000000000002</v>
      </c>
      <c r="H279">
        <v>0.1585</v>
      </c>
      <c r="I279">
        <v>0.18</v>
      </c>
      <c r="J279">
        <v>7</v>
      </c>
      <c r="K279">
        <v>14</v>
      </c>
      <c r="L279" t="s">
        <v>72</v>
      </c>
      <c r="M279" t="s">
        <v>73</v>
      </c>
      <c r="N279" t="s">
        <v>74</v>
      </c>
      <c r="O279">
        <v>1</v>
      </c>
      <c r="P279" t="s">
        <v>4</v>
      </c>
      <c r="Q279">
        <v>22.1</v>
      </c>
      <c r="R279" s="1" t="str">
        <f t="shared" si="5"/>
        <v>II</v>
      </c>
    </row>
    <row r="280" spans="1:18">
      <c r="A280">
        <v>1613</v>
      </c>
      <c r="B280" t="s">
        <v>33</v>
      </c>
      <c r="C280">
        <v>0.55000000000000004</v>
      </c>
      <c r="D280">
        <v>0.42499999999999999</v>
      </c>
      <c r="E280">
        <v>0.15</v>
      </c>
      <c r="F280">
        <v>0.63900000000000001</v>
      </c>
      <c r="G280">
        <v>0.26900000000000002</v>
      </c>
      <c r="H280">
        <v>0.13450000000000001</v>
      </c>
      <c r="I280">
        <v>0.217</v>
      </c>
      <c r="J280">
        <v>9</v>
      </c>
      <c r="K280">
        <v>4</v>
      </c>
      <c r="L280" t="s">
        <v>40</v>
      </c>
      <c r="M280" t="s">
        <v>41</v>
      </c>
      <c r="N280" t="s">
        <v>42</v>
      </c>
      <c r="O280">
        <v>7</v>
      </c>
      <c r="P280" t="s">
        <v>6</v>
      </c>
      <c r="Q280">
        <v>2.5</v>
      </c>
      <c r="R280" s="1" t="str">
        <f t="shared" si="5"/>
        <v>II</v>
      </c>
    </row>
    <row r="281" spans="1:18">
      <c r="A281">
        <v>2096</v>
      </c>
      <c r="B281" t="s">
        <v>33</v>
      </c>
      <c r="C281">
        <v>0.41499999999999998</v>
      </c>
      <c r="D281">
        <v>0.3</v>
      </c>
      <c r="E281">
        <v>0.1</v>
      </c>
      <c r="F281">
        <v>0.33550000000000002</v>
      </c>
      <c r="G281">
        <v>0.1545</v>
      </c>
      <c r="H281">
        <v>6.8500000000000005E-2</v>
      </c>
      <c r="I281">
        <v>9.5000000000000001E-2</v>
      </c>
      <c r="J281">
        <v>7</v>
      </c>
      <c r="K281">
        <v>14</v>
      </c>
      <c r="L281" t="s">
        <v>72</v>
      </c>
      <c r="M281" t="s">
        <v>73</v>
      </c>
      <c r="N281" t="s">
        <v>74</v>
      </c>
      <c r="O281">
        <v>7</v>
      </c>
      <c r="P281" t="s">
        <v>6</v>
      </c>
      <c r="Q281">
        <v>2.5</v>
      </c>
      <c r="R281" s="1" t="str">
        <f t="shared" si="5"/>
        <v>II</v>
      </c>
    </row>
    <row r="282" spans="1:18">
      <c r="A282">
        <v>519</v>
      </c>
      <c r="B282" t="s">
        <v>33</v>
      </c>
      <c r="C282">
        <v>0.32500000000000001</v>
      </c>
      <c r="D282">
        <v>0.23</v>
      </c>
      <c r="E282">
        <v>0.09</v>
      </c>
      <c r="F282">
        <v>0.14699999999999999</v>
      </c>
      <c r="G282">
        <v>0.06</v>
      </c>
      <c r="H282">
        <v>3.4000000000000002E-2</v>
      </c>
      <c r="I282">
        <v>4.4999999999999998E-2</v>
      </c>
      <c r="J282">
        <v>4</v>
      </c>
      <c r="K282">
        <v>4</v>
      </c>
      <c r="L282" t="s">
        <v>40</v>
      </c>
      <c r="M282" t="s">
        <v>41</v>
      </c>
      <c r="N282" t="s">
        <v>42</v>
      </c>
      <c r="O282">
        <v>6</v>
      </c>
      <c r="P282" t="s">
        <v>7</v>
      </c>
      <c r="Q282">
        <v>14.1</v>
      </c>
      <c r="R282" s="1" t="str">
        <f t="shared" si="5"/>
        <v>II</v>
      </c>
    </row>
    <row r="283" spans="1:18">
      <c r="A283">
        <v>1106</v>
      </c>
      <c r="B283" t="s">
        <v>33</v>
      </c>
      <c r="C283">
        <v>0.51</v>
      </c>
      <c r="D283">
        <v>0.4</v>
      </c>
      <c r="E283">
        <v>0.125</v>
      </c>
      <c r="F283">
        <v>0.54500000000000004</v>
      </c>
      <c r="G283">
        <v>0.26100000000000001</v>
      </c>
      <c r="H283">
        <v>0.115</v>
      </c>
      <c r="I283">
        <v>0.13850000000000001</v>
      </c>
      <c r="J283">
        <v>6</v>
      </c>
      <c r="K283">
        <v>14</v>
      </c>
      <c r="L283" t="s">
        <v>72</v>
      </c>
      <c r="M283" t="s">
        <v>73</v>
      </c>
      <c r="N283" t="s">
        <v>74</v>
      </c>
      <c r="O283">
        <v>9</v>
      </c>
      <c r="P283" t="s">
        <v>9</v>
      </c>
      <c r="Q283">
        <v>1.9</v>
      </c>
      <c r="R283" s="1" t="str">
        <f t="shared" si="5"/>
        <v>II</v>
      </c>
    </row>
    <row r="284" spans="1:18">
      <c r="A284">
        <v>48</v>
      </c>
      <c r="B284" t="s">
        <v>33</v>
      </c>
      <c r="C284">
        <v>0.46</v>
      </c>
      <c r="D284">
        <v>0.375</v>
      </c>
      <c r="E284">
        <v>0.12</v>
      </c>
      <c r="F284">
        <v>0.46050000000000002</v>
      </c>
      <c r="G284">
        <v>0.17749999999999999</v>
      </c>
      <c r="H284">
        <v>0.11</v>
      </c>
      <c r="I284">
        <v>0.15</v>
      </c>
      <c r="J284">
        <v>7</v>
      </c>
      <c r="K284">
        <v>2</v>
      </c>
      <c r="L284" t="s">
        <v>49</v>
      </c>
      <c r="M284" t="s">
        <v>50</v>
      </c>
      <c r="N284" t="s">
        <v>51</v>
      </c>
      <c r="O284">
        <v>4</v>
      </c>
      <c r="P284" t="s">
        <v>8</v>
      </c>
      <c r="Q284">
        <v>6.1</v>
      </c>
      <c r="R284" s="1" t="str">
        <f t="shared" si="5"/>
        <v>II</v>
      </c>
    </row>
    <row r="285" spans="1:18">
      <c r="A285">
        <v>4156</v>
      </c>
      <c r="B285" t="s">
        <v>33</v>
      </c>
      <c r="C285">
        <v>0.44</v>
      </c>
      <c r="D285">
        <v>0.35</v>
      </c>
      <c r="E285">
        <v>0.11</v>
      </c>
      <c r="F285">
        <v>0.3805</v>
      </c>
      <c r="G285">
        <v>0.1575</v>
      </c>
      <c r="H285">
        <v>8.9499999999999996E-2</v>
      </c>
      <c r="I285">
        <v>0.115</v>
      </c>
      <c r="J285">
        <v>6</v>
      </c>
      <c r="K285">
        <v>9</v>
      </c>
      <c r="L285" t="s">
        <v>34</v>
      </c>
      <c r="M285" t="s">
        <v>35</v>
      </c>
      <c r="N285" t="s">
        <v>36</v>
      </c>
      <c r="O285">
        <v>2</v>
      </c>
      <c r="P285" t="s">
        <v>5</v>
      </c>
      <c r="Q285">
        <v>18</v>
      </c>
      <c r="R285" s="1" t="str">
        <f t="shared" si="5"/>
        <v>II</v>
      </c>
    </row>
    <row r="286" spans="1:18">
      <c r="A286">
        <v>2548</v>
      </c>
      <c r="B286" t="s">
        <v>33</v>
      </c>
      <c r="C286">
        <v>0.23</v>
      </c>
      <c r="D286">
        <v>0.18</v>
      </c>
      <c r="E286">
        <v>0.05</v>
      </c>
      <c r="F286">
        <v>6.4000000000000001E-2</v>
      </c>
      <c r="G286">
        <v>2.1499999999999998E-2</v>
      </c>
      <c r="H286">
        <v>1.35E-2</v>
      </c>
      <c r="I286">
        <v>0.02</v>
      </c>
      <c r="J286">
        <v>5</v>
      </c>
      <c r="K286">
        <v>7</v>
      </c>
      <c r="L286" t="s">
        <v>62</v>
      </c>
      <c r="M286" t="s">
        <v>63</v>
      </c>
      <c r="N286" t="s">
        <v>64</v>
      </c>
      <c r="O286">
        <v>6</v>
      </c>
      <c r="P286" t="s">
        <v>7</v>
      </c>
      <c r="Q286">
        <v>14.1</v>
      </c>
      <c r="R286" s="1" t="str">
        <f t="shared" si="5"/>
        <v>II</v>
      </c>
    </row>
    <row r="287" spans="1:18">
      <c r="A287">
        <v>834</v>
      </c>
      <c r="B287" t="s">
        <v>33</v>
      </c>
      <c r="C287">
        <v>0.44500000000000001</v>
      </c>
      <c r="D287">
        <v>0.33500000000000002</v>
      </c>
      <c r="E287">
        <v>0.1</v>
      </c>
      <c r="F287">
        <v>0.48949999999999999</v>
      </c>
      <c r="G287">
        <v>0.27450000000000002</v>
      </c>
      <c r="H287">
        <v>8.5999999999999993E-2</v>
      </c>
      <c r="I287">
        <v>0.1105</v>
      </c>
      <c r="J287">
        <v>7</v>
      </c>
      <c r="K287">
        <v>6</v>
      </c>
      <c r="L287" t="s">
        <v>46</v>
      </c>
      <c r="M287" t="s">
        <v>47</v>
      </c>
      <c r="N287" t="s">
        <v>48</v>
      </c>
      <c r="O287">
        <v>1</v>
      </c>
      <c r="P287" t="s">
        <v>4</v>
      </c>
      <c r="Q287">
        <v>22.1</v>
      </c>
      <c r="R287" s="1" t="str">
        <f t="shared" si="5"/>
        <v>II</v>
      </c>
    </row>
    <row r="288" spans="1:18">
      <c r="A288">
        <v>896</v>
      </c>
      <c r="B288" t="s">
        <v>33</v>
      </c>
      <c r="C288">
        <v>0.255</v>
      </c>
      <c r="D288">
        <v>0.19</v>
      </c>
      <c r="E288">
        <v>0.05</v>
      </c>
      <c r="F288">
        <v>8.3000000000000004E-2</v>
      </c>
      <c r="G288">
        <v>2.9499999999999998E-2</v>
      </c>
      <c r="H288">
        <v>2.1499999999999998E-2</v>
      </c>
      <c r="I288">
        <v>2.7E-2</v>
      </c>
      <c r="J288">
        <v>6</v>
      </c>
      <c r="K288">
        <v>15</v>
      </c>
      <c r="L288" t="s">
        <v>60</v>
      </c>
      <c r="M288" t="s">
        <v>61</v>
      </c>
      <c r="N288" t="s">
        <v>45</v>
      </c>
      <c r="O288">
        <v>4</v>
      </c>
      <c r="P288" t="s">
        <v>8</v>
      </c>
      <c r="Q288">
        <v>6.1</v>
      </c>
      <c r="R288" s="1" t="str">
        <f t="shared" si="5"/>
        <v>II</v>
      </c>
    </row>
    <row r="289" spans="1:18">
      <c r="A289">
        <v>4110</v>
      </c>
      <c r="B289" t="s">
        <v>33</v>
      </c>
      <c r="C289">
        <v>0.48</v>
      </c>
      <c r="D289">
        <v>0.36499999999999999</v>
      </c>
      <c r="E289">
        <v>0.13</v>
      </c>
      <c r="F289">
        <v>0.53049999999999997</v>
      </c>
      <c r="G289">
        <v>0.24049999999999999</v>
      </c>
      <c r="H289">
        <v>0.127</v>
      </c>
      <c r="I289">
        <v>0.13900000000000001</v>
      </c>
      <c r="J289">
        <v>8</v>
      </c>
      <c r="K289">
        <v>2</v>
      </c>
      <c r="L289" t="s">
        <v>49</v>
      </c>
      <c r="M289" t="s">
        <v>50</v>
      </c>
      <c r="N289" t="s">
        <v>51</v>
      </c>
      <c r="O289">
        <v>4</v>
      </c>
      <c r="P289" t="s">
        <v>8</v>
      </c>
      <c r="Q289">
        <v>6.1</v>
      </c>
      <c r="R289" s="1" t="str">
        <f t="shared" si="5"/>
        <v>II</v>
      </c>
    </row>
    <row r="290" spans="1:18">
      <c r="A290">
        <v>147</v>
      </c>
      <c r="B290" t="s">
        <v>17</v>
      </c>
      <c r="C290">
        <v>0.46</v>
      </c>
      <c r="D290">
        <v>0.35</v>
      </c>
      <c r="E290">
        <v>0.12</v>
      </c>
      <c r="F290">
        <v>0.51500000000000001</v>
      </c>
      <c r="G290">
        <v>0.224</v>
      </c>
      <c r="H290">
        <v>0.108</v>
      </c>
      <c r="I290">
        <v>0.1565</v>
      </c>
      <c r="J290">
        <v>10</v>
      </c>
      <c r="K290">
        <v>1</v>
      </c>
      <c r="L290" t="s">
        <v>70</v>
      </c>
      <c r="M290" t="s">
        <v>71</v>
      </c>
      <c r="N290" t="s">
        <v>45</v>
      </c>
      <c r="O290">
        <v>6</v>
      </c>
      <c r="P290" t="s">
        <v>7</v>
      </c>
      <c r="Q290">
        <v>14.1</v>
      </c>
      <c r="R290" s="1" t="str">
        <f t="shared" si="5"/>
        <v>II</v>
      </c>
    </row>
    <row r="291" spans="1:18">
      <c r="A291">
        <v>2023</v>
      </c>
      <c r="B291" t="s">
        <v>75</v>
      </c>
      <c r="C291">
        <v>0.53</v>
      </c>
      <c r="D291">
        <v>0.43</v>
      </c>
      <c r="E291">
        <v>0.15</v>
      </c>
      <c r="F291">
        <v>0.74099999999999999</v>
      </c>
      <c r="G291">
        <v>0.32500000000000001</v>
      </c>
      <c r="H291">
        <v>0.1855</v>
      </c>
      <c r="I291">
        <v>0.19600000000000001</v>
      </c>
      <c r="J291">
        <v>9</v>
      </c>
      <c r="K291">
        <v>4</v>
      </c>
      <c r="L291" t="s">
        <v>40</v>
      </c>
      <c r="M291" t="s">
        <v>41</v>
      </c>
      <c r="N291" t="s">
        <v>42</v>
      </c>
      <c r="O291">
        <v>3</v>
      </c>
      <c r="P291" t="s">
        <v>10</v>
      </c>
      <c r="Q291">
        <v>3.6</v>
      </c>
      <c r="R291" s="1" t="str">
        <f t="shared" si="5"/>
        <v>II</v>
      </c>
    </row>
    <row r="292" spans="1:18">
      <c r="A292">
        <v>2873</v>
      </c>
      <c r="B292" t="s">
        <v>75</v>
      </c>
      <c r="C292">
        <v>0.4</v>
      </c>
      <c r="D292">
        <v>0.315</v>
      </c>
      <c r="E292">
        <v>0.09</v>
      </c>
      <c r="F292">
        <v>0.32450000000000001</v>
      </c>
      <c r="G292">
        <v>0.151</v>
      </c>
      <c r="H292">
        <v>7.2999999999999995E-2</v>
      </c>
      <c r="I292">
        <v>8.7999999999999995E-2</v>
      </c>
      <c r="J292">
        <v>8</v>
      </c>
      <c r="K292">
        <v>3</v>
      </c>
      <c r="L292" t="s">
        <v>52</v>
      </c>
      <c r="M292" t="s">
        <v>53</v>
      </c>
      <c r="N292" t="s">
        <v>54</v>
      </c>
      <c r="O292">
        <v>5</v>
      </c>
      <c r="P292" t="s">
        <v>12</v>
      </c>
      <c r="Q292">
        <v>12.8</v>
      </c>
      <c r="R292" s="1" t="str">
        <f t="shared" si="5"/>
        <v>II</v>
      </c>
    </row>
    <row r="293" spans="1:18">
      <c r="A293">
        <v>1537</v>
      </c>
      <c r="B293" t="s">
        <v>75</v>
      </c>
      <c r="C293">
        <v>0.33500000000000002</v>
      </c>
      <c r="D293">
        <v>0.255</v>
      </c>
      <c r="E293">
        <v>0.08</v>
      </c>
      <c r="F293">
        <v>0.16800000000000001</v>
      </c>
      <c r="G293">
        <v>7.9000000000000001E-2</v>
      </c>
      <c r="H293">
        <v>3.5499999999999997E-2</v>
      </c>
      <c r="I293">
        <v>0.05</v>
      </c>
      <c r="J293">
        <v>5</v>
      </c>
      <c r="K293">
        <v>14</v>
      </c>
      <c r="L293" t="s">
        <v>72</v>
      </c>
      <c r="M293" t="s">
        <v>73</v>
      </c>
      <c r="N293" t="s">
        <v>74</v>
      </c>
      <c r="O293">
        <v>1</v>
      </c>
      <c r="P293" t="s">
        <v>4</v>
      </c>
      <c r="Q293">
        <v>22.1</v>
      </c>
      <c r="R293" s="1" t="str">
        <f t="shared" si="5"/>
        <v>II</v>
      </c>
    </row>
    <row r="294" spans="1:18">
      <c r="A294">
        <v>4031</v>
      </c>
      <c r="B294" t="s">
        <v>75</v>
      </c>
      <c r="C294">
        <v>0.435</v>
      </c>
      <c r="D294">
        <v>0.32500000000000001</v>
      </c>
      <c r="E294">
        <v>0.1</v>
      </c>
      <c r="F294">
        <v>0.36599999999999999</v>
      </c>
      <c r="G294">
        <v>0.17399999999999999</v>
      </c>
      <c r="H294">
        <v>7.2499999999999995E-2</v>
      </c>
      <c r="I294">
        <v>0.109</v>
      </c>
      <c r="J294">
        <v>7</v>
      </c>
      <c r="K294">
        <v>12</v>
      </c>
      <c r="L294" t="s">
        <v>58</v>
      </c>
      <c r="M294" t="s">
        <v>59</v>
      </c>
      <c r="N294" t="s">
        <v>45</v>
      </c>
      <c r="O294">
        <v>1</v>
      </c>
      <c r="P294" t="s">
        <v>4</v>
      </c>
      <c r="Q294">
        <v>22.1</v>
      </c>
      <c r="R294" s="1" t="str">
        <f t="shared" si="5"/>
        <v>II</v>
      </c>
    </row>
    <row r="295" spans="1:18">
      <c r="A295">
        <v>3222</v>
      </c>
      <c r="B295" t="s">
        <v>75</v>
      </c>
      <c r="C295">
        <v>0.38500000000000001</v>
      </c>
      <c r="D295">
        <v>0.30499999999999999</v>
      </c>
      <c r="E295">
        <v>0.09</v>
      </c>
      <c r="F295">
        <v>0.27750000000000002</v>
      </c>
      <c r="G295">
        <v>0.109</v>
      </c>
      <c r="H295">
        <v>5.1499999999999997E-2</v>
      </c>
      <c r="I295">
        <v>0.1</v>
      </c>
      <c r="J295">
        <v>9</v>
      </c>
      <c r="K295">
        <v>5</v>
      </c>
      <c r="L295" t="s">
        <v>67</v>
      </c>
      <c r="M295" t="s">
        <v>68</v>
      </c>
      <c r="N295" t="s">
        <v>69</v>
      </c>
      <c r="O295">
        <v>7</v>
      </c>
      <c r="P295" t="s">
        <v>6</v>
      </c>
      <c r="Q295">
        <v>2.5</v>
      </c>
      <c r="R295" s="1" t="str">
        <f t="shared" si="5"/>
        <v>II</v>
      </c>
    </row>
    <row r="296" spans="1:18">
      <c r="A296">
        <v>1281</v>
      </c>
      <c r="B296" t="s">
        <v>75</v>
      </c>
      <c r="C296">
        <v>0.495</v>
      </c>
      <c r="D296">
        <v>0.39500000000000002</v>
      </c>
      <c r="E296">
        <v>0.12</v>
      </c>
      <c r="F296">
        <v>0.55300000000000005</v>
      </c>
      <c r="G296">
        <v>0.224</v>
      </c>
      <c r="H296">
        <v>0.13750000000000001</v>
      </c>
      <c r="I296">
        <v>0.16700000000000001</v>
      </c>
      <c r="J296">
        <v>8</v>
      </c>
      <c r="K296">
        <v>15</v>
      </c>
      <c r="L296" t="s">
        <v>60</v>
      </c>
      <c r="M296" t="s">
        <v>61</v>
      </c>
      <c r="N296" t="s">
        <v>45</v>
      </c>
      <c r="O296">
        <v>6</v>
      </c>
      <c r="P296" t="s">
        <v>7</v>
      </c>
      <c r="Q296">
        <v>14.1</v>
      </c>
      <c r="R296" s="1" t="str">
        <f t="shared" si="5"/>
        <v>II</v>
      </c>
    </row>
    <row r="297" spans="1:18">
      <c r="A297">
        <v>1617</v>
      </c>
      <c r="B297" t="s">
        <v>75</v>
      </c>
      <c r="C297">
        <v>0.55500000000000005</v>
      </c>
      <c r="D297">
        <v>0.39500000000000002</v>
      </c>
      <c r="E297">
        <v>0.13</v>
      </c>
      <c r="F297">
        <v>0.5585</v>
      </c>
      <c r="G297">
        <v>0.222</v>
      </c>
      <c r="H297">
        <v>0.1245</v>
      </c>
      <c r="I297">
        <v>0.17</v>
      </c>
      <c r="J297">
        <v>9</v>
      </c>
      <c r="K297">
        <v>10</v>
      </c>
      <c r="L297" t="s">
        <v>37</v>
      </c>
      <c r="M297" t="s">
        <v>38</v>
      </c>
      <c r="N297" t="s">
        <v>39</v>
      </c>
      <c r="O297">
        <v>9</v>
      </c>
      <c r="P297" t="s">
        <v>9</v>
      </c>
      <c r="Q297">
        <v>1.9</v>
      </c>
      <c r="R297" s="1" t="str">
        <f t="shared" si="5"/>
        <v>II</v>
      </c>
    </row>
    <row r="298" spans="1:18">
      <c r="A298">
        <v>3654</v>
      </c>
      <c r="B298" t="s">
        <v>75</v>
      </c>
      <c r="C298">
        <v>0.53</v>
      </c>
      <c r="D298">
        <v>0.42499999999999999</v>
      </c>
      <c r="E298">
        <v>0.13</v>
      </c>
      <c r="F298">
        <v>0.78100000000000003</v>
      </c>
      <c r="G298">
        <v>0.39050000000000001</v>
      </c>
      <c r="H298">
        <v>0.20050000000000001</v>
      </c>
      <c r="I298">
        <v>0.215</v>
      </c>
      <c r="J298">
        <v>9</v>
      </c>
      <c r="K298">
        <v>3</v>
      </c>
      <c r="L298" t="s">
        <v>52</v>
      </c>
      <c r="M298" t="s">
        <v>53</v>
      </c>
      <c r="N298" t="s">
        <v>54</v>
      </c>
      <c r="O298">
        <v>2</v>
      </c>
      <c r="P298" t="s">
        <v>5</v>
      </c>
      <c r="Q298">
        <v>18</v>
      </c>
      <c r="R298" s="1" t="str">
        <f t="shared" si="5"/>
        <v>II</v>
      </c>
    </row>
    <row r="299" spans="1:18">
      <c r="A299">
        <v>2024</v>
      </c>
      <c r="B299" t="s">
        <v>75</v>
      </c>
      <c r="C299">
        <v>0.53</v>
      </c>
      <c r="D299">
        <v>0.40500000000000003</v>
      </c>
      <c r="E299">
        <v>0.13</v>
      </c>
      <c r="F299">
        <v>0.63549999999999995</v>
      </c>
      <c r="G299">
        <v>0.26350000000000001</v>
      </c>
      <c r="H299">
        <v>0.1565</v>
      </c>
      <c r="I299">
        <v>0.185</v>
      </c>
      <c r="J299">
        <v>9</v>
      </c>
      <c r="K299">
        <v>14</v>
      </c>
      <c r="L299" t="s">
        <v>72</v>
      </c>
      <c r="M299" t="s">
        <v>73</v>
      </c>
      <c r="N299" t="s">
        <v>74</v>
      </c>
      <c r="O299">
        <v>2</v>
      </c>
      <c r="P299" t="s">
        <v>5</v>
      </c>
      <c r="Q299">
        <v>18</v>
      </c>
      <c r="R299" s="1" t="str">
        <f t="shared" si="5"/>
        <v>II</v>
      </c>
    </row>
    <row r="300" spans="1:18">
      <c r="A300">
        <v>3099</v>
      </c>
      <c r="B300" t="s">
        <v>75</v>
      </c>
      <c r="C300">
        <v>0.55000000000000004</v>
      </c>
      <c r="D300">
        <v>0.43</v>
      </c>
      <c r="E300">
        <v>0.15</v>
      </c>
      <c r="F300">
        <v>0.65500000000000003</v>
      </c>
      <c r="G300">
        <v>0.26350000000000001</v>
      </c>
      <c r="H300">
        <v>0.122</v>
      </c>
      <c r="I300">
        <v>0.221</v>
      </c>
      <c r="J300">
        <v>8</v>
      </c>
      <c r="K300">
        <v>14</v>
      </c>
      <c r="L300" t="s">
        <v>72</v>
      </c>
      <c r="M300" t="s">
        <v>73</v>
      </c>
      <c r="N300" t="s">
        <v>74</v>
      </c>
      <c r="O300">
        <v>4</v>
      </c>
      <c r="P300" t="s">
        <v>8</v>
      </c>
      <c r="Q300">
        <v>6.1</v>
      </c>
      <c r="R300" s="1" t="str">
        <f t="shared" si="5"/>
        <v>II</v>
      </c>
    </row>
    <row r="301" spans="1:18">
      <c r="A301">
        <v>2490</v>
      </c>
      <c r="B301" t="s">
        <v>75</v>
      </c>
      <c r="C301">
        <v>0.49</v>
      </c>
      <c r="D301">
        <v>0.39</v>
      </c>
      <c r="E301">
        <v>0.13500000000000001</v>
      </c>
      <c r="F301">
        <v>0.59199999999999997</v>
      </c>
      <c r="G301">
        <v>0.24199999999999999</v>
      </c>
      <c r="H301">
        <v>9.6000000000000002E-2</v>
      </c>
      <c r="I301">
        <v>0.1835</v>
      </c>
      <c r="J301">
        <v>15</v>
      </c>
      <c r="K301">
        <v>2</v>
      </c>
      <c r="L301" t="s">
        <v>49</v>
      </c>
      <c r="M301" t="s">
        <v>50</v>
      </c>
      <c r="N301" t="s">
        <v>51</v>
      </c>
      <c r="O301">
        <v>1</v>
      </c>
      <c r="P301" t="s">
        <v>4</v>
      </c>
      <c r="Q301">
        <v>22.1</v>
      </c>
      <c r="R301" s="1" t="str">
        <f t="shared" si="5"/>
        <v>II</v>
      </c>
    </row>
    <row r="302" spans="1:18">
      <c r="A302">
        <v>2549</v>
      </c>
      <c r="B302" t="s">
        <v>75</v>
      </c>
      <c r="C302">
        <v>0.27500000000000002</v>
      </c>
      <c r="D302">
        <v>0.19500000000000001</v>
      </c>
      <c r="E302">
        <v>7.0000000000000007E-2</v>
      </c>
      <c r="F302">
        <v>8.7499999999999994E-2</v>
      </c>
      <c r="G302">
        <v>3.4500000000000003E-2</v>
      </c>
      <c r="H302">
        <v>2.1999999999999999E-2</v>
      </c>
      <c r="I302">
        <v>2.5499999999999998E-2</v>
      </c>
      <c r="J302">
        <v>4</v>
      </c>
      <c r="K302">
        <v>6</v>
      </c>
      <c r="L302" t="s">
        <v>46</v>
      </c>
      <c r="M302" t="s">
        <v>47</v>
      </c>
      <c r="N302" t="s">
        <v>48</v>
      </c>
      <c r="O302">
        <v>5</v>
      </c>
      <c r="P302" t="s">
        <v>12</v>
      </c>
      <c r="Q302">
        <v>12.8</v>
      </c>
      <c r="R302" s="1" t="str">
        <f t="shared" si="5"/>
        <v>II</v>
      </c>
    </row>
    <row r="303" spans="1:18">
      <c r="A303">
        <v>753</v>
      </c>
      <c r="B303" t="s">
        <v>75</v>
      </c>
      <c r="C303">
        <v>0.60499999999999998</v>
      </c>
      <c r="D303">
        <v>0.46</v>
      </c>
      <c r="E303">
        <v>0.17</v>
      </c>
      <c r="F303">
        <v>1.1220000000000001</v>
      </c>
      <c r="G303">
        <v>0.34699999999999998</v>
      </c>
      <c r="H303">
        <v>0.30449999999999999</v>
      </c>
      <c r="I303">
        <v>0.315</v>
      </c>
      <c r="J303">
        <v>13</v>
      </c>
      <c r="K303">
        <v>15</v>
      </c>
      <c r="L303" t="s">
        <v>60</v>
      </c>
      <c r="M303" t="s">
        <v>61</v>
      </c>
      <c r="N303" t="s">
        <v>45</v>
      </c>
      <c r="O303">
        <v>4</v>
      </c>
      <c r="P303" t="s">
        <v>8</v>
      </c>
      <c r="Q303">
        <v>6.1</v>
      </c>
      <c r="R303" s="1" t="str">
        <f t="shared" si="5"/>
        <v>II</v>
      </c>
    </row>
    <row r="304" spans="1:18">
      <c r="A304">
        <v>1550</v>
      </c>
      <c r="B304" t="s">
        <v>75</v>
      </c>
      <c r="C304">
        <v>0.38500000000000001</v>
      </c>
      <c r="D304">
        <v>0.28000000000000003</v>
      </c>
      <c r="E304">
        <v>9.5000000000000001E-2</v>
      </c>
      <c r="F304">
        <v>0.25700000000000001</v>
      </c>
      <c r="G304">
        <v>0.11899999999999999</v>
      </c>
      <c r="H304">
        <v>5.8999999999999997E-2</v>
      </c>
      <c r="I304">
        <v>7.0000000000000007E-2</v>
      </c>
      <c r="J304">
        <v>7</v>
      </c>
      <c r="K304">
        <v>4</v>
      </c>
      <c r="L304" t="s">
        <v>40</v>
      </c>
      <c r="M304" t="s">
        <v>41</v>
      </c>
      <c r="N304" t="s">
        <v>42</v>
      </c>
      <c r="O304">
        <v>10</v>
      </c>
      <c r="P304" t="s">
        <v>11</v>
      </c>
      <c r="Q304">
        <v>24.1</v>
      </c>
      <c r="R304" s="1" t="str">
        <f t="shared" si="5"/>
        <v>II</v>
      </c>
    </row>
    <row r="305" spans="1:18">
      <c r="A305">
        <v>4153</v>
      </c>
      <c r="B305" t="s">
        <v>75</v>
      </c>
      <c r="C305">
        <v>0.37</v>
      </c>
      <c r="D305">
        <v>0.28000000000000003</v>
      </c>
      <c r="E305">
        <v>0.09</v>
      </c>
      <c r="F305">
        <v>0.218</v>
      </c>
      <c r="G305">
        <v>9.9500000000000005E-2</v>
      </c>
      <c r="H305">
        <v>5.45E-2</v>
      </c>
      <c r="I305">
        <v>6.1499999999999999E-2</v>
      </c>
      <c r="J305">
        <v>7</v>
      </c>
      <c r="K305">
        <v>8</v>
      </c>
      <c r="L305" t="s">
        <v>55</v>
      </c>
      <c r="M305" t="s">
        <v>56</v>
      </c>
      <c r="N305" t="s">
        <v>57</v>
      </c>
      <c r="O305">
        <v>8</v>
      </c>
      <c r="P305" t="s">
        <v>13</v>
      </c>
      <c r="Q305">
        <v>12.3</v>
      </c>
      <c r="R305" s="1" t="str">
        <f t="shared" si="5"/>
        <v>II</v>
      </c>
    </row>
    <row r="306" spans="1:18">
      <c r="A306">
        <v>2778</v>
      </c>
      <c r="B306" t="s">
        <v>75</v>
      </c>
      <c r="C306">
        <v>0.58499999999999996</v>
      </c>
      <c r="D306">
        <v>0.42</v>
      </c>
      <c r="E306">
        <v>0.14499999999999999</v>
      </c>
      <c r="F306">
        <v>0.67349999999999999</v>
      </c>
      <c r="G306">
        <v>0.28949999999999998</v>
      </c>
      <c r="H306">
        <v>0.13450000000000001</v>
      </c>
      <c r="I306">
        <v>0.22</v>
      </c>
      <c r="J306">
        <v>9</v>
      </c>
      <c r="K306">
        <v>15</v>
      </c>
      <c r="L306" t="s">
        <v>60</v>
      </c>
      <c r="M306" t="s">
        <v>61</v>
      </c>
      <c r="N306" t="s">
        <v>45</v>
      </c>
      <c r="O306">
        <v>5</v>
      </c>
      <c r="P306" t="s">
        <v>12</v>
      </c>
      <c r="Q306">
        <v>12.8</v>
      </c>
      <c r="R306" s="1" t="str">
        <f t="shared" si="5"/>
        <v>II</v>
      </c>
    </row>
    <row r="307" spans="1:18">
      <c r="A307">
        <v>976</v>
      </c>
      <c r="B307" t="s">
        <v>75</v>
      </c>
      <c r="C307">
        <v>0.53</v>
      </c>
      <c r="D307">
        <v>0.42499999999999999</v>
      </c>
      <c r="E307">
        <v>0.15</v>
      </c>
      <c r="F307">
        <v>0.84950000000000003</v>
      </c>
      <c r="G307">
        <v>0.32800000000000001</v>
      </c>
      <c r="H307">
        <v>0.23200000000000001</v>
      </c>
      <c r="I307">
        <v>0.20200000000000001</v>
      </c>
      <c r="J307">
        <v>8</v>
      </c>
      <c r="K307">
        <v>14</v>
      </c>
      <c r="L307" t="s">
        <v>72</v>
      </c>
      <c r="M307" t="s">
        <v>73</v>
      </c>
      <c r="N307" t="s">
        <v>74</v>
      </c>
      <c r="O307">
        <v>9</v>
      </c>
      <c r="P307" t="s">
        <v>9</v>
      </c>
      <c r="Q307">
        <v>1.9</v>
      </c>
      <c r="R307" s="1" t="str">
        <f t="shared" si="5"/>
        <v>II</v>
      </c>
    </row>
    <row r="308" spans="1:18">
      <c r="A308">
        <v>638</v>
      </c>
      <c r="B308" t="s">
        <v>75</v>
      </c>
      <c r="C308">
        <v>0.35499999999999998</v>
      </c>
      <c r="D308">
        <v>0.26</v>
      </c>
      <c r="E308">
        <v>8.5000000000000006E-2</v>
      </c>
      <c r="F308">
        <v>0.1905</v>
      </c>
      <c r="G308">
        <v>8.1000000000000003E-2</v>
      </c>
      <c r="H308">
        <v>4.8500000000000001E-2</v>
      </c>
      <c r="I308">
        <v>5.5E-2</v>
      </c>
      <c r="J308">
        <v>6</v>
      </c>
      <c r="K308">
        <v>4</v>
      </c>
      <c r="L308" t="s">
        <v>40</v>
      </c>
      <c r="M308" t="s">
        <v>41</v>
      </c>
      <c r="N308" t="s">
        <v>42</v>
      </c>
      <c r="O308">
        <v>6</v>
      </c>
      <c r="P308" t="s">
        <v>7</v>
      </c>
      <c r="Q308">
        <v>14.1</v>
      </c>
      <c r="R308" s="1" t="str">
        <f t="shared" si="5"/>
        <v>II</v>
      </c>
    </row>
    <row r="309" spans="1:18">
      <c r="A309">
        <v>3233</v>
      </c>
      <c r="B309" t="s">
        <v>75</v>
      </c>
      <c r="C309">
        <v>0.48499999999999999</v>
      </c>
      <c r="D309">
        <v>0.41</v>
      </c>
      <c r="E309">
        <v>0.15</v>
      </c>
      <c r="F309">
        <v>0.69599999999999995</v>
      </c>
      <c r="G309">
        <v>0.24049999999999999</v>
      </c>
      <c r="H309">
        <v>0.16250000000000001</v>
      </c>
      <c r="I309">
        <v>0.26500000000000001</v>
      </c>
      <c r="J309">
        <v>13</v>
      </c>
      <c r="K309">
        <v>10</v>
      </c>
      <c r="L309" t="s">
        <v>37</v>
      </c>
      <c r="M309" t="s">
        <v>38</v>
      </c>
      <c r="N309" t="s">
        <v>39</v>
      </c>
      <c r="O309">
        <v>10</v>
      </c>
      <c r="P309" t="s">
        <v>11</v>
      </c>
      <c r="Q309">
        <v>24.1</v>
      </c>
      <c r="R309" s="1" t="str">
        <f t="shared" si="5"/>
        <v>II</v>
      </c>
    </row>
    <row r="310" spans="1:18">
      <c r="A310">
        <v>3635</v>
      </c>
      <c r="B310" t="s">
        <v>75</v>
      </c>
      <c r="C310">
        <v>0.36</v>
      </c>
      <c r="D310">
        <v>0.26500000000000001</v>
      </c>
      <c r="E310">
        <v>8.5000000000000006E-2</v>
      </c>
      <c r="F310">
        <v>0.1895</v>
      </c>
      <c r="G310">
        <v>7.2499999999999995E-2</v>
      </c>
      <c r="H310">
        <v>5.1499999999999997E-2</v>
      </c>
      <c r="I310">
        <v>5.5E-2</v>
      </c>
      <c r="J310">
        <v>6</v>
      </c>
      <c r="K310">
        <v>14</v>
      </c>
      <c r="L310" t="s">
        <v>72</v>
      </c>
      <c r="M310" t="s">
        <v>73</v>
      </c>
      <c r="N310" t="s">
        <v>74</v>
      </c>
      <c r="O310">
        <v>3</v>
      </c>
      <c r="P310" t="s">
        <v>10</v>
      </c>
      <c r="Q310">
        <v>3.6</v>
      </c>
      <c r="R310" s="1" t="str">
        <f t="shared" si="5"/>
        <v>II</v>
      </c>
    </row>
    <row r="311" spans="1:18">
      <c r="A311">
        <v>2981</v>
      </c>
      <c r="B311" t="s">
        <v>75</v>
      </c>
      <c r="C311">
        <v>0.5</v>
      </c>
      <c r="D311">
        <v>0.37</v>
      </c>
      <c r="E311">
        <v>0.115</v>
      </c>
      <c r="F311">
        <v>0.57450000000000001</v>
      </c>
      <c r="G311">
        <v>0.30599999999999999</v>
      </c>
      <c r="H311">
        <v>0.112</v>
      </c>
      <c r="I311">
        <v>0.14099999999999999</v>
      </c>
      <c r="J311">
        <v>7</v>
      </c>
      <c r="K311">
        <v>3</v>
      </c>
      <c r="L311" t="s">
        <v>52</v>
      </c>
      <c r="M311" t="s">
        <v>53</v>
      </c>
      <c r="N311" t="s">
        <v>54</v>
      </c>
      <c r="O311">
        <v>9</v>
      </c>
      <c r="P311" t="s">
        <v>9</v>
      </c>
      <c r="Q311">
        <v>1.9</v>
      </c>
      <c r="R311" s="1" t="str">
        <f t="shared" si="5"/>
        <v>II</v>
      </c>
    </row>
    <row r="312" spans="1:18">
      <c r="A312">
        <v>574</v>
      </c>
      <c r="B312" t="s">
        <v>75</v>
      </c>
      <c r="C312">
        <v>0.56999999999999995</v>
      </c>
      <c r="D312">
        <v>0.44</v>
      </c>
      <c r="E312">
        <v>0.14000000000000001</v>
      </c>
      <c r="F312">
        <v>0.95350000000000001</v>
      </c>
      <c r="G312">
        <v>0.3785</v>
      </c>
      <c r="H312">
        <v>0.20100000000000001</v>
      </c>
      <c r="I312">
        <v>0.30499999999999999</v>
      </c>
      <c r="J312">
        <v>17</v>
      </c>
      <c r="K312">
        <v>5</v>
      </c>
      <c r="L312" t="s">
        <v>67</v>
      </c>
      <c r="M312" t="s">
        <v>68</v>
      </c>
      <c r="N312" t="s">
        <v>69</v>
      </c>
      <c r="O312">
        <v>6</v>
      </c>
      <c r="P312" t="s">
        <v>7</v>
      </c>
      <c r="Q312">
        <v>14.1</v>
      </c>
      <c r="R312" s="1" t="str">
        <f t="shared" si="5"/>
        <v>II</v>
      </c>
    </row>
    <row r="313" spans="1:18">
      <c r="A313">
        <v>3911</v>
      </c>
      <c r="B313" t="s">
        <v>75</v>
      </c>
      <c r="C313">
        <v>0.45500000000000002</v>
      </c>
      <c r="D313">
        <v>0.35499999999999998</v>
      </c>
      <c r="E313">
        <v>0.13500000000000001</v>
      </c>
      <c r="F313">
        <v>0.47449999999999998</v>
      </c>
      <c r="G313">
        <v>0.1865</v>
      </c>
      <c r="H313">
        <v>9.35E-2</v>
      </c>
      <c r="I313">
        <v>0.16800000000000001</v>
      </c>
      <c r="J313">
        <v>13</v>
      </c>
      <c r="K313">
        <v>13</v>
      </c>
      <c r="L313" t="s">
        <v>43</v>
      </c>
      <c r="M313" t="s">
        <v>44</v>
      </c>
      <c r="N313" t="s">
        <v>45</v>
      </c>
      <c r="O313">
        <v>5</v>
      </c>
      <c r="P313" t="s">
        <v>12</v>
      </c>
      <c r="Q313">
        <v>12.8</v>
      </c>
      <c r="R313" s="1" t="str">
        <f t="shared" si="5"/>
        <v>II</v>
      </c>
    </row>
    <row r="314" spans="1:18">
      <c r="A314">
        <v>240</v>
      </c>
      <c r="B314" t="s">
        <v>75</v>
      </c>
      <c r="C314">
        <v>0.16</v>
      </c>
      <c r="D314">
        <v>0.12</v>
      </c>
      <c r="E314">
        <v>3.5000000000000003E-2</v>
      </c>
      <c r="F314">
        <v>2.1000000000000001E-2</v>
      </c>
      <c r="G314">
        <v>7.4999999999999997E-3</v>
      </c>
      <c r="H314">
        <v>4.4999999999999997E-3</v>
      </c>
      <c r="I314">
        <v>5.0000000000000001E-3</v>
      </c>
      <c r="J314">
        <v>5</v>
      </c>
      <c r="K314">
        <v>8</v>
      </c>
      <c r="L314" t="s">
        <v>55</v>
      </c>
      <c r="M314" t="s">
        <v>56</v>
      </c>
      <c r="N314" t="s">
        <v>57</v>
      </c>
      <c r="O314">
        <v>7</v>
      </c>
      <c r="P314" t="s">
        <v>6</v>
      </c>
      <c r="Q314">
        <v>2.5</v>
      </c>
      <c r="R314" s="1" t="str">
        <f t="shared" si="5"/>
        <v>II</v>
      </c>
    </row>
    <row r="315" spans="1:18">
      <c r="A315">
        <v>2419</v>
      </c>
      <c r="B315" t="s">
        <v>75</v>
      </c>
      <c r="C315">
        <v>0.46500000000000002</v>
      </c>
      <c r="D315">
        <v>0.35</v>
      </c>
      <c r="E315">
        <v>0.13</v>
      </c>
      <c r="F315">
        <v>0.49399999999999999</v>
      </c>
      <c r="G315">
        <v>0.19450000000000001</v>
      </c>
      <c r="H315">
        <v>0.10299999999999999</v>
      </c>
      <c r="I315">
        <v>0.155</v>
      </c>
      <c r="J315">
        <v>18</v>
      </c>
      <c r="K315">
        <v>7</v>
      </c>
      <c r="L315" t="s">
        <v>62</v>
      </c>
      <c r="M315" t="s">
        <v>63</v>
      </c>
      <c r="N315" t="s">
        <v>64</v>
      </c>
      <c r="O315">
        <v>3</v>
      </c>
      <c r="P315" t="s">
        <v>10</v>
      </c>
      <c r="Q315">
        <v>3.6</v>
      </c>
      <c r="R315" s="1" t="str">
        <f t="shared" si="5"/>
        <v>II</v>
      </c>
    </row>
    <row r="316" spans="1:18">
      <c r="A316">
        <v>1615</v>
      </c>
      <c r="B316" t="s">
        <v>75</v>
      </c>
      <c r="C316">
        <v>0.55000000000000004</v>
      </c>
      <c r="D316">
        <v>0.41499999999999998</v>
      </c>
      <c r="E316">
        <v>0.14499999999999999</v>
      </c>
      <c r="F316">
        <v>0.78149999999999997</v>
      </c>
      <c r="G316">
        <v>0.373</v>
      </c>
      <c r="H316">
        <v>0.16</v>
      </c>
      <c r="I316">
        <v>0.2215</v>
      </c>
      <c r="J316">
        <v>8</v>
      </c>
      <c r="K316">
        <v>4</v>
      </c>
      <c r="L316" t="s">
        <v>40</v>
      </c>
      <c r="M316" t="s">
        <v>41</v>
      </c>
      <c r="N316" t="s">
        <v>42</v>
      </c>
      <c r="O316">
        <v>2</v>
      </c>
      <c r="P316" t="s">
        <v>5</v>
      </c>
      <c r="Q316">
        <v>18</v>
      </c>
      <c r="R316" s="1" t="str">
        <f t="shared" si="5"/>
        <v>II</v>
      </c>
    </row>
    <row r="317" spans="1:18">
      <c r="A317">
        <v>2502</v>
      </c>
      <c r="B317" t="s">
        <v>75</v>
      </c>
      <c r="C317">
        <v>0.33</v>
      </c>
      <c r="D317">
        <v>0.26</v>
      </c>
      <c r="E317">
        <v>0.08</v>
      </c>
      <c r="F317">
        <v>0.2</v>
      </c>
      <c r="G317">
        <v>6.25E-2</v>
      </c>
      <c r="H317">
        <v>0.05</v>
      </c>
      <c r="I317">
        <v>7.0000000000000007E-2</v>
      </c>
      <c r="J317">
        <v>9</v>
      </c>
      <c r="K317">
        <v>9</v>
      </c>
      <c r="L317" t="s">
        <v>34</v>
      </c>
      <c r="M317" t="s">
        <v>35</v>
      </c>
      <c r="N317" t="s">
        <v>36</v>
      </c>
      <c r="O317">
        <v>2</v>
      </c>
      <c r="P317" t="s">
        <v>5</v>
      </c>
      <c r="Q317">
        <v>18</v>
      </c>
      <c r="R317" s="1" t="str">
        <f t="shared" si="5"/>
        <v>II</v>
      </c>
    </row>
    <row r="318" spans="1:18">
      <c r="A318">
        <v>3530</v>
      </c>
      <c r="B318" t="s">
        <v>75</v>
      </c>
      <c r="C318">
        <v>0.36</v>
      </c>
      <c r="D318">
        <v>0.26500000000000001</v>
      </c>
      <c r="E318">
        <v>7.4999999999999997E-2</v>
      </c>
      <c r="F318">
        <v>0.17849999999999999</v>
      </c>
      <c r="G318">
        <v>7.85E-2</v>
      </c>
      <c r="H318">
        <v>3.5000000000000003E-2</v>
      </c>
      <c r="I318">
        <v>5.3999999999999999E-2</v>
      </c>
      <c r="J318">
        <v>6</v>
      </c>
      <c r="K318">
        <v>11</v>
      </c>
      <c r="L318" t="s">
        <v>65</v>
      </c>
      <c r="M318" t="s">
        <v>66</v>
      </c>
      <c r="N318" t="s">
        <v>45</v>
      </c>
      <c r="O318">
        <v>1</v>
      </c>
      <c r="P318" t="s">
        <v>4</v>
      </c>
      <c r="Q318">
        <v>22.1</v>
      </c>
      <c r="R318" s="1" t="str">
        <f t="shared" si="5"/>
        <v>II</v>
      </c>
    </row>
    <row r="319" spans="1:18">
      <c r="A319">
        <v>394</v>
      </c>
      <c r="B319" t="s">
        <v>75</v>
      </c>
      <c r="C319">
        <v>0.36499999999999999</v>
      </c>
      <c r="D319">
        <v>0.29499999999999998</v>
      </c>
      <c r="E319">
        <v>9.5000000000000001E-2</v>
      </c>
      <c r="F319">
        <v>0.25</v>
      </c>
      <c r="G319">
        <v>0.1075</v>
      </c>
      <c r="H319">
        <v>5.45E-2</v>
      </c>
      <c r="I319">
        <v>0.08</v>
      </c>
      <c r="J319">
        <v>9</v>
      </c>
      <c r="K319">
        <v>2</v>
      </c>
      <c r="L319" t="s">
        <v>49</v>
      </c>
      <c r="M319" t="s">
        <v>50</v>
      </c>
      <c r="N319" t="s">
        <v>51</v>
      </c>
      <c r="O319">
        <v>8</v>
      </c>
      <c r="P319" t="s">
        <v>13</v>
      </c>
      <c r="Q319">
        <v>12.3</v>
      </c>
      <c r="R319" s="1" t="str">
        <f t="shared" si="5"/>
        <v>II</v>
      </c>
    </row>
    <row r="320" spans="1:18">
      <c r="A320">
        <v>2986</v>
      </c>
      <c r="B320" t="s">
        <v>75</v>
      </c>
      <c r="C320">
        <v>0.53500000000000003</v>
      </c>
      <c r="D320">
        <v>0.4</v>
      </c>
      <c r="E320">
        <v>0.13500000000000001</v>
      </c>
      <c r="F320">
        <v>0.77500000000000002</v>
      </c>
      <c r="G320">
        <v>0.36799999999999999</v>
      </c>
      <c r="H320">
        <v>0.20799999999999999</v>
      </c>
      <c r="I320">
        <v>0.20549999999999999</v>
      </c>
      <c r="J320">
        <v>8</v>
      </c>
      <c r="K320">
        <v>12</v>
      </c>
      <c r="L320" t="s">
        <v>58</v>
      </c>
      <c r="M320" t="s">
        <v>59</v>
      </c>
      <c r="N320" t="s">
        <v>45</v>
      </c>
      <c r="O320">
        <v>6</v>
      </c>
      <c r="P320" t="s">
        <v>7</v>
      </c>
      <c r="Q320">
        <v>14.1</v>
      </c>
      <c r="R320" s="1" t="str">
        <f t="shared" si="5"/>
        <v>II</v>
      </c>
    </row>
    <row r="321" spans="1:18">
      <c r="A321">
        <v>1655</v>
      </c>
      <c r="B321" t="s">
        <v>75</v>
      </c>
      <c r="C321">
        <v>0.59499999999999997</v>
      </c>
      <c r="D321">
        <v>0.46</v>
      </c>
      <c r="E321">
        <v>0.15</v>
      </c>
      <c r="F321">
        <v>0.83350000000000002</v>
      </c>
      <c r="G321">
        <v>0.377</v>
      </c>
      <c r="H321">
        <v>0.1925</v>
      </c>
      <c r="I321">
        <v>0.23499999999999999</v>
      </c>
      <c r="J321">
        <v>8</v>
      </c>
      <c r="K321">
        <v>2</v>
      </c>
      <c r="L321" t="s">
        <v>49</v>
      </c>
      <c r="M321" t="s">
        <v>50</v>
      </c>
      <c r="N321" t="s">
        <v>51</v>
      </c>
      <c r="O321">
        <v>6</v>
      </c>
      <c r="P321" t="s">
        <v>7</v>
      </c>
      <c r="Q321">
        <v>14.1</v>
      </c>
      <c r="R321" s="1" t="str">
        <f t="shared" si="5"/>
        <v>II</v>
      </c>
    </row>
    <row r="322" spans="1:18">
      <c r="A322">
        <v>193</v>
      </c>
      <c r="B322" t="s">
        <v>75</v>
      </c>
      <c r="C322">
        <v>0.57999999999999996</v>
      </c>
      <c r="D322">
        <v>0.45</v>
      </c>
      <c r="E322">
        <v>0.15</v>
      </c>
      <c r="F322">
        <v>0.92700000000000005</v>
      </c>
      <c r="G322">
        <v>0.27600000000000002</v>
      </c>
      <c r="H322">
        <v>0.18149999999999999</v>
      </c>
      <c r="I322">
        <v>0.36</v>
      </c>
      <c r="J322">
        <v>14</v>
      </c>
      <c r="K322">
        <v>8</v>
      </c>
      <c r="L322" t="s">
        <v>55</v>
      </c>
      <c r="M322" t="s">
        <v>56</v>
      </c>
      <c r="N322" t="s">
        <v>57</v>
      </c>
      <c r="O322">
        <v>5</v>
      </c>
      <c r="P322" t="s">
        <v>12</v>
      </c>
      <c r="Q322">
        <v>12.8</v>
      </c>
      <c r="R322" s="1" t="str">
        <f t="shared" si="5"/>
        <v>II</v>
      </c>
    </row>
    <row r="323" spans="1:18">
      <c r="A323">
        <v>2430</v>
      </c>
      <c r="B323" t="s">
        <v>75</v>
      </c>
      <c r="C323">
        <v>0.34</v>
      </c>
      <c r="D323">
        <v>0.255</v>
      </c>
      <c r="E323">
        <v>9.5000000000000001E-2</v>
      </c>
      <c r="F323">
        <v>0.21299999999999999</v>
      </c>
      <c r="G323">
        <v>8.1000000000000003E-2</v>
      </c>
      <c r="H323">
        <v>3.4000000000000002E-2</v>
      </c>
      <c r="I323">
        <v>7.0000000000000007E-2</v>
      </c>
      <c r="J323">
        <v>9</v>
      </c>
      <c r="K323">
        <v>7</v>
      </c>
      <c r="L323" t="s">
        <v>62</v>
      </c>
      <c r="M323" t="s">
        <v>63</v>
      </c>
      <c r="N323" t="s">
        <v>64</v>
      </c>
      <c r="O323">
        <v>7</v>
      </c>
      <c r="P323" t="s">
        <v>6</v>
      </c>
      <c r="Q323">
        <v>2.5</v>
      </c>
      <c r="R323" s="1" t="str">
        <f t="shared" si="5"/>
        <v>II</v>
      </c>
    </row>
    <row r="324" spans="1:18">
      <c r="A324">
        <v>7</v>
      </c>
      <c r="B324" t="s">
        <v>75</v>
      </c>
      <c r="C324">
        <v>0.53</v>
      </c>
      <c r="D324">
        <v>0.41499999999999998</v>
      </c>
      <c r="E324">
        <v>0.15</v>
      </c>
      <c r="F324">
        <v>0.77749999999999997</v>
      </c>
      <c r="G324">
        <v>0.23699999999999999</v>
      </c>
      <c r="H324">
        <v>0.14149999999999999</v>
      </c>
      <c r="I324">
        <v>0.33</v>
      </c>
      <c r="J324">
        <v>20</v>
      </c>
      <c r="K324">
        <v>10</v>
      </c>
      <c r="L324" t="s">
        <v>37</v>
      </c>
      <c r="M324" t="s">
        <v>38</v>
      </c>
      <c r="N324" t="s">
        <v>39</v>
      </c>
      <c r="O324">
        <v>2</v>
      </c>
      <c r="P324" t="s">
        <v>5</v>
      </c>
      <c r="Q324">
        <v>18</v>
      </c>
      <c r="R324" s="1" t="str">
        <f t="shared" si="5"/>
        <v>II</v>
      </c>
    </row>
    <row r="325" spans="1:18">
      <c r="A325">
        <v>2322</v>
      </c>
      <c r="B325" t="s">
        <v>75</v>
      </c>
      <c r="C325">
        <v>0.49</v>
      </c>
      <c r="D325">
        <v>0.39500000000000002</v>
      </c>
      <c r="E325">
        <v>0.13500000000000001</v>
      </c>
      <c r="F325">
        <v>0.55449999999999999</v>
      </c>
      <c r="G325">
        <v>0.21299999999999999</v>
      </c>
      <c r="H325">
        <v>9.2499999999999999E-2</v>
      </c>
      <c r="I325">
        <v>0.215</v>
      </c>
      <c r="J325">
        <v>14</v>
      </c>
      <c r="K325">
        <v>7</v>
      </c>
      <c r="L325" t="s">
        <v>62</v>
      </c>
      <c r="M325" t="s">
        <v>63</v>
      </c>
      <c r="N325" t="s">
        <v>64</v>
      </c>
      <c r="O325">
        <v>3</v>
      </c>
      <c r="P325" t="s">
        <v>10</v>
      </c>
      <c r="Q325">
        <v>3.6</v>
      </c>
      <c r="R325" s="1" t="str">
        <f t="shared" si="5"/>
        <v>II</v>
      </c>
    </row>
    <row r="326" spans="1:18">
      <c r="A326">
        <v>3834</v>
      </c>
      <c r="B326" t="s">
        <v>75</v>
      </c>
      <c r="C326">
        <v>0.53500000000000003</v>
      </c>
      <c r="D326">
        <v>0.41</v>
      </c>
      <c r="E326">
        <v>0.15</v>
      </c>
      <c r="F326">
        <v>0.8105</v>
      </c>
      <c r="G326">
        <v>0.34499999999999997</v>
      </c>
      <c r="H326">
        <v>0.187</v>
      </c>
      <c r="I326">
        <v>0.24</v>
      </c>
      <c r="J326">
        <v>11</v>
      </c>
      <c r="K326">
        <v>2</v>
      </c>
      <c r="L326" t="s">
        <v>49</v>
      </c>
      <c r="M326" t="s">
        <v>50</v>
      </c>
      <c r="N326" t="s">
        <v>51</v>
      </c>
      <c r="O326">
        <v>5</v>
      </c>
      <c r="P326" t="s">
        <v>12</v>
      </c>
      <c r="Q326">
        <v>12.8</v>
      </c>
      <c r="R326" s="1" t="str">
        <f t="shared" si="5"/>
        <v>II</v>
      </c>
    </row>
    <row r="327" spans="1:18">
      <c r="A327">
        <v>1273</v>
      </c>
      <c r="B327" t="s">
        <v>75</v>
      </c>
      <c r="C327">
        <v>0.47499999999999998</v>
      </c>
      <c r="D327">
        <v>0.35499999999999998</v>
      </c>
      <c r="E327">
        <v>0.1</v>
      </c>
      <c r="F327">
        <v>0.50349999999999995</v>
      </c>
      <c r="G327">
        <v>0.2535</v>
      </c>
      <c r="H327">
        <v>9.0999999999999998E-2</v>
      </c>
      <c r="I327">
        <v>0.14000000000000001</v>
      </c>
      <c r="J327">
        <v>8</v>
      </c>
      <c r="K327">
        <v>3</v>
      </c>
      <c r="L327" t="s">
        <v>52</v>
      </c>
      <c r="M327" t="s">
        <v>53</v>
      </c>
      <c r="N327" t="s">
        <v>54</v>
      </c>
      <c r="O327">
        <v>3</v>
      </c>
      <c r="P327" t="s">
        <v>10</v>
      </c>
      <c r="Q327">
        <v>3.6</v>
      </c>
      <c r="R327" s="1" t="str">
        <f t="shared" si="5"/>
        <v>II</v>
      </c>
    </row>
    <row r="328" spans="1:18">
      <c r="A328">
        <v>3169</v>
      </c>
      <c r="B328" t="s">
        <v>75</v>
      </c>
      <c r="C328">
        <v>0.60499999999999998</v>
      </c>
      <c r="D328">
        <v>0.47</v>
      </c>
      <c r="E328">
        <v>0.115</v>
      </c>
      <c r="F328">
        <v>1.1140000000000001</v>
      </c>
      <c r="G328">
        <v>0.39250000000000002</v>
      </c>
      <c r="H328">
        <v>0.29099999999999998</v>
      </c>
      <c r="I328">
        <v>0.31</v>
      </c>
      <c r="J328">
        <v>15</v>
      </c>
      <c r="K328">
        <v>13</v>
      </c>
      <c r="L328" t="s">
        <v>43</v>
      </c>
      <c r="M328" t="s">
        <v>44</v>
      </c>
      <c r="N328" t="s">
        <v>45</v>
      </c>
      <c r="O328">
        <v>10</v>
      </c>
      <c r="P328" t="s">
        <v>11</v>
      </c>
      <c r="Q328">
        <v>24.1</v>
      </c>
      <c r="R328" s="1" t="str">
        <f t="shared" si="5"/>
        <v>II</v>
      </c>
    </row>
    <row r="329" spans="1:18">
      <c r="A329">
        <v>3258</v>
      </c>
      <c r="B329" t="s">
        <v>75</v>
      </c>
      <c r="C329">
        <v>0.505</v>
      </c>
      <c r="D329">
        <v>0.38500000000000001</v>
      </c>
      <c r="E329">
        <v>0.11</v>
      </c>
      <c r="F329">
        <v>0.65500000000000003</v>
      </c>
      <c r="G329">
        <v>0.31850000000000001</v>
      </c>
      <c r="H329">
        <v>0.15</v>
      </c>
      <c r="I329">
        <v>0.185</v>
      </c>
      <c r="J329">
        <v>9</v>
      </c>
      <c r="K329">
        <v>4</v>
      </c>
      <c r="L329" t="s">
        <v>40</v>
      </c>
      <c r="M329" t="s">
        <v>41</v>
      </c>
      <c r="N329" t="s">
        <v>42</v>
      </c>
      <c r="O329">
        <v>8</v>
      </c>
      <c r="P329" t="s">
        <v>13</v>
      </c>
      <c r="Q329">
        <v>12.3</v>
      </c>
      <c r="R329" s="1" t="str">
        <f t="shared" si="5"/>
        <v>II</v>
      </c>
    </row>
    <row r="330" spans="1:18">
      <c r="A330">
        <v>3452</v>
      </c>
      <c r="B330" t="s">
        <v>75</v>
      </c>
      <c r="C330">
        <v>0.55000000000000004</v>
      </c>
      <c r="D330">
        <v>0.44</v>
      </c>
      <c r="E330">
        <v>0.155</v>
      </c>
      <c r="F330">
        <v>0.91549999999999998</v>
      </c>
      <c r="G330">
        <v>0.36449999999999999</v>
      </c>
      <c r="H330">
        <v>0.19500000000000001</v>
      </c>
      <c r="I330">
        <v>0.25</v>
      </c>
      <c r="J330">
        <v>8</v>
      </c>
      <c r="K330">
        <v>5</v>
      </c>
      <c r="L330" t="s">
        <v>67</v>
      </c>
      <c r="M330" t="s">
        <v>68</v>
      </c>
      <c r="N330" t="s">
        <v>69</v>
      </c>
      <c r="O330">
        <v>5</v>
      </c>
      <c r="P330" t="s">
        <v>12</v>
      </c>
      <c r="Q330">
        <v>12.8</v>
      </c>
      <c r="R330" s="1" t="str">
        <f t="shared" si="5"/>
        <v>II</v>
      </c>
    </row>
    <row r="331" spans="1:18">
      <c r="A331">
        <v>3537</v>
      </c>
      <c r="B331" t="s">
        <v>75</v>
      </c>
      <c r="C331">
        <v>0.42499999999999999</v>
      </c>
      <c r="D331">
        <v>0.32500000000000001</v>
      </c>
      <c r="E331">
        <v>0.11</v>
      </c>
      <c r="F331">
        <v>0.40500000000000003</v>
      </c>
      <c r="G331">
        <v>0.16950000000000001</v>
      </c>
      <c r="H331">
        <v>9.1999999999999998E-2</v>
      </c>
      <c r="I331">
        <v>0.1065</v>
      </c>
      <c r="J331">
        <v>8</v>
      </c>
      <c r="K331">
        <v>7</v>
      </c>
      <c r="L331" t="s">
        <v>62</v>
      </c>
      <c r="M331" t="s">
        <v>63</v>
      </c>
      <c r="N331" t="s">
        <v>64</v>
      </c>
      <c r="O331">
        <v>3</v>
      </c>
      <c r="P331" t="s">
        <v>10</v>
      </c>
      <c r="Q331">
        <v>3.6</v>
      </c>
      <c r="R331" s="1" t="str">
        <f t="shared" ref="R331:R394" si="6">IF(OR(AND(J331 &gt; 15, B331 = "Infant"), AND(D331 = "Male", C331 &gt; 0.75),
    OR(I331 &gt; 0.8, G331 &gt; 0.5), G331 &gt; 1.2),
    "I",
    IF(OR(AND(I331 &lt; 0.4, G331 &lt; 0.4), AND(J331 &gt; 15, D331 = "Male"), AND(J331 &gt; 18, D331 = "Female"), C331 &lt; 0.36),
    "II",
    "III"))</f>
        <v>II</v>
      </c>
    </row>
    <row r="332" spans="1:18">
      <c r="A332">
        <v>4074</v>
      </c>
      <c r="B332" t="s">
        <v>75</v>
      </c>
      <c r="C332">
        <v>0.51500000000000001</v>
      </c>
      <c r="D332">
        <v>0.39500000000000002</v>
      </c>
      <c r="E332">
        <v>0.125</v>
      </c>
      <c r="F332">
        <v>0.58050000000000002</v>
      </c>
      <c r="G332">
        <v>0.23649999999999999</v>
      </c>
      <c r="H332">
        <v>0.1075</v>
      </c>
      <c r="I332">
        <v>0.19</v>
      </c>
      <c r="J332">
        <v>9</v>
      </c>
      <c r="K332">
        <v>11</v>
      </c>
      <c r="L332" t="s">
        <v>65</v>
      </c>
      <c r="M332" t="s">
        <v>66</v>
      </c>
      <c r="N332" t="s">
        <v>45</v>
      </c>
      <c r="O332">
        <v>1</v>
      </c>
      <c r="P332" t="s">
        <v>4</v>
      </c>
      <c r="Q332">
        <v>22.1</v>
      </c>
      <c r="R332" s="1" t="str">
        <f t="shared" si="6"/>
        <v>II</v>
      </c>
    </row>
    <row r="333" spans="1:18">
      <c r="A333">
        <v>2168</v>
      </c>
      <c r="B333" t="s">
        <v>75</v>
      </c>
      <c r="C333">
        <v>0.37</v>
      </c>
      <c r="D333">
        <v>0.27500000000000002</v>
      </c>
      <c r="E333">
        <v>8.5000000000000006E-2</v>
      </c>
      <c r="F333">
        <v>0.24049999999999999</v>
      </c>
      <c r="G333">
        <v>0.104</v>
      </c>
      <c r="H333">
        <v>5.3499999999999999E-2</v>
      </c>
      <c r="I333">
        <v>7.0000000000000007E-2</v>
      </c>
      <c r="J333">
        <v>5</v>
      </c>
      <c r="K333">
        <v>2</v>
      </c>
      <c r="L333" t="s">
        <v>49</v>
      </c>
      <c r="M333" t="s">
        <v>50</v>
      </c>
      <c r="N333" t="s">
        <v>51</v>
      </c>
      <c r="O333">
        <v>5</v>
      </c>
      <c r="P333" t="s">
        <v>12</v>
      </c>
      <c r="Q333">
        <v>12.8</v>
      </c>
      <c r="R333" s="1" t="str">
        <f t="shared" si="6"/>
        <v>II</v>
      </c>
    </row>
    <row r="334" spans="1:18">
      <c r="A334">
        <v>627</v>
      </c>
      <c r="B334" t="s">
        <v>75</v>
      </c>
      <c r="C334">
        <v>0.42499999999999999</v>
      </c>
      <c r="D334">
        <v>0.33500000000000002</v>
      </c>
      <c r="E334">
        <v>9.5000000000000001E-2</v>
      </c>
      <c r="F334">
        <v>0.32200000000000001</v>
      </c>
      <c r="G334">
        <v>0.1205</v>
      </c>
      <c r="H334">
        <v>6.0999999999999999E-2</v>
      </c>
      <c r="I334">
        <v>0.125</v>
      </c>
      <c r="J334">
        <v>10</v>
      </c>
      <c r="K334">
        <v>8</v>
      </c>
      <c r="L334" t="s">
        <v>55</v>
      </c>
      <c r="M334" t="s">
        <v>56</v>
      </c>
      <c r="N334" t="s">
        <v>57</v>
      </c>
      <c r="O334">
        <v>6</v>
      </c>
      <c r="P334" t="s">
        <v>7</v>
      </c>
      <c r="Q334">
        <v>14.1</v>
      </c>
      <c r="R334" s="1" t="str">
        <f t="shared" si="6"/>
        <v>II</v>
      </c>
    </row>
    <row r="335" spans="1:18">
      <c r="A335">
        <v>1494</v>
      </c>
      <c r="B335" t="s">
        <v>75</v>
      </c>
      <c r="C335">
        <v>0.61499999999999999</v>
      </c>
      <c r="D335">
        <v>0.47499999999999998</v>
      </c>
      <c r="E335">
        <v>0.13</v>
      </c>
      <c r="F335">
        <v>0.84250000000000003</v>
      </c>
      <c r="G335">
        <v>0.35299999999999998</v>
      </c>
      <c r="H335">
        <v>0.1915</v>
      </c>
      <c r="I335">
        <v>0.251</v>
      </c>
      <c r="J335">
        <v>8</v>
      </c>
      <c r="K335">
        <v>3</v>
      </c>
      <c r="L335" t="s">
        <v>52</v>
      </c>
      <c r="M335" t="s">
        <v>53</v>
      </c>
      <c r="N335" t="s">
        <v>54</v>
      </c>
      <c r="O335">
        <v>1</v>
      </c>
      <c r="P335" t="s">
        <v>4</v>
      </c>
      <c r="Q335">
        <v>22.1</v>
      </c>
      <c r="R335" s="1" t="str">
        <f t="shared" si="6"/>
        <v>II</v>
      </c>
    </row>
    <row r="336" spans="1:18">
      <c r="A336">
        <v>3846</v>
      </c>
      <c r="B336" t="s">
        <v>75</v>
      </c>
      <c r="C336">
        <v>0.45500000000000002</v>
      </c>
      <c r="D336">
        <v>0.35</v>
      </c>
      <c r="E336">
        <v>0.105</v>
      </c>
      <c r="F336">
        <v>0.41599999999999998</v>
      </c>
      <c r="G336">
        <v>0.16250000000000001</v>
      </c>
      <c r="H336">
        <v>9.7000000000000003E-2</v>
      </c>
      <c r="I336">
        <v>0.14499999999999999</v>
      </c>
      <c r="J336">
        <v>11</v>
      </c>
      <c r="K336">
        <v>13</v>
      </c>
      <c r="L336" t="s">
        <v>43</v>
      </c>
      <c r="M336" t="s">
        <v>44</v>
      </c>
      <c r="N336" t="s">
        <v>45</v>
      </c>
      <c r="O336">
        <v>6</v>
      </c>
      <c r="P336" t="s">
        <v>7</v>
      </c>
      <c r="Q336">
        <v>14.1</v>
      </c>
      <c r="R336" s="1" t="str">
        <f t="shared" si="6"/>
        <v>II</v>
      </c>
    </row>
    <row r="337" spans="1:18">
      <c r="A337">
        <v>3256</v>
      </c>
      <c r="B337" t="s">
        <v>75</v>
      </c>
      <c r="C337">
        <v>0.3</v>
      </c>
      <c r="D337">
        <v>0.23</v>
      </c>
      <c r="E337">
        <v>7.4999999999999997E-2</v>
      </c>
      <c r="F337">
        <v>0.15</v>
      </c>
      <c r="G337">
        <v>6.0499999999999998E-2</v>
      </c>
      <c r="H337">
        <v>4.2000000000000003E-2</v>
      </c>
      <c r="I337">
        <v>4.4999999999999998E-2</v>
      </c>
      <c r="J337">
        <v>5</v>
      </c>
      <c r="K337">
        <v>15</v>
      </c>
      <c r="L337" t="s">
        <v>60</v>
      </c>
      <c r="M337" t="s">
        <v>61</v>
      </c>
      <c r="N337" t="s">
        <v>45</v>
      </c>
      <c r="O337">
        <v>7</v>
      </c>
      <c r="P337" t="s">
        <v>6</v>
      </c>
      <c r="Q337">
        <v>2.5</v>
      </c>
      <c r="R337" s="1" t="str">
        <f t="shared" si="6"/>
        <v>II</v>
      </c>
    </row>
    <row r="338" spans="1:18">
      <c r="A338">
        <v>653</v>
      </c>
      <c r="B338" t="s">
        <v>75</v>
      </c>
      <c r="C338">
        <v>0.47</v>
      </c>
      <c r="D338">
        <v>0.35</v>
      </c>
      <c r="E338">
        <v>0.13</v>
      </c>
      <c r="F338">
        <v>0.46600000000000003</v>
      </c>
      <c r="G338">
        <v>0.1845</v>
      </c>
      <c r="H338">
        <v>9.9000000000000005E-2</v>
      </c>
      <c r="I338">
        <v>0.14499999999999999</v>
      </c>
      <c r="J338">
        <v>11</v>
      </c>
      <c r="K338">
        <v>5</v>
      </c>
      <c r="L338" t="s">
        <v>67</v>
      </c>
      <c r="M338" t="s">
        <v>68</v>
      </c>
      <c r="N338" t="s">
        <v>69</v>
      </c>
      <c r="O338">
        <v>4</v>
      </c>
      <c r="P338" t="s">
        <v>8</v>
      </c>
      <c r="Q338">
        <v>6.1</v>
      </c>
      <c r="R338" s="1" t="str">
        <f t="shared" si="6"/>
        <v>II</v>
      </c>
    </row>
    <row r="339" spans="1:18">
      <c r="A339">
        <v>462</v>
      </c>
      <c r="B339" t="s">
        <v>75</v>
      </c>
      <c r="C339">
        <v>0.58499999999999996</v>
      </c>
      <c r="D339">
        <v>0.46500000000000002</v>
      </c>
      <c r="E339">
        <v>0.17</v>
      </c>
      <c r="F339">
        <v>0.99150000000000005</v>
      </c>
      <c r="G339">
        <v>0.38650000000000001</v>
      </c>
      <c r="H339">
        <v>0.224</v>
      </c>
      <c r="I339">
        <v>0.26500000000000001</v>
      </c>
      <c r="J339">
        <v>12</v>
      </c>
      <c r="K339">
        <v>9</v>
      </c>
      <c r="L339" t="s">
        <v>34</v>
      </c>
      <c r="M339" t="s">
        <v>35</v>
      </c>
      <c r="N339" t="s">
        <v>36</v>
      </c>
      <c r="O339">
        <v>10</v>
      </c>
      <c r="P339" t="s">
        <v>11</v>
      </c>
      <c r="Q339">
        <v>24.1</v>
      </c>
      <c r="R339" s="1" t="str">
        <f t="shared" si="6"/>
        <v>II</v>
      </c>
    </row>
    <row r="340" spans="1:18">
      <c r="A340">
        <v>1554</v>
      </c>
      <c r="B340" t="s">
        <v>75</v>
      </c>
      <c r="C340">
        <v>0.39</v>
      </c>
      <c r="D340">
        <v>0.28999999999999998</v>
      </c>
      <c r="E340">
        <v>0.1</v>
      </c>
      <c r="F340">
        <v>0.2225</v>
      </c>
      <c r="G340">
        <v>9.5000000000000001E-2</v>
      </c>
      <c r="H340">
        <v>4.65E-2</v>
      </c>
      <c r="I340">
        <v>7.2999999999999995E-2</v>
      </c>
      <c r="J340">
        <v>7</v>
      </c>
      <c r="K340">
        <v>8</v>
      </c>
      <c r="L340" t="s">
        <v>55</v>
      </c>
      <c r="M340" t="s">
        <v>56</v>
      </c>
      <c r="N340" t="s">
        <v>57</v>
      </c>
      <c r="O340">
        <v>7</v>
      </c>
      <c r="P340" t="s">
        <v>6</v>
      </c>
      <c r="Q340">
        <v>2.5</v>
      </c>
      <c r="R340" s="1" t="str">
        <f t="shared" si="6"/>
        <v>II</v>
      </c>
    </row>
    <row r="341" spans="1:18">
      <c r="A341">
        <v>2050</v>
      </c>
      <c r="B341" t="s">
        <v>75</v>
      </c>
      <c r="C341">
        <v>0.44500000000000001</v>
      </c>
      <c r="D341">
        <v>0.32</v>
      </c>
      <c r="E341">
        <v>0.12</v>
      </c>
      <c r="F341">
        <v>0.378</v>
      </c>
      <c r="G341">
        <v>0.152</v>
      </c>
      <c r="H341">
        <v>8.2500000000000004E-2</v>
      </c>
      <c r="I341">
        <v>0.12</v>
      </c>
      <c r="J341">
        <v>8</v>
      </c>
      <c r="K341">
        <v>8</v>
      </c>
      <c r="L341" t="s">
        <v>55</v>
      </c>
      <c r="M341" t="s">
        <v>56</v>
      </c>
      <c r="N341" t="s">
        <v>57</v>
      </c>
      <c r="O341">
        <v>5</v>
      </c>
      <c r="P341" t="s">
        <v>12</v>
      </c>
      <c r="Q341">
        <v>12.8</v>
      </c>
      <c r="R341" s="1" t="str">
        <f t="shared" si="6"/>
        <v>II</v>
      </c>
    </row>
    <row r="342" spans="1:18">
      <c r="A342">
        <v>603</v>
      </c>
      <c r="B342" t="s">
        <v>75</v>
      </c>
      <c r="C342">
        <v>0.39</v>
      </c>
      <c r="D342">
        <v>0.3</v>
      </c>
      <c r="E342">
        <v>0.1</v>
      </c>
      <c r="F342">
        <v>0.26500000000000001</v>
      </c>
      <c r="G342">
        <v>0.1075</v>
      </c>
      <c r="H342">
        <v>0.06</v>
      </c>
      <c r="I342">
        <v>8.6499999999999994E-2</v>
      </c>
      <c r="J342">
        <v>13</v>
      </c>
      <c r="K342">
        <v>3</v>
      </c>
      <c r="L342" t="s">
        <v>52</v>
      </c>
      <c r="M342" t="s">
        <v>53</v>
      </c>
      <c r="N342" t="s">
        <v>54</v>
      </c>
      <c r="O342">
        <v>5</v>
      </c>
      <c r="P342" t="s">
        <v>12</v>
      </c>
      <c r="Q342">
        <v>12.8</v>
      </c>
      <c r="R342" s="1" t="str">
        <f t="shared" si="6"/>
        <v>II</v>
      </c>
    </row>
    <row r="343" spans="1:18">
      <c r="A343">
        <v>1220</v>
      </c>
      <c r="B343" t="s">
        <v>75</v>
      </c>
      <c r="C343">
        <v>0.32500000000000001</v>
      </c>
      <c r="D343">
        <v>0.22500000000000001</v>
      </c>
      <c r="E343">
        <v>7.4999999999999997E-2</v>
      </c>
      <c r="F343">
        <v>0.13900000000000001</v>
      </c>
      <c r="G343">
        <v>5.6500000000000002E-2</v>
      </c>
      <c r="H343">
        <v>3.2000000000000001E-2</v>
      </c>
      <c r="I343">
        <v>0.09</v>
      </c>
      <c r="J343">
        <v>6</v>
      </c>
      <c r="K343">
        <v>15</v>
      </c>
      <c r="L343" t="s">
        <v>60</v>
      </c>
      <c r="M343" t="s">
        <v>61</v>
      </c>
      <c r="N343" t="s">
        <v>45</v>
      </c>
      <c r="O343">
        <v>10</v>
      </c>
      <c r="P343" t="s">
        <v>11</v>
      </c>
      <c r="Q343">
        <v>24.1</v>
      </c>
      <c r="R343" s="1" t="str">
        <f t="shared" si="6"/>
        <v>II</v>
      </c>
    </row>
    <row r="344" spans="1:18">
      <c r="A344">
        <v>936</v>
      </c>
      <c r="B344" t="s">
        <v>75</v>
      </c>
      <c r="C344">
        <v>0.45</v>
      </c>
      <c r="D344">
        <v>0.34499999999999997</v>
      </c>
      <c r="E344">
        <v>0.11</v>
      </c>
      <c r="F344">
        <v>0.47</v>
      </c>
      <c r="G344">
        <v>0.23549999999999999</v>
      </c>
      <c r="H344">
        <v>8.5500000000000007E-2</v>
      </c>
      <c r="I344">
        <v>0.1135</v>
      </c>
      <c r="J344">
        <v>7</v>
      </c>
      <c r="K344">
        <v>5</v>
      </c>
      <c r="L344" t="s">
        <v>67</v>
      </c>
      <c r="M344" t="s">
        <v>68</v>
      </c>
      <c r="N344" t="s">
        <v>69</v>
      </c>
      <c r="O344">
        <v>2</v>
      </c>
      <c r="P344" t="s">
        <v>5</v>
      </c>
      <c r="Q344">
        <v>18</v>
      </c>
      <c r="R344" s="1" t="str">
        <f t="shared" si="6"/>
        <v>II</v>
      </c>
    </row>
    <row r="345" spans="1:18">
      <c r="A345">
        <v>937</v>
      </c>
      <c r="B345" t="s">
        <v>75</v>
      </c>
      <c r="C345">
        <v>0.45</v>
      </c>
      <c r="D345">
        <v>0.33500000000000002</v>
      </c>
      <c r="E345">
        <v>0.105</v>
      </c>
      <c r="F345">
        <v>0.44700000000000001</v>
      </c>
      <c r="G345">
        <v>0.23350000000000001</v>
      </c>
      <c r="H345">
        <v>0.153</v>
      </c>
      <c r="I345">
        <v>0.11899999999999999</v>
      </c>
      <c r="J345">
        <v>7</v>
      </c>
      <c r="K345">
        <v>6</v>
      </c>
      <c r="L345" t="s">
        <v>46</v>
      </c>
      <c r="M345" t="s">
        <v>47</v>
      </c>
      <c r="N345" t="s">
        <v>48</v>
      </c>
      <c r="O345">
        <v>2</v>
      </c>
      <c r="P345" t="s">
        <v>5</v>
      </c>
      <c r="Q345">
        <v>18</v>
      </c>
      <c r="R345" s="1" t="str">
        <f t="shared" si="6"/>
        <v>II</v>
      </c>
    </row>
    <row r="346" spans="1:18">
      <c r="A346">
        <v>1102</v>
      </c>
      <c r="B346" t="s">
        <v>75</v>
      </c>
      <c r="C346">
        <v>0.5</v>
      </c>
      <c r="D346">
        <v>0.38</v>
      </c>
      <c r="E346">
        <v>0.125</v>
      </c>
      <c r="F346">
        <v>0.51900000000000002</v>
      </c>
      <c r="G346">
        <v>0.2485</v>
      </c>
      <c r="H346">
        <v>0.1135</v>
      </c>
      <c r="I346">
        <v>0.13400000000000001</v>
      </c>
      <c r="J346">
        <v>8</v>
      </c>
      <c r="K346">
        <v>9</v>
      </c>
      <c r="L346" t="s">
        <v>34</v>
      </c>
      <c r="M346" t="s">
        <v>35</v>
      </c>
      <c r="N346" t="s">
        <v>36</v>
      </c>
      <c r="O346">
        <v>10</v>
      </c>
      <c r="P346" t="s">
        <v>11</v>
      </c>
      <c r="Q346">
        <v>24.1</v>
      </c>
      <c r="R346" s="1" t="str">
        <f t="shared" si="6"/>
        <v>II</v>
      </c>
    </row>
    <row r="347" spans="1:18">
      <c r="A347">
        <v>1119</v>
      </c>
      <c r="B347" t="s">
        <v>75</v>
      </c>
      <c r="C347">
        <v>0.53500000000000003</v>
      </c>
      <c r="D347">
        <v>0.39</v>
      </c>
      <c r="E347">
        <v>0.125</v>
      </c>
      <c r="F347">
        <v>0.59899999999999998</v>
      </c>
      <c r="G347">
        <v>0.25950000000000001</v>
      </c>
      <c r="H347">
        <v>0.14899999999999999</v>
      </c>
      <c r="I347">
        <v>0.16900000000000001</v>
      </c>
      <c r="J347">
        <v>9</v>
      </c>
      <c r="K347">
        <v>2</v>
      </c>
      <c r="L347" t="s">
        <v>49</v>
      </c>
      <c r="M347" t="s">
        <v>50</v>
      </c>
      <c r="N347" t="s">
        <v>51</v>
      </c>
      <c r="O347">
        <v>8</v>
      </c>
      <c r="P347" t="s">
        <v>13</v>
      </c>
      <c r="Q347">
        <v>12.3</v>
      </c>
      <c r="R347" s="1" t="str">
        <f t="shared" si="6"/>
        <v>II</v>
      </c>
    </row>
    <row r="348" spans="1:18">
      <c r="A348">
        <v>3016</v>
      </c>
      <c r="B348" t="s">
        <v>75</v>
      </c>
      <c r="C348">
        <v>0.42</v>
      </c>
      <c r="D348">
        <v>0.32</v>
      </c>
      <c r="E348">
        <v>0.11</v>
      </c>
      <c r="F348">
        <v>0.309</v>
      </c>
      <c r="G348">
        <v>0.115</v>
      </c>
      <c r="H348">
        <v>6.4500000000000002E-2</v>
      </c>
      <c r="I348">
        <v>9.4500000000000001E-2</v>
      </c>
      <c r="J348">
        <v>6</v>
      </c>
      <c r="K348">
        <v>3</v>
      </c>
      <c r="L348" t="s">
        <v>52</v>
      </c>
      <c r="M348" t="s">
        <v>53</v>
      </c>
      <c r="N348" t="s">
        <v>54</v>
      </c>
      <c r="O348">
        <v>10</v>
      </c>
      <c r="P348" t="s">
        <v>11</v>
      </c>
      <c r="Q348">
        <v>24.1</v>
      </c>
      <c r="R348" s="1" t="str">
        <f t="shared" si="6"/>
        <v>II</v>
      </c>
    </row>
    <row r="349" spans="1:18">
      <c r="A349">
        <v>515</v>
      </c>
      <c r="B349" t="s">
        <v>75</v>
      </c>
      <c r="C349">
        <v>0.27500000000000002</v>
      </c>
      <c r="D349">
        <v>0.19500000000000001</v>
      </c>
      <c r="E349">
        <v>7.0000000000000007E-2</v>
      </c>
      <c r="F349">
        <v>0.08</v>
      </c>
      <c r="G349">
        <v>3.1E-2</v>
      </c>
      <c r="H349">
        <v>2.1499999999999998E-2</v>
      </c>
      <c r="I349">
        <v>2.5000000000000001E-2</v>
      </c>
      <c r="J349">
        <v>5</v>
      </c>
      <c r="K349">
        <v>12</v>
      </c>
      <c r="L349" t="s">
        <v>58</v>
      </c>
      <c r="M349" t="s">
        <v>59</v>
      </c>
      <c r="N349" t="s">
        <v>45</v>
      </c>
      <c r="O349">
        <v>2</v>
      </c>
      <c r="P349" t="s">
        <v>5</v>
      </c>
      <c r="Q349">
        <v>18</v>
      </c>
      <c r="R349" s="1" t="str">
        <f t="shared" si="6"/>
        <v>II</v>
      </c>
    </row>
    <row r="350" spans="1:18">
      <c r="A350">
        <v>405</v>
      </c>
      <c r="B350" t="s">
        <v>75</v>
      </c>
      <c r="C350">
        <v>0.44</v>
      </c>
      <c r="D350">
        <v>0.34499999999999997</v>
      </c>
      <c r="E350">
        <v>0.12</v>
      </c>
      <c r="F350">
        <v>0.36499999999999999</v>
      </c>
      <c r="G350">
        <v>0.16550000000000001</v>
      </c>
      <c r="H350">
        <v>8.3000000000000004E-2</v>
      </c>
      <c r="I350">
        <v>0.11</v>
      </c>
      <c r="J350">
        <v>7</v>
      </c>
      <c r="K350">
        <v>4</v>
      </c>
      <c r="L350" t="s">
        <v>40</v>
      </c>
      <c r="M350" t="s">
        <v>41</v>
      </c>
      <c r="N350" t="s">
        <v>42</v>
      </c>
      <c r="O350">
        <v>8</v>
      </c>
      <c r="P350" t="s">
        <v>13</v>
      </c>
      <c r="Q350">
        <v>12.3</v>
      </c>
      <c r="R350" s="1" t="str">
        <f t="shared" si="6"/>
        <v>II</v>
      </c>
    </row>
    <row r="351" spans="1:18">
      <c r="A351">
        <v>606</v>
      </c>
      <c r="B351" t="s">
        <v>75</v>
      </c>
      <c r="C351">
        <v>0.42499999999999999</v>
      </c>
      <c r="D351">
        <v>0.34499999999999997</v>
      </c>
      <c r="E351">
        <v>0.125</v>
      </c>
      <c r="F351">
        <v>0.42499999999999999</v>
      </c>
      <c r="G351">
        <v>0.16</v>
      </c>
      <c r="H351">
        <v>7.9500000000000001E-2</v>
      </c>
      <c r="I351">
        <v>0.154</v>
      </c>
      <c r="J351">
        <v>13</v>
      </c>
      <c r="K351">
        <v>5</v>
      </c>
      <c r="L351" t="s">
        <v>67</v>
      </c>
      <c r="M351" t="s">
        <v>68</v>
      </c>
      <c r="N351" t="s">
        <v>69</v>
      </c>
      <c r="O351">
        <v>10</v>
      </c>
      <c r="P351" t="s">
        <v>11</v>
      </c>
      <c r="Q351">
        <v>24.1</v>
      </c>
      <c r="R351" s="1" t="str">
        <f t="shared" si="6"/>
        <v>II</v>
      </c>
    </row>
    <row r="352" spans="1:18">
      <c r="A352">
        <v>3639</v>
      </c>
      <c r="B352" t="s">
        <v>75</v>
      </c>
      <c r="C352">
        <v>0.44</v>
      </c>
      <c r="D352">
        <v>0.34</v>
      </c>
      <c r="E352">
        <v>0.105</v>
      </c>
      <c r="F352">
        <v>0.34399999999999997</v>
      </c>
      <c r="G352">
        <v>0.123</v>
      </c>
      <c r="H352">
        <v>8.1000000000000003E-2</v>
      </c>
      <c r="I352">
        <v>0.125</v>
      </c>
      <c r="J352">
        <v>8</v>
      </c>
      <c r="K352">
        <v>11</v>
      </c>
      <c r="L352" t="s">
        <v>65</v>
      </c>
      <c r="M352" t="s">
        <v>66</v>
      </c>
      <c r="N352" t="s">
        <v>45</v>
      </c>
      <c r="O352">
        <v>1</v>
      </c>
      <c r="P352" t="s">
        <v>4</v>
      </c>
      <c r="Q352">
        <v>22.1</v>
      </c>
      <c r="R352" s="1" t="str">
        <f t="shared" si="6"/>
        <v>II</v>
      </c>
    </row>
    <row r="353" spans="1:18">
      <c r="A353">
        <v>50</v>
      </c>
      <c r="B353" t="s">
        <v>75</v>
      </c>
      <c r="C353">
        <v>0.52500000000000002</v>
      </c>
      <c r="D353">
        <v>0.42499999999999999</v>
      </c>
      <c r="E353">
        <v>0.16</v>
      </c>
      <c r="F353">
        <v>0.83550000000000002</v>
      </c>
      <c r="G353">
        <v>0.35449999999999998</v>
      </c>
      <c r="H353">
        <v>0.2135</v>
      </c>
      <c r="I353">
        <v>0.245</v>
      </c>
      <c r="J353">
        <v>9</v>
      </c>
      <c r="K353">
        <v>4</v>
      </c>
      <c r="L353" t="s">
        <v>40</v>
      </c>
      <c r="M353" t="s">
        <v>41</v>
      </c>
      <c r="N353" t="s">
        <v>42</v>
      </c>
      <c r="O353">
        <v>10</v>
      </c>
      <c r="P353" t="s">
        <v>11</v>
      </c>
      <c r="Q353">
        <v>24.1</v>
      </c>
      <c r="R353" s="1" t="str">
        <f t="shared" si="6"/>
        <v>II</v>
      </c>
    </row>
    <row r="354" spans="1:18">
      <c r="A354">
        <v>3761</v>
      </c>
      <c r="B354" t="s">
        <v>75</v>
      </c>
      <c r="C354">
        <v>0.53</v>
      </c>
      <c r="D354">
        <v>0.42499999999999999</v>
      </c>
      <c r="E354">
        <v>0.13</v>
      </c>
      <c r="F354">
        <v>0.70199999999999996</v>
      </c>
      <c r="G354">
        <v>0.29749999999999999</v>
      </c>
      <c r="H354">
        <v>0.13950000000000001</v>
      </c>
      <c r="I354">
        <v>0.22</v>
      </c>
      <c r="J354">
        <v>9</v>
      </c>
      <c r="K354">
        <v>2</v>
      </c>
      <c r="L354" t="s">
        <v>49</v>
      </c>
      <c r="M354" t="s">
        <v>50</v>
      </c>
      <c r="N354" t="s">
        <v>51</v>
      </c>
      <c r="O354">
        <v>10</v>
      </c>
      <c r="P354" t="s">
        <v>11</v>
      </c>
      <c r="Q354">
        <v>24.1</v>
      </c>
      <c r="R354" s="1" t="str">
        <f t="shared" si="6"/>
        <v>II</v>
      </c>
    </row>
    <row r="355" spans="1:18">
      <c r="A355">
        <v>460</v>
      </c>
      <c r="B355" t="s">
        <v>75</v>
      </c>
      <c r="C355">
        <v>0.52500000000000002</v>
      </c>
      <c r="D355">
        <v>0.41</v>
      </c>
      <c r="E355">
        <v>0.13500000000000001</v>
      </c>
      <c r="F355">
        <v>0.70850000000000002</v>
      </c>
      <c r="G355">
        <v>0.29299999999999998</v>
      </c>
      <c r="H355">
        <v>0.1525</v>
      </c>
      <c r="I355">
        <v>0.23499999999999999</v>
      </c>
      <c r="J355">
        <v>11</v>
      </c>
      <c r="K355">
        <v>1</v>
      </c>
      <c r="L355" t="s">
        <v>70</v>
      </c>
      <c r="M355" t="s">
        <v>71</v>
      </c>
      <c r="N355" t="s">
        <v>45</v>
      </c>
      <c r="O355">
        <v>4</v>
      </c>
      <c r="P355" t="s">
        <v>8</v>
      </c>
      <c r="Q355">
        <v>6.1</v>
      </c>
      <c r="R355" s="1" t="str">
        <f t="shared" si="6"/>
        <v>II</v>
      </c>
    </row>
    <row r="356" spans="1:18">
      <c r="A356">
        <v>1107</v>
      </c>
      <c r="B356" t="s">
        <v>75</v>
      </c>
      <c r="C356">
        <v>0.51</v>
      </c>
      <c r="D356">
        <v>0.4</v>
      </c>
      <c r="E356">
        <v>0.125</v>
      </c>
      <c r="F356">
        <v>0.5575</v>
      </c>
      <c r="G356">
        <v>0.26150000000000001</v>
      </c>
      <c r="H356">
        <v>0.1195</v>
      </c>
      <c r="I356">
        <v>0.1525</v>
      </c>
      <c r="J356">
        <v>9</v>
      </c>
      <c r="K356">
        <v>2</v>
      </c>
      <c r="L356" t="s">
        <v>49</v>
      </c>
      <c r="M356" t="s">
        <v>50</v>
      </c>
      <c r="N356" t="s">
        <v>51</v>
      </c>
      <c r="O356">
        <v>1</v>
      </c>
      <c r="P356" t="s">
        <v>4</v>
      </c>
      <c r="Q356">
        <v>22.1</v>
      </c>
      <c r="R356" s="1" t="str">
        <f t="shared" si="6"/>
        <v>II</v>
      </c>
    </row>
    <row r="357" spans="1:18">
      <c r="A357">
        <v>809</v>
      </c>
      <c r="B357" t="s">
        <v>75</v>
      </c>
      <c r="C357">
        <v>0.44</v>
      </c>
      <c r="D357">
        <v>0.34</v>
      </c>
      <c r="E357">
        <v>0.13</v>
      </c>
      <c r="F357">
        <v>0.41949999999999998</v>
      </c>
      <c r="G357">
        <v>0.153</v>
      </c>
      <c r="H357">
        <v>0.11550000000000001</v>
      </c>
      <c r="I357">
        <v>0.13</v>
      </c>
      <c r="J357">
        <v>10</v>
      </c>
      <c r="K357">
        <v>9</v>
      </c>
      <c r="L357" t="s">
        <v>34</v>
      </c>
      <c r="M357" t="s">
        <v>35</v>
      </c>
      <c r="N357" t="s">
        <v>36</v>
      </c>
      <c r="O357">
        <v>1</v>
      </c>
      <c r="P357" t="s">
        <v>4</v>
      </c>
      <c r="Q357">
        <v>22.1</v>
      </c>
      <c r="R357" s="1" t="str">
        <f t="shared" si="6"/>
        <v>II</v>
      </c>
    </row>
    <row r="358" spans="1:18">
      <c r="A358">
        <v>2547</v>
      </c>
      <c r="B358" t="s">
        <v>75</v>
      </c>
      <c r="C358">
        <v>0.22500000000000001</v>
      </c>
      <c r="D358">
        <v>0.17</v>
      </c>
      <c r="E358">
        <v>7.0000000000000007E-2</v>
      </c>
      <c r="F358">
        <v>5.6500000000000002E-2</v>
      </c>
      <c r="G358">
        <v>2.4E-2</v>
      </c>
      <c r="H358">
        <v>1.2999999999999999E-2</v>
      </c>
      <c r="I358">
        <v>1.6E-2</v>
      </c>
      <c r="J358">
        <v>4</v>
      </c>
      <c r="K358">
        <v>7</v>
      </c>
      <c r="L358" t="s">
        <v>62</v>
      </c>
      <c r="M358" t="s">
        <v>63</v>
      </c>
      <c r="N358" t="s">
        <v>64</v>
      </c>
      <c r="O358">
        <v>2</v>
      </c>
      <c r="P358" t="s">
        <v>5</v>
      </c>
      <c r="Q358">
        <v>18</v>
      </c>
      <c r="R358" s="1" t="str">
        <f t="shared" si="6"/>
        <v>II</v>
      </c>
    </row>
    <row r="359" spans="1:18">
      <c r="A359">
        <v>4068</v>
      </c>
      <c r="B359" t="s">
        <v>75</v>
      </c>
      <c r="C359">
        <v>0.4</v>
      </c>
      <c r="D359">
        <v>0.3</v>
      </c>
      <c r="E359">
        <v>0.115</v>
      </c>
      <c r="F359">
        <v>0.318</v>
      </c>
      <c r="G359">
        <v>0.13350000000000001</v>
      </c>
      <c r="H359">
        <v>7.2499999999999995E-2</v>
      </c>
      <c r="I359">
        <v>9.35E-2</v>
      </c>
      <c r="J359">
        <v>6</v>
      </c>
      <c r="K359">
        <v>8</v>
      </c>
      <c r="L359" t="s">
        <v>55</v>
      </c>
      <c r="M359" t="s">
        <v>56</v>
      </c>
      <c r="N359" t="s">
        <v>57</v>
      </c>
      <c r="O359">
        <v>2</v>
      </c>
      <c r="P359" t="s">
        <v>5</v>
      </c>
      <c r="Q359">
        <v>18</v>
      </c>
      <c r="R359" s="1" t="str">
        <f t="shared" si="6"/>
        <v>II</v>
      </c>
    </row>
    <row r="360" spans="1:18">
      <c r="A360">
        <v>3318</v>
      </c>
      <c r="B360" t="s">
        <v>75</v>
      </c>
      <c r="C360">
        <v>0.26500000000000001</v>
      </c>
      <c r="D360">
        <v>0.2</v>
      </c>
      <c r="E360">
        <v>6.5000000000000002E-2</v>
      </c>
      <c r="F360">
        <v>8.4000000000000005E-2</v>
      </c>
      <c r="G360">
        <v>3.4000000000000002E-2</v>
      </c>
      <c r="H360">
        <v>1.0500000000000001E-2</v>
      </c>
      <c r="I360">
        <v>0.03</v>
      </c>
      <c r="J360">
        <v>7</v>
      </c>
      <c r="K360">
        <v>14</v>
      </c>
      <c r="L360" t="s">
        <v>72</v>
      </c>
      <c r="M360" t="s">
        <v>73</v>
      </c>
      <c r="N360" t="s">
        <v>74</v>
      </c>
      <c r="O360">
        <v>9</v>
      </c>
      <c r="P360" t="s">
        <v>9</v>
      </c>
      <c r="Q360">
        <v>1.9</v>
      </c>
      <c r="R360" s="1" t="str">
        <f t="shared" si="6"/>
        <v>II</v>
      </c>
    </row>
    <row r="361" spans="1:18">
      <c r="A361">
        <v>1057</v>
      </c>
      <c r="B361" t="s">
        <v>75</v>
      </c>
      <c r="C361">
        <v>0.2</v>
      </c>
      <c r="D361">
        <v>0.155</v>
      </c>
      <c r="E361">
        <v>0.04</v>
      </c>
      <c r="F361">
        <v>4.3499999999999997E-2</v>
      </c>
      <c r="G361">
        <v>1.55E-2</v>
      </c>
      <c r="H361">
        <v>8.9999999999999993E-3</v>
      </c>
      <c r="I361">
        <v>7.0000000000000001E-3</v>
      </c>
      <c r="J361">
        <v>4</v>
      </c>
      <c r="K361">
        <v>7</v>
      </c>
      <c r="L361" t="s">
        <v>62</v>
      </c>
      <c r="M361" t="s">
        <v>63</v>
      </c>
      <c r="N361" t="s">
        <v>64</v>
      </c>
      <c r="O361">
        <v>2</v>
      </c>
      <c r="P361" t="s">
        <v>5</v>
      </c>
      <c r="Q361">
        <v>18</v>
      </c>
      <c r="R361" s="1" t="str">
        <f t="shared" si="6"/>
        <v>II</v>
      </c>
    </row>
    <row r="362" spans="1:18">
      <c r="A362">
        <v>1533</v>
      </c>
      <c r="B362" t="s">
        <v>75</v>
      </c>
      <c r="C362">
        <v>0.28499999999999998</v>
      </c>
      <c r="D362">
        <v>0.21</v>
      </c>
      <c r="E362">
        <v>5.5E-2</v>
      </c>
      <c r="F362">
        <v>0.10100000000000001</v>
      </c>
      <c r="G362">
        <v>4.1500000000000002E-2</v>
      </c>
      <c r="H362">
        <v>1.7000000000000001E-2</v>
      </c>
      <c r="I362">
        <v>3.3500000000000002E-2</v>
      </c>
      <c r="J362">
        <v>5</v>
      </c>
      <c r="K362">
        <v>2</v>
      </c>
      <c r="L362" t="s">
        <v>49</v>
      </c>
      <c r="M362" t="s">
        <v>50</v>
      </c>
      <c r="N362" t="s">
        <v>51</v>
      </c>
      <c r="O362">
        <v>3</v>
      </c>
      <c r="P362" t="s">
        <v>10</v>
      </c>
      <c r="Q362">
        <v>3.6</v>
      </c>
      <c r="R362" s="1" t="str">
        <f t="shared" si="6"/>
        <v>II</v>
      </c>
    </row>
    <row r="363" spans="1:18">
      <c r="A363">
        <v>740</v>
      </c>
      <c r="B363" t="s">
        <v>75</v>
      </c>
      <c r="C363">
        <v>0.44500000000000001</v>
      </c>
      <c r="D363">
        <v>0.34499999999999997</v>
      </c>
      <c r="E363">
        <v>0.09</v>
      </c>
      <c r="F363">
        <v>0.3795</v>
      </c>
      <c r="G363">
        <v>0.14299999999999999</v>
      </c>
      <c r="H363">
        <v>7.3999999999999996E-2</v>
      </c>
      <c r="I363">
        <v>0.125</v>
      </c>
      <c r="J363">
        <v>10</v>
      </c>
      <c r="K363">
        <v>13</v>
      </c>
      <c r="L363" t="s">
        <v>43</v>
      </c>
      <c r="M363" t="s">
        <v>44</v>
      </c>
      <c r="N363" t="s">
        <v>45</v>
      </c>
      <c r="O363">
        <v>1</v>
      </c>
      <c r="P363" t="s">
        <v>4</v>
      </c>
      <c r="Q363">
        <v>22.1</v>
      </c>
      <c r="R363" s="1" t="str">
        <f t="shared" si="6"/>
        <v>II</v>
      </c>
    </row>
    <row r="364" spans="1:18">
      <c r="A364">
        <v>940</v>
      </c>
      <c r="B364" t="s">
        <v>75</v>
      </c>
      <c r="C364">
        <v>0.46</v>
      </c>
      <c r="D364">
        <v>0.36</v>
      </c>
      <c r="E364">
        <v>0.1</v>
      </c>
      <c r="F364">
        <v>0.46350000000000002</v>
      </c>
      <c r="G364">
        <v>0.23250000000000001</v>
      </c>
      <c r="H364">
        <v>9.2999999999999999E-2</v>
      </c>
      <c r="I364">
        <v>0.115</v>
      </c>
      <c r="J364">
        <v>7</v>
      </c>
      <c r="K364">
        <v>13</v>
      </c>
      <c r="L364" t="s">
        <v>43</v>
      </c>
      <c r="M364" t="s">
        <v>44</v>
      </c>
      <c r="N364" t="s">
        <v>45</v>
      </c>
      <c r="O364">
        <v>10</v>
      </c>
      <c r="P364" t="s">
        <v>11</v>
      </c>
      <c r="Q364">
        <v>24.1</v>
      </c>
      <c r="R364" s="1" t="str">
        <f t="shared" si="6"/>
        <v>II</v>
      </c>
    </row>
    <row r="365" spans="1:18">
      <c r="A365">
        <v>2635</v>
      </c>
      <c r="B365" t="s">
        <v>75</v>
      </c>
      <c r="C365">
        <v>0.42499999999999999</v>
      </c>
      <c r="D365">
        <v>0.34</v>
      </c>
      <c r="E365">
        <v>0.1</v>
      </c>
      <c r="F365">
        <v>0.35149999999999998</v>
      </c>
      <c r="G365">
        <v>0.16250000000000001</v>
      </c>
      <c r="H365">
        <v>8.2000000000000003E-2</v>
      </c>
      <c r="I365">
        <v>9.4E-2</v>
      </c>
      <c r="J365">
        <v>7</v>
      </c>
      <c r="K365">
        <v>8</v>
      </c>
      <c r="L365" t="s">
        <v>55</v>
      </c>
      <c r="M365" t="s">
        <v>56</v>
      </c>
      <c r="N365" t="s">
        <v>57</v>
      </c>
      <c r="O365">
        <v>8</v>
      </c>
      <c r="P365" t="s">
        <v>13</v>
      </c>
      <c r="Q365">
        <v>12.3</v>
      </c>
      <c r="R365" s="1" t="str">
        <f t="shared" si="6"/>
        <v>II</v>
      </c>
    </row>
    <row r="366" spans="1:18">
      <c r="A366">
        <v>3562</v>
      </c>
      <c r="B366" t="s">
        <v>75</v>
      </c>
      <c r="C366">
        <v>0.56999999999999995</v>
      </c>
      <c r="D366">
        <v>0.42</v>
      </c>
      <c r="E366">
        <v>0.13</v>
      </c>
      <c r="F366">
        <v>0.77449999999999997</v>
      </c>
      <c r="G366">
        <v>0.35349999999999998</v>
      </c>
      <c r="H366">
        <v>0.15049999999999999</v>
      </c>
      <c r="I366">
        <v>0.23649999999999999</v>
      </c>
      <c r="J366">
        <v>9</v>
      </c>
      <c r="K366">
        <v>4</v>
      </c>
      <c r="L366" t="s">
        <v>40</v>
      </c>
      <c r="M366" t="s">
        <v>41</v>
      </c>
      <c r="N366" t="s">
        <v>42</v>
      </c>
      <c r="O366">
        <v>5</v>
      </c>
      <c r="P366" t="s">
        <v>12</v>
      </c>
      <c r="Q366">
        <v>12.8</v>
      </c>
      <c r="R366" s="1" t="str">
        <f t="shared" si="6"/>
        <v>II</v>
      </c>
    </row>
    <row r="367" spans="1:18">
      <c r="A367">
        <v>2572</v>
      </c>
      <c r="B367" t="s">
        <v>75</v>
      </c>
      <c r="C367">
        <v>0.46500000000000002</v>
      </c>
      <c r="D367">
        <v>0.34</v>
      </c>
      <c r="E367">
        <v>0.105</v>
      </c>
      <c r="F367">
        <v>0.48599999999999999</v>
      </c>
      <c r="G367">
        <v>0.23100000000000001</v>
      </c>
      <c r="H367">
        <v>0.10349999999999999</v>
      </c>
      <c r="I367">
        <v>0.1225</v>
      </c>
      <c r="J367">
        <v>9</v>
      </c>
      <c r="K367">
        <v>2</v>
      </c>
      <c r="L367" t="s">
        <v>49</v>
      </c>
      <c r="M367" t="s">
        <v>50</v>
      </c>
      <c r="N367" t="s">
        <v>51</v>
      </c>
      <c r="O367">
        <v>2</v>
      </c>
      <c r="P367" t="s">
        <v>5</v>
      </c>
      <c r="Q367">
        <v>18</v>
      </c>
      <c r="R367" s="1" t="str">
        <f t="shared" si="6"/>
        <v>II</v>
      </c>
    </row>
    <row r="368" spans="1:18">
      <c r="A368">
        <v>3528</v>
      </c>
      <c r="B368" t="s">
        <v>75</v>
      </c>
      <c r="C368">
        <v>0.35</v>
      </c>
      <c r="D368">
        <v>0.26</v>
      </c>
      <c r="E368">
        <v>0.09</v>
      </c>
      <c r="F368">
        <v>0.17649999999999999</v>
      </c>
      <c r="G368">
        <v>7.1999999999999995E-2</v>
      </c>
      <c r="H368">
        <v>3.5499999999999997E-2</v>
      </c>
      <c r="I368">
        <v>5.7500000000000002E-2</v>
      </c>
      <c r="J368">
        <v>7</v>
      </c>
      <c r="K368">
        <v>10</v>
      </c>
      <c r="L368" t="s">
        <v>37</v>
      </c>
      <c r="M368" t="s">
        <v>38</v>
      </c>
      <c r="N368" t="s">
        <v>39</v>
      </c>
      <c r="O368">
        <v>5</v>
      </c>
      <c r="P368" t="s">
        <v>12</v>
      </c>
      <c r="Q368">
        <v>12.8</v>
      </c>
      <c r="R368" s="1" t="str">
        <f t="shared" si="6"/>
        <v>II</v>
      </c>
    </row>
    <row r="369" spans="1:18">
      <c r="A369">
        <v>3769</v>
      </c>
      <c r="B369" t="s">
        <v>75</v>
      </c>
      <c r="C369">
        <v>0.56000000000000005</v>
      </c>
      <c r="D369">
        <v>0.46500000000000002</v>
      </c>
      <c r="E369">
        <v>0.14499999999999999</v>
      </c>
      <c r="F369">
        <v>0.88749999999999996</v>
      </c>
      <c r="G369">
        <v>0.33450000000000002</v>
      </c>
      <c r="H369">
        <v>0.22</v>
      </c>
      <c r="I369">
        <v>0.26950000000000002</v>
      </c>
      <c r="J369">
        <v>9</v>
      </c>
      <c r="K369">
        <v>12</v>
      </c>
      <c r="L369" t="s">
        <v>58</v>
      </c>
      <c r="M369" t="s">
        <v>59</v>
      </c>
      <c r="N369" t="s">
        <v>45</v>
      </c>
      <c r="O369">
        <v>10</v>
      </c>
      <c r="P369" t="s">
        <v>11</v>
      </c>
      <c r="Q369">
        <v>24.1</v>
      </c>
      <c r="R369" s="1" t="str">
        <f t="shared" si="6"/>
        <v>II</v>
      </c>
    </row>
    <row r="370" spans="1:18">
      <c r="A370">
        <v>3443</v>
      </c>
      <c r="B370" t="s">
        <v>75</v>
      </c>
      <c r="C370">
        <v>0.48</v>
      </c>
      <c r="D370">
        <v>0.37</v>
      </c>
      <c r="E370">
        <v>0.13</v>
      </c>
      <c r="F370">
        <v>0.64300000000000002</v>
      </c>
      <c r="G370">
        <v>0.34899999999999998</v>
      </c>
      <c r="H370">
        <v>0.11550000000000001</v>
      </c>
      <c r="I370">
        <v>0.13500000000000001</v>
      </c>
      <c r="J370">
        <v>8</v>
      </c>
      <c r="K370">
        <v>12</v>
      </c>
      <c r="L370" t="s">
        <v>58</v>
      </c>
      <c r="M370" t="s">
        <v>59</v>
      </c>
      <c r="N370" t="s">
        <v>45</v>
      </c>
      <c r="O370">
        <v>10</v>
      </c>
      <c r="P370" t="s">
        <v>11</v>
      </c>
      <c r="Q370">
        <v>24.1</v>
      </c>
      <c r="R370" s="1" t="str">
        <f t="shared" si="6"/>
        <v>II</v>
      </c>
    </row>
    <row r="371" spans="1:18">
      <c r="A371">
        <v>2119</v>
      </c>
      <c r="B371" t="s">
        <v>75</v>
      </c>
      <c r="C371">
        <v>0.48</v>
      </c>
      <c r="D371">
        <v>0.38</v>
      </c>
      <c r="E371">
        <v>0.12</v>
      </c>
      <c r="F371">
        <v>0.60799999999999998</v>
      </c>
      <c r="G371">
        <v>0.27050000000000002</v>
      </c>
      <c r="H371">
        <v>0.14050000000000001</v>
      </c>
      <c r="I371">
        <v>0.185</v>
      </c>
      <c r="J371">
        <v>8</v>
      </c>
      <c r="K371">
        <v>14</v>
      </c>
      <c r="L371" t="s">
        <v>72</v>
      </c>
      <c r="M371" t="s">
        <v>73</v>
      </c>
      <c r="N371" t="s">
        <v>74</v>
      </c>
      <c r="O371">
        <v>8</v>
      </c>
      <c r="P371" t="s">
        <v>13</v>
      </c>
      <c r="Q371">
        <v>12.3</v>
      </c>
      <c r="R371" s="1" t="str">
        <f t="shared" si="6"/>
        <v>II</v>
      </c>
    </row>
    <row r="372" spans="1:18">
      <c r="A372">
        <v>328</v>
      </c>
      <c r="B372" t="s">
        <v>75</v>
      </c>
      <c r="C372">
        <v>0.51</v>
      </c>
      <c r="D372">
        <v>0.4</v>
      </c>
      <c r="E372">
        <v>0.13</v>
      </c>
      <c r="F372">
        <v>0.64349999999999996</v>
      </c>
      <c r="G372">
        <v>0.27</v>
      </c>
      <c r="H372">
        <v>0.16650000000000001</v>
      </c>
      <c r="I372">
        <v>0.20499999999999999</v>
      </c>
      <c r="J372">
        <v>12</v>
      </c>
      <c r="K372">
        <v>7</v>
      </c>
      <c r="L372" t="s">
        <v>62</v>
      </c>
      <c r="M372" t="s">
        <v>63</v>
      </c>
      <c r="N372" t="s">
        <v>64</v>
      </c>
      <c r="O372">
        <v>2</v>
      </c>
      <c r="P372" t="s">
        <v>5</v>
      </c>
      <c r="Q372">
        <v>18</v>
      </c>
      <c r="R372" s="1" t="str">
        <f t="shared" si="6"/>
        <v>II</v>
      </c>
    </row>
    <row r="373" spans="1:18">
      <c r="A373">
        <v>1835</v>
      </c>
      <c r="B373" t="s">
        <v>75</v>
      </c>
      <c r="C373">
        <v>0.41</v>
      </c>
      <c r="D373">
        <v>0.315</v>
      </c>
      <c r="E373">
        <v>9.5000000000000001E-2</v>
      </c>
      <c r="F373">
        <v>0.28050000000000003</v>
      </c>
      <c r="G373">
        <v>0.114</v>
      </c>
      <c r="H373">
        <v>3.4500000000000003E-2</v>
      </c>
      <c r="I373">
        <v>0.11</v>
      </c>
      <c r="J373">
        <v>7</v>
      </c>
      <c r="K373">
        <v>1</v>
      </c>
      <c r="L373" t="s">
        <v>70</v>
      </c>
      <c r="M373" t="s">
        <v>71</v>
      </c>
      <c r="N373" t="s">
        <v>45</v>
      </c>
      <c r="O373">
        <v>4</v>
      </c>
      <c r="P373" t="s">
        <v>8</v>
      </c>
      <c r="Q373">
        <v>6.1</v>
      </c>
      <c r="R373" s="1" t="str">
        <f t="shared" si="6"/>
        <v>II</v>
      </c>
    </row>
    <row r="374" spans="1:18">
      <c r="A374">
        <v>3842</v>
      </c>
      <c r="B374" t="s">
        <v>75</v>
      </c>
      <c r="C374">
        <v>0.5</v>
      </c>
      <c r="D374">
        <v>0.42</v>
      </c>
      <c r="E374">
        <v>0.125</v>
      </c>
      <c r="F374">
        <v>0.62</v>
      </c>
      <c r="G374">
        <v>0.255</v>
      </c>
      <c r="H374">
        <v>0.15</v>
      </c>
      <c r="I374">
        <v>0.20499999999999999</v>
      </c>
      <c r="J374">
        <v>11</v>
      </c>
      <c r="K374">
        <v>11</v>
      </c>
      <c r="L374" t="s">
        <v>65</v>
      </c>
      <c r="M374" t="s">
        <v>66</v>
      </c>
      <c r="N374" t="s">
        <v>45</v>
      </c>
      <c r="O374">
        <v>3</v>
      </c>
      <c r="P374" t="s">
        <v>10</v>
      </c>
      <c r="Q374">
        <v>3.6</v>
      </c>
      <c r="R374" s="1" t="str">
        <f t="shared" si="6"/>
        <v>II</v>
      </c>
    </row>
    <row r="375" spans="1:18">
      <c r="A375">
        <v>112</v>
      </c>
      <c r="B375" t="s">
        <v>75</v>
      </c>
      <c r="C375">
        <v>0.46500000000000002</v>
      </c>
      <c r="D375">
        <v>0.36</v>
      </c>
      <c r="E375">
        <v>0.105</v>
      </c>
      <c r="F375">
        <v>0.43099999999999999</v>
      </c>
      <c r="G375">
        <v>0.17199999999999999</v>
      </c>
      <c r="H375">
        <v>0.107</v>
      </c>
      <c r="I375">
        <v>0.17499999999999999</v>
      </c>
      <c r="J375">
        <v>9</v>
      </c>
      <c r="K375">
        <v>12</v>
      </c>
      <c r="L375" t="s">
        <v>58</v>
      </c>
      <c r="M375" t="s">
        <v>59</v>
      </c>
      <c r="N375" t="s">
        <v>45</v>
      </c>
      <c r="O375">
        <v>3</v>
      </c>
      <c r="P375" t="s">
        <v>10</v>
      </c>
      <c r="Q375">
        <v>3.6</v>
      </c>
      <c r="R375" s="1" t="str">
        <f t="shared" si="6"/>
        <v>II</v>
      </c>
    </row>
    <row r="376" spans="1:18">
      <c r="A376">
        <v>2250</v>
      </c>
      <c r="B376" t="s">
        <v>75</v>
      </c>
      <c r="C376">
        <v>0.58499999999999996</v>
      </c>
      <c r="D376">
        <v>0.45500000000000002</v>
      </c>
      <c r="E376">
        <v>0.16500000000000001</v>
      </c>
      <c r="F376">
        <v>0.998</v>
      </c>
      <c r="G376">
        <v>0.34499999999999997</v>
      </c>
      <c r="H376">
        <v>0.2495</v>
      </c>
      <c r="I376">
        <v>0.315</v>
      </c>
      <c r="J376">
        <v>12</v>
      </c>
      <c r="K376">
        <v>13</v>
      </c>
      <c r="L376" t="s">
        <v>43</v>
      </c>
      <c r="M376" t="s">
        <v>44</v>
      </c>
      <c r="N376" t="s">
        <v>45</v>
      </c>
      <c r="O376">
        <v>8</v>
      </c>
      <c r="P376" t="s">
        <v>13</v>
      </c>
      <c r="Q376">
        <v>12.3</v>
      </c>
      <c r="R376" s="1" t="str">
        <f t="shared" si="6"/>
        <v>II</v>
      </c>
    </row>
    <row r="377" spans="1:18">
      <c r="A377">
        <v>222</v>
      </c>
      <c r="B377" t="s">
        <v>75</v>
      </c>
      <c r="C377">
        <v>0.47</v>
      </c>
      <c r="D377">
        <v>0.35</v>
      </c>
      <c r="E377">
        <v>0.14499999999999999</v>
      </c>
      <c r="F377">
        <v>0.51749999999999996</v>
      </c>
      <c r="G377">
        <v>0.187</v>
      </c>
      <c r="H377">
        <v>0.1235</v>
      </c>
      <c r="I377">
        <v>0.18</v>
      </c>
      <c r="J377">
        <v>11</v>
      </c>
      <c r="K377">
        <v>15</v>
      </c>
      <c r="L377" t="s">
        <v>60</v>
      </c>
      <c r="M377" t="s">
        <v>61</v>
      </c>
      <c r="N377" t="s">
        <v>45</v>
      </c>
      <c r="O377">
        <v>5</v>
      </c>
      <c r="P377" t="s">
        <v>12</v>
      </c>
      <c r="Q377">
        <v>12.8</v>
      </c>
      <c r="R377" s="1" t="str">
        <f t="shared" si="6"/>
        <v>II</v>
      </c>
    </row>
    <row r="378" spans="1:18">
      <c r="A378">
        <v>2376</v>
      </c>
      <c r="B378" t="s">
        <v>75</v>
      </c>
      <c r="C378">
        <v>0.34</v>
      </c>
      <c r="D378">
        <v>0.27500000000000002</v>
      </c>
      <c r="E378">
        <v>0.09</v>
      </c>
      <c r="F378">
        <v>0.20649999999999999</v>
      </c>
      <c r="G378">
        <v>7.2499999999999995E-2</v>
      </c>
      <c r="H378">
        <v>4.2999999999999997E-2</v>
      </c>
      <c r="I378">
        <v>7.0000000000000007E-2</v>
      </c>
      <c r="J378">
        <v>10</v>
      </c>
      <c r="K378">
        <v>10</v>
      </c>
      <c r="L378" t="s">
        <v>37</v>
      </c>
      <c r="M378" t="s">
        <v>38</v>
      </c>
      <c r="N378" t="s">
        <v>39</v>
      </c>
      <c r="O378">
        <v>3</v>
      </c>
      <c r="P378" t="s">
        <v>10</v>
      </c>
      <c r="Q378">
        <v>3.6</v>
      </c>
      <c r="R378" s="1" t="str">
        <f t="shared" si="6"/>
        <v>II</v>
      </c>
    </row>
    <row r="379" spans="1:18">
      <c r="A379">
        <v>1575</v>
      </c>
      <c r="B379" t="s">
        <v>75</v>
      </c>
      <c r="C379">
        <v>0.48</v>
      </c>
      <c r="D379">
        <v>0.35499999999999998</v>
      </c>
      <c r="E379">
        <v>0.16</v>
      </c>
      <c r="F379">
        <v>0.46400000000000002</v>
      </c>
      <c r="G379">
        <v>0.221</v>
      </c>
      <c r="H379">
        <v>0.106</v>
      </c>
      <c r="I379">
        <v>0.23899999999999999</v>
      </c>
      <c r="J379">
        <v>8</v>
      </c>
      <c r="K379">
        <v>4</v>
      </c>
      <c r="L379" t="s">
        <v>40</v>
      </c>
      <c r="M379" t="s">
        <v>41</v>
      </c>
      <c r="N379" t="s">
        <v>42</v>
      </c>
      <c r="O379">
        <v>2</v>
      </c>
      <c r="P379" t="s">
        <v>5</v>
      </c>
      <c r="Q379">
        <v>18</v>
      </c>
      <c r="R379" s="1" t="str">
        <f t="shared" si="6"/>
        <v>II</v>
      </c>
    </row>
    <row r="380" spans="1:18">
      <c r="A380">
        <v>561</v>
      </c>
      <c r="B380" t="s">
        <v>75</v>
      </c>
      <c r="C380">
        <v>0.44</v>
      </c>
      <c r="D380">
        <v>0.34</v>
      </c>
      <c r="E380">
        <v>0.105</v>
      </c>
      <c r="F380">
        <v>0.36399999999999999</v>
      </c>
      <c r="G380">
        <v>0.14799999999999999</v>
      </c>
      <c r="H380">
        <v>8.0500000000000002E-2</v>
      </c>
      <c r="I380">
        <v>0.11749999999999999</v>
      </c>
      <c r="J380">
        <v>8</v>
      </c>
      <c r="K380">
        <v>14</v>
      </c>
      <c r="L380" t="s">
        <v>72</v>
      </c>
      <c r="M380" t="s">
        <v>73</v>
      </c>
      <c r="N380" t="s">
        <v>74</v>
      </c>
      <c r="O380">
        <v>7</v>
      </c>
      <c r="P380" t="s">
        <v>6</v>
      </c>
      <c r="Q380">
        <v>2.5</v>
      </c>
      <c r="R380" s="1" t="str">
        <f t="shared" si="6"/>
        <v>II</v>
      </c>
    </row>
    <row r="381" spans="1:18">
      <c r="A381">
        <v>3357</v>
      </c>
      <c r="B381" t="s">
        <v>75</v>
      </c>
      <c r="C381">
        <v>0.39</v>
      </c>
      <c r="D381">
        <v>0.3</v>
      </c>
      <c r="E381">
        <v>0.1</v>
      </c>
      <c r="F381">
        <v>0.3085</v>
      </c>
      <c r="G381">
        <v>0.13850000000000001</v>
      </c>
      <c r="H381">
        <v>7.3499999999999996E-2</v>
      </c>
      <c r="I381">
        <v>8.5000000000000006E-2</v>
      </c>
      <c r="J381">
        <v>6</v>
      </c>
      <c r="K381">
        <v>1</v>
      </c>
      <c r="L381" t="s">
        <v>70</v>
      </c>
      <c r="M381" t="s">
        <v>71</v>
      </c>
      <c r="N381" t="s">
        <v>45</v>
      </c>
      <c r="O381">
        <v>3</v>
      </c>
      <c r="P381" t="s">
        <v>10</v>
      </c>
      <c r="Q381">
        <v>3.6</v>
      </c>
      <c r="R381" s="1" t="str">
        <f t="shared" si="6"/>
        <v>II</v>
      </c>
    </row>
    <row r="382" spans="1:18">
      <c r="A382">
        <v>2513</v>
      </c>
      <c r="B382" t="s">
        <v>75</v>
      </c>
      <c r="C382">
        <v>0.46500000000000002</v>
      </c>
      <c r="D382">
        <v>0.375</v>
      </c>
      <c r="E382">
        <v>0.11</v>
      </c>
      <c r="F382">
        <v>0.5</v>
      </c>
      <c r="G382">
        <v>0.21</v>
      </c>
      <c r="H382">
        <v>0.113</v>
      </c>
      <c r="I382">
        <v>0.15049999999999999</v>
      </c>
      <c r="J382">
        <v>8</v>
      </c>
      <c r="K382">
        <v>3</v>
      </c>
      <c r="L382" t="s">
        <v>52</v>
      </c>
      <c r="M382" t="s">
        <v>53</v>
      </c>
      <c r="N382" t="s">
        <v>54</v>
      </c>
      <c r="O382">
        <v>5</v>
      </c>
      <c r="P382" t="s">
        <v>12</v>
      </c>
      <c r="Q382">
        <v>12.8</v>
      </c>
      <c r="R382" s="1" t="str">
        <f t="shared" si="6"/>
        <v>II</v>
      </c>
    </row>
    <row r="383" spans="1:18">
      <c r="A383">
        <v>221</v>
      </c>
      <c r="B383" t="s">
        <v>75</v>
      </c>
      <c r="C383">
        <v>0.44500000000000001</v>
      </c>
      <c r="D383">
        <v>0.32500000000000001</v>
      </c>
      <c r="E383">
        <v>0.125</v>
      </c>
      <c r="F383">
        <v>0.45500000000000002</v>
      </c>
      <c r="G383">
        <v>0.17849999999999999</v>
      </c>
      <c r="H383">
        <v>0.1125</v>
      </c>
      <c r="I383">
        <v>0.14000000000000001</v>
      </c>
      <c r="J383">
        <v>9</v>
      </c>
      <c r="K383">
        <v>12</v>
      </c>
      <c r="L383" t="s">
        <v>58</v>
      </c>
      <c r="M383" t="s">
        <v>59</v>
      </c>
      <c r="N383" t="s">
        <v>45</v>
      </c>
      <c r="O383">
        <v>6</v>
      </c>
      <c r="P383" t="s">
        <v>7</v>
      </c>
      <c r="Q383">
        <v>14.1</v>
      </c>
      <c r="R383" s="1" t="str">
        <f t="shared" si="6"/>
        <v>II</v>
      </c>
    </row>
    <row r="384" spans="1:18">
      <c r="A384">
        <v>219</v>
      </c>
      <c r="B384" t="s">
        <v>75</v>
      </c>
      <c r="C384">
        <v>0.47</v>
      </c>
      <c r="D384">
        <v>0.36</v>
      </c>
      <c r="E384">
        <v>0.13500000000000001</v>
      </c>
      <c r="F384">
        <v>0.501</v>
      </c>
      <c r="G384">
        <v>0.16650000000000001</v>
      </c>
      <c r="H384">
        <v>0.115</v>
      </c>
      <c r="I384">
        <v>0.16500000000000001</v>
      </c>
      <c r="J384">
        <v>10</v>
      </c>
      <c r="K384">
        <v>2</v>
      </c>
      <c r="L384" t="s">
        <v>49</v>
      </c>
      <c r="M384" t="s">
        <v>50</v>
      </c>
      <c r="N384" t="s">
        <v>51</v>
      </c>
      <c r="O384">
        <v>4</v>
      </c>
      <c r="P384" t="s">
        <v>8</v>
      </c>
      <c r="Q384">
        <v>6.1</v>
      </c>
      <c r="R384" s="1" t="str">
        <f t="shared" si="6"/>
        <v>II</v>
      </c>
    </row>
    <row r="385" spans="1:18">
      <c r="A385">
        <v>2483</v>
      </c>
      <c r="B385" t="s">
        <v>75</v>
      </c>
      <c r="C385">
        <v>0.52</v>
      </c>
      <c r="D385">
        <v>0.4</v>
      </c>
      <c r="E385">
        <v>0.16500000000000001</v>
      </c>
      <c r="F385">
        <v>0.85650000000000004</v>
      </c>
      <c r="G385">
        <v>0.27450000000000002</v>
      </c>
      <c r="H385">
        <v>0.20100000000000001</v>
      </c>
      <c r="I385">
        <v>0.21</v>
      </c>
      <c r="J385">
        <v>12</v>
      </c>
      <c r="K385">
        <v>13</v>
      </c>
      <c r="L385" t="s">
        <v>43</v>
      </c>
      <c r="M385" t="s">
        <v>44</v>
      </c>
      <c r="N385" t="s">
        <v>45</v>
      </c>
      <c r="O385">
        <v>5</v>
      </c>
      <c r="P385" t="s">
        <v>12</v>
      </c>
      <c r="Q385">
        <v>12.8</v>
      </c>
      <c r="R385" s="1" t="str">
        <f t="shared" si="6"/>
        <v>II</v>
      </c>
    </row>
    <row r="386" spans="1:18">
      <c r="A386">
        <v>2734</v>
      </c>
      <c r="B386" t="s">
        <v>75</v>
      </c>
      <c r="C386">
        <v>0.41499999999999998</v>
      </c>
      <c r="D386">
        <v>0.33500000000000002</v>
      </c>
      <c r="E386">
        <v>0.1</v>
      </c>
      <c r="F386">
        <v>0.35799999999999998</v>
      </c>
      <c r="G386">
        <v>0.16900000000000001</v>
      </c>
      <c r="H386">
        <v>6.7000000000000004E-2</v>
      </c>
      <c r="I386">
        <v>0.105</v>
      </c>
      <c r="J386">
        <v>7</v>
      </c>
      <c r="K386">
        <v>11</v>
      </c>
      <c r="L386" t="s">
        <v>65</v>
      </c>
      <c r="M386" t="s">
        <v>66</v>
      </c>
      <c r="N386" t="s">
        <v>45</v>
      </c>
      <c r="O386">
        <v>6</v>
      </c>
      <c r="P386" t="s">
        <v>7</v>
      </c>
      <c r="Q386">
        <v>14.1</v>
      </c>
      <c r="R386" s="1" t="str">
        <f t="shared" si="6"/>
        <v>II</v>
      </c>
    </row>
    <row r="387" spans="1:18">
      <c r="A387">
        <v>3477</v>
      </c>
      <c r="B387" t="s">
        <v>75</v>
      </c>
      <c r="C387">
        <v>0.4</v>
      </c>
      <c r="D387">
        <v>0.28999999999999998</v>
      </c>
      <c r="E387">
        <v>0.1</v>
      </c>
      <c r="F387">
        <v>0.25800000000000001</v>
      </c>
      <c r="G387">
        <v>0.104</v>
      </c>
      <c r="H387">
        <v>5.8999999999999997E-2</v>
      </c>
      <c r="I387">
        <v>8.1500000000000003E-2</v>
      </c>
      <c r="J387">
        <v>7</v>
      </c>
      <c r="K387">
        <v>7</v>
      </c>
      <c r="L387" t="s">
        <v>62</v>
      </c>
      <c r="M387" t="s">
        <v>63</v>
      </c>
      <c r="N387" t="s">
        <v>64</v>
      </c>
      <c r="O387">
        <v>4</v>
      </c>
      <c r="P387" t="s">
        <v>8</v>
      </c>
      <c r="Q387">
        <v>6.1</v>
      </c>
      <c r="R387" s="1" t="str">
        <f t="shared" si="6"/>
        <v>II</v>
      </c>
    </row>
    <row r="388" spans="1:18">
      <c r="A388">
        <v>2884</v>
      </c>
      <c r="B388" t="s">
        <v>75</v>
      </c>
      <c r="C388">
        <v>0.5</v>
      </c>
      <c r="D388">
        <v>0.37</v>
      </c>
      <c r="E388">
        <v>0.12</v>
      </c>
      <c r="F388">
        <v>0.54449999999999998</v>
      </c>
      <c r="G388">
        <v>0.249</v>
      </c>
      <c r="H388">
        <v>0.1065</v>
      </c>
      <c r="I388">
        <v>0.152</v>
      </c>
      <c r="J388">
        <v>8</v>
      </c>
      <c r="K388">
        <v>3</v>
      </c>
      <c r="L388" t="s">
        <v>52</v>
      </c>
      <c r="M388" t="s">
        <v>53</v>
      </c>
      <c r="N388" t="s">
        <v>54</v>
      </c>
      <c r="O388">
        <v>1</v>
      </c>
      <c r="P388" t="s">
        <v>4</v>
      </c>
      <c r="Q388">
        <v>22.1</v>
      </c>
      <c r="R388" s="1" t="str">
        <f t="shared" si="6"/>
        <v>II</v>
      </c>
    </row>
    <row r="389" spans="1:18">
      <c r="A389">
        <v>3481</v>
      </c>
      <c r="B389" t="s">
        <v>75</v>
      </c>
      <c r="C389">
        <v>0.45</v>
      </c>
      <c r="D389">
        <v>0.34</v>
      </c>
      <c r="E389">
        <v>0.105</v>
      </c>
      <c r="F389">
        <v>0.4385</v>
      </c>
      <c r="G389">
        <v>0.21</v>
      </c>
      <c r="H389">
        <v>9.2499999999999999E-2</v>
      </c>
      <c r="I389">
        <v>0.12</v>
      </c>
      <c r="J389">
        <v>8</v>
      </c>
      <c r="K389">
        <v>15</v>
      </c>
      <c r="L389" t="s">
        <v>60</v>
      </c>
      <c r="M389" t="s">
        <v>61</v>
      </c>
      <c r="N389" t="s">
        <v>45</v>
      </c>
      <c r="O389">
        <v>7</v>
      </c>
      <c r="P389" t="s">
        <v>6</v>
      </c>
      <c r="Q389">
        <v>2.5</v>
      </c>
      <c r="R389" s="1" t="str">
        <f t="shared" si="6"/>
        <v>II</v>
      </c>
    </row>
    <row r="390" spans="1:18">
      <c r="A390">
        <v>3717</v>
      </c>
      <c r="B390" t="s">
        <v>75</v>
      </c>
      <c r="C390">
        <v>0.23499999999999999</v>
      </c>
      <c r="D390">
        <v>0.13</v>
      </c>
      <c r="E390">
        <v>7.4999999999999997E-2</v>
      </c>
      <c r="F390">
        <v>0.1585</v>
      </c>
      <c r="G390">
        <v>6.8500000000000005E-2</v>
      </c>
      <c r="H390">
        <v>3.6999999999999998E-2</v>
      </c>
      <c r="I390">
        <v>4.65E-2</v>
      </c>
      <c r="J390">
        <v>5</v>
      </c>
      <c r="K390">
        <v>10</v>
      </c>
      <c r="L390" t="s">
        <v>37</v>
      </c>
      <c r="M390" t="s">
        <v>38</v>
      </c>
      <c r="N390" t="s">
        <v>39</v>
      </c>
      <c r="O390">
        <v>5</v>
      </c>
      <c r="P390" t="s">
        <v>12</v>
      </c>
      <c r="Q390">
        <v>12.8</v>
      </c>
      <c r="R390" s="1" t="str">
        <f t="shared" si="6"/>
        <v>II</v>
      </c>
    </row>
    <row r="391" spans="1:18">
      <c r="A391">
        <v>2296</v>
      </c>
      <c r="B391" t="s">
        <v>75</v>
      </c>
      <c r="C391">
        <v>0.52</v>
      </c>
      <c r="D391">
        <v>0.41499999999999998</v>
      </c>
      <c r="E391">
        <v>0.14499999999999999</v>
      </c>
      <c r="F391">
        <v>0.80449999999999999</v>
      </c>
      <c r="G391">
        <v>0.33250000000000002</v>
      </c>
      <c r="H391">
        <v>0.17249999999999999</v>
      </c>
      <c r="I391">
        <v>0.28499999999999998</v>
      </c>
      <c r="J391">
        <v>10</v>
      </c>
      <c r="K391">
        <v>12</v>
      </c>
      <c r="L391" t="s">
        <v>58</v>
      </c>
      <c r="M391" t="s">
        <v>59</v>
      </c>
      <c r="N391" t="s">
        <v>45</v>
      </c>
      <c r="O391">
        <v>1</v>
      </c>
      <c r="P391" t="s">
        <v>4</v>
      </c>
      <c r="Q391">
        <v>22.1</v>
      </c>
      <c r="R391" s="1" t="str">
        <f t="shared" si="6"/>
        <v>II</v>
      </c>
    </row>
    <row r="392" spans="1:18">
      <c r="A392">
        <v>2289</v>
      </c>
      <c r="B392" t="s">
        <v>75</v>
      </c>
      <c r="C392">
        <v>0.33</v>
      </c>
      <c r="D392">
        <v>0.26500000000000001</v>
      </c>
      <c r="E392">
        <v>0.09</v>
      </c>
      <c r="F392">
        <v>0.18</v>
      </c>
      <c r="G392">
        <v>6.8000000000000005E-2</v>
      </c>
      <c r="H392">
        <v>3.5999999999999997E-2</v>
      </c>
      <c r="I392">
        <v>0.06</v>
      </c>
      <c r="J392">
        <v>6</v>
      </c>
      <c r="K392">
        <v>10</v>
      </c>
      <c r="L392" t="s">
        <v>37</v>
      </c>
      <c r="M392" t="s">
        <v>38</v>
      </c>
      <c r="N392" t="s">
        <v>39</v>
      </c>
      <c r="O392">
        <v>9</v>
      </c>
      <c r="P392" t="s">
        <v>9</v>
      </c>
      <c r="Q392">
        <v>1.9</v>
      </c>
      <c r="R392" s="1" t="str">
        <f t="shared" si="6"/>
        <v>II</v>
      </c>
    </row>
    <row r="393" spans="1:18">
      <c r="A393">
        <v>3268</v>
      </c>
      <c r="B393" t="s">
        <v>75</v>
      </c>
      <c r="C393">
        <v>0.4</v>
      </c>
      <c r="D393">
        <v>0.33500000000000002</v>
      </c>
      <c r="E393">
        <v>0.115</v>
      </c>
      <c r="F393">
        <v>0.4335</v>
      </c>
      <c r="G393">
        <v>0.21049999999999999</v>
      </c>
      <c r="H393">
        <v>0.1205</v>
      </c>
      <c r="I393">
        <v>0.12</v>
      </c>
      <c r="J393">
        <v>10</v>
      </c>
      <c r="K393">
        <v>4</v>
      </c>
      <c r="L393" t="s">
        <v>40</v>
      </c>
      <c r="M393" t="s">
        <v>41</v>
      </c>
      <c r="N393" t="s">
        <v>42</v>
      </c>
      <c r="O393">
        <v>4</v>
      </c>
      <c r="P393" t="s">
        <v>8</v>
      </c>
      <c r="Q393">
        <v>6.1</v>
      </c>
      <c r="R393" s="1" t="str">
        <f t="shared" si="6"/>
        <v>II</v>
      </c>
    </row>
    <row r="394" spans="1:18">
      <c r="A394">
        <v>1546</v>
      </c>
      <c r="B394" t="s">
        <v>75</v>
      </c>
      <c r="C394">
        <v>0.375</v>
      </c>
      <c r="D394">
        <v>0.28000000000000003</v>
      </c>
      <c r="E394">
        <v>0.08</v>
      </c>
      <c r="F394">
        <v>0.2165</v>
      </c>
      <c r="G394">
        <v>9.35E-2</v>
      </c>
      <c r="H394">
        <v>9.2499999999999999E-2</v>
      </c>
      <c r="I394">
        <v>7.0000000000000007E-2</v>
      </c>
      <c r="J394">
        <v>7</v>
      </c>
      <c r="K394">
        <v>7</v>
      </c>
      <c r="L394" t="s">
        <v>62</v>
      </c>
      <c r="M394" t="s">
        <v>63</v>
      </c>
      <c r="N394" t="s">
        <v>64</v>
      </c>
      <c r="O394">
        <v>10</v>
      </c>
      <c r="P394" t="s">
        <v>11</v>
      </c>
      <c r="Q394">
        <v>24.1</v>
      </c>
      <c r="R394" s="1" t="str">
        <f t="shared" si="6"/>
        <v>II</v>
      </c>
    </row>
    <row r="395" spans="1:18">
      <c r="A395">
        <v>3837</v>
      </c>
      <c r="B395" t="s">
        <v>75</v>
      </c>
      <c r="C395">
        <v>0.41</v>
      </c>
      <c r="D395">
        <v>0.32500000000000001</v>
      </c>
      <c r="E395">
        <v>0.1</v>
      </c>
      <c r="F395">
        <v>0.35549999999999998</v>
      </c>
      <c r="G395">
        <v>0.14599999999999999</v>
      </c>
      <c r="H395">
        <v>7.1999999999999995E-2</v>
      </c>
      <c r="I395">
        <v>0.105</v>
      </c>
      <c r="J395">
        <v>9</v>
      </c>
      <c r="K395">
        <v>15</v>
      </c>
      <c r="L395" t="s">
        <v>60</v>
      </c>
      <c r="M395" t="s">
        <v>61</v>
      </c>
      <c r="N395" t="s">
        <v>45</v>
      </c>
      <c r="O395">
        <v>8</v>
      </c>
      <c r="P395" t="s">
        <v>13</v>
      </c>
      <c r="Q395">
        <v>12.3</v>
      </c>
      <c r="R395" s="1" t="str">
        <f t="shared" ref="R395:R458" si="7">IF(OR(AND(J395 &gt; 15, B395 = "Infant"), AND(D395 = "Male", C395 &gt; 0.75),
    OR(I395 &gt; 0.8, G395 &gt; 0.5), G395 &gt; 1.2),
    "I",
    IF(OR(AND(I395 &lt; 0.4, G395 &lt; 0.4), AND(J395 &gt; 15, D395 = "Male"), AND(J395 &gt; 18, D395 = "Female"), C395 &lt; 0.36),
    "II",
    "III"))</f>
        <v>II</v>
      </c>
    </row>
    <row r="396" spans="1:18">
      <c r="A396">
        <v>2436</v>
      </c>
      <c r="B396" t="s">
        <v>75</v>
      </c>
      <c r="C396">
        <v>0.46500000000000002</v>
      </c>
      <c r="D396">
        <v>0.38</v>
      </c>
      <c r="E396">
        <v>0.13500000000000001</v>
      </c>
      <c r="F396">
        <v>0.57899999999999996</v>
      </c>
      <c r="G396">
        <v>0.20799999999999999</v>
      </c>
      <c r="H396">
        <v>0.1095</v>
      </c>
      <c r="I396">
        <v>0.22</v>
      </c>
      <c r="J396">
        <v>14</v>
      </c>
      <c r="K396">
        <v>1</v>
      </c>
      <c r="L396" t="s">
        <v>70</v>
      </c>
      <c r="M396" t="s">
        <v>71</v>
      </c>
      <c r="N396" t="s">
        <v>45</v>
      </c>
      <c r="O396">
        <v>7</v>
      </c>
      <c r="P396" t="s">
        <v>6</v>
      </c>
      <c r="Q396">
        <v>2.5</v>
      </c>
      <c r="R396" s="1" t="str">
        <f t="shared" si="7"/>
        <v>II</v>
      </c>
    </row>
    <row r="397" spans="1:18">
      <c r="A397">
        <v>1843</v>
      </c>
      <c r="B397" t="s">
        <v>75</v>
      </c>
      <c r="C397">
        <v>0.435</v>
      </c>
      <c r="D397">
        <v>0.33</v>
      </c>
      <c r="E397">
        <v>0.11</v>
      </c>
      <c r="F397">
        <v>0.38</v>
      </c>
      <c r="G397">
        <v>0.1515</v>
      </c>
      <c r="H397">
        <v>9.4500000000000001E-2</v>
      </c>
      <c r="I397">
        <v>0.11</v>
      </c>
      <c r="J397">
        <v>7</v>
      </c>
      <c r="K397">
        <v>12</v>
      </c>
      <c r="L397" t="s">
        <v>58</v>
      </c>
      <c r="M397" t="s">
        <v>59</v>
      </c>
      <c r="N397" t="s">
        <v>45</v>
      </c>
      <c r="O397">
        <v>7</v>
      </c>
      <c r="P397" t="s">
        <v>6</v>
      </c>
      <c r="Q397">
        <v>2.5</v>
      </c>
      <c r="R397" s="1" t="str">
        <f t="shared" si="7"/>
        <v>II</v>
      </c>
    </row>
    <row r="398" spans="1:18">
      <c r="A398">
        <v>2006</v>
      </c>
      <c r="B398" t="s">
        <v>75</v>
      </c>
      <c r="C398">
        <v>0.39500000000000002</v>
      </c>
      <c r="D398">
        <v>0.28999999999999998</v>
      </c>
      <c r="E398">
        <v>9.5000000000000001E-2</v>
      </c>
      <c r="F398">
        <v>0.3</v>
      </c>
      <c r="G398">
        <v>0.158</v>
      </c>
      <c r="H398">
        <v>6.8000000000000005E-2</v>
      </c>
      <c r="I398">
        <v>7.8E-2</v>
      </c>
      <c r="J398">
        <v>7</v>
      </c>
      <c r="K398">
        <v>10</v>
      </c>
      <c r="L398" t="s">
        <v>37</v>
      </c>
      <c r="M398" t="s">
        <v>38</v>
      </c>
      <c r="N398" t="s">
        <v>39</v>
      </c>
      <c r="O398">
        <v>3</v>
      </c>
      <c r="P398" t="s">
        <v>10</v>
      </c>
      <c r="Q398">
        <v>3.6</v>
      </c>
      <c r="R398" s="1" t="str">
        <f t="shared" si="7"/>
        <v>II</v>
      </c>
    </row>
    <row r="399" spans="1:18">
      <c r="A399">
        <v>742</v>
      </c>
      <c r="B399" t="s">
        <v>75</v>
      </c>
      <c r="C399">
        <v>0.36</v>
      </c>
      <c r="D399">
        <v>0.26500000000000001</v>
      </c>
      <c r="E399">
        <v>0.09</v>
      </c>
      <c r="F399">
        <v>0.20649999999999999</v>
      </c>
      <c r="G399">
        <v>7.8E-2</v>
      </c>
      <c r="H399">
        <v>5.7000000000000002E-2</v>
      </c>
      <c r="I399">
        <v>0.06</v>
      </c>
      <c r="J399">
        <v>8</v>
      </c>
      <c r="K399">
        <v>7</v>
      </c>
      <c r="L399" t="s">
        <v>62</v>
      </c>
      <c r="M399" t="s">
        <v>63</v>
      </c>
      <c r="N399" t="s">
        <v>64</v>
      </c>
      <c r="O399">
        <v>5</v>
      </c>
      <c r="P399" t="s">
        <v>12</v>
      </c>
      <c r="Q399">
        <v>12.8</v>
      </c>
      <c r="R399" s="1" t="str">
        <f t="shared" si="7"/>
        <v>II</v>
      </c>
    </row>
    <row r="400" spans="1:18">
      <c r="A400">
        <v>1989</v>
      </c>
      <c r="B400" t="s">
        <v>75</v>
      </c>
      <c r="C400">
        <v>0.21</v>
      </c>
      <c r="D400">
        <v>0.15</v>
      </c>
      <c r="E400">
        <v>5.5E-2</v>
      </c>
      <c r="F400">
        <v>4.65E-2</v>
      </c>
      <c r="G400">
        <v>1.7000000000000001E-2</v>
      </c>
      <c r="H400">
        <v>1.2E-2</v>
      </c>
      <c r="I400">
        <v>1.4999999999999999E-2</v>
      </c>
      <c r="J400">
        <v>5</v>
      </c>
      <c r="K400">
        <v>13</v>
      </c>
      <c r="L400" t="s">
        <v>43</v>
      </c>
      <c r="M400" t="s">
        <v>44</v>
      </c>
      <c r="N400" t="s">
        <v>45</v>
      </c>
      <c r="O400">
        <v>8</v>
      </c>
      <c r="P400" t="s">
        <v>13</v>
      </c>
      <c r="Q400">
        <v>12.3</v>
      </c>
      <c r="R400" s="1" t="str">
        <f t="shared" si="7"/>
        <v>II</v>
      </c>
    </row>
    <row r="401" spans="1:18">
      <c r="A401">
        <v>2900</v>
      </c>
      <c r="B401" t="s">
        <v>75</v>
      </c>
      <c r="C401">
        <v>0.55000000000000004</v>
      </c>
      <c r="D401">
        <v>0.42499999999999999</v>
      </c>
      <c r="E401">
        <v>0.13</v>
      </c>
      <c r="F401">
        <v>0.66400000000000003</v>
      </c>
      <c r="G401">
        <v>0.26950000000000002</v>
      </c>
      <c r="H401">
        <v>0.16300000000000001</v>
      </c>
      <c r="I401">
        <v>0.21</v>
      </c>
      <c r="J401">
        <v>8</v>
      </c>
      <c r="K401">
        <v>14</v>
      </c>
      <c r="L401" t="s">
        <v>72</v>
      </c>
      <c r="M401" t="s">
        <v>73</v>
      </c>
      <c r="N401" t="s">
        <v>74</v>
      </c>
      <c r="O401">
        <v>6</v>
      </c>
      <c r="P401" t="s">
        <v>7</v>
      </c>
      <c r="Q401">
        <v>14.1</v>
      </c>
      <c r="R401" s="1" t="str">
        <f t="shared" si="7"/>
        <v>II</v>
      </c>
    </row>
    <row r="402" spans="1:18">
      <c r="A402">
        <v>1882</v>
      </c>
      <c r="B402" t="s">
        <v>75</v>
      </c>
      <c r="C402">
        <v>0.55000000000000004</v>
      </c>
      <c r="D402">
        <v>0.45</v>
      </c>
      <c r="E402">
        <v>0.13</v>
      </c>
      <c r="F402">
        <v>0.80400000000000005</v>
      </c>
      <c r="G402">
        <v>0.33750000000000002</v>
      </c>
      <c r="H402">
        <v>0.14050000000000001</v>
      </c>
      <c r="I402">
        <v>0.23</v>
      </c>
      <c r="J402">
        <v>6</v>
      </c>
      <c r="K402">
        <v>15</v>
      </c>
      <c r="L402" t="s">
        <v>60</v>
      </c>
      <c r="M402" t="s">
        <v>61</v>
      </c>
      <c r="N402" t="s">
        <v>45</v>
      </c>
      <c r="O402">
        <v>9</v>
      </c>
      <c r="P402" t="s">
        <v>9</v>
      </c>
      <c r="Q402">
        <v>1.9</v>
      </c>
      <c r="R402" s="1" t="str">
        <f t="shared" si="7"/>
        <v>II</v>
      </c>
    </row>
    <row r="403" spans="1:18">
      <c r="A403">
        <v>3474</v>
      </c>
      <c r="B403" t="s">
        <v>75</v>
      </c>
      <c r="C403">
        <v>0.21</v>
      </c>
      <c r="D403">
        <v>0.15</v>
      </c>
      <c r="E403">
        <v>5.5E-2</v>
      </c>
      <c r="F403">
        <v>4.5499999999999999E-2</v>
      </c>
      <c r="G403">
        <v>0.02</v>
      </c>
      <c r="H403">
        <v>6.4999999999999997E-3</v>
      </c>
      <c r="I403">
        <v>1.2999999999999999E-2</v>
      </c>
      <c r="J403">
        <v>4</v>
      </c>
      <c r="K403">
        <v>4</v>
      </c>
      <c r="L403" t="s">
        <v>40</v>
      </c>
      <c r="M403" t="s">
        <v>41</v>
      </c>
      <c r="N403" t="s">
        <v>42</v>
      </c>
      <c r="O403">
        <v>10</v>
      </c>
      <c r="P403" t="s">
        <v>11</v>
      </c>
      <c r="Q403">
        <v>24.1</v>
      </c>
      <c r="R403" s="1" t="str">
        <f t="shared" si="7"/>
        <v>II</v>
      </c>
    </row>
    <row r="404" spans="1:18">
      <c r="A404">
        <v>1259</v>
      </c>
      <c r="B404" t="s">
        <v>75</v>
      </c>
      <c r="C404">
        <v>0.43</v>
      </c>
      <c r="D404">
        <v>0.315</v>
      </c>
      <c r="E404">
        <v>9.5000000000000001E-2</v>
      </c>
      <c r="F404">
        <v>0.378</v>
      </c>
      <c r="G404">
        <v>0.17499999999999999</v>
      </c>
      <c r="H404">
        <v>0.08</v>
      </c>
      <c r="I404">
        <v>0.1045</v>
      </c>
      <c r="J404">
        <v>8</v>
      </c>
      <c r="K404">
        <v>15</v>
      </c>
      <c r="L404" t="s">
        <v>60</v>
      </c>
      <c r="M404" t="s">
        <v>61</v>
      </c>
      <c r="N404" t="s">
        <v>45</v>
      </c>
      <c r="O404">
        <v>8</v>
      </c>
      <c r="P404" t="s">
        <v>13</v>
      </c>
      <c r="Q404">
        <v>12.3</v>
      </c>
      <c r="R404" s="1" t="str">
        <f t="shared" si="7"/>
        <v>II</v>
      </c>
    </row>
    <row r="405" spans="1:18">
      <c r="A405">
        <v>1848</v>
      </c>
      <c r="B405" t="s">
        <v>75</v>
      </c>
      <c r="C405">
        <v>0.47</v>
      </c>
      <c r="D405">
        <v>0.375</v>
      </c>
      <c r="E405">
        <v>0.12</v>
      </c>
      <c r="F405">
        <v>0.48699999999999999</v>
      </c>
      <c r="G405">
        <v>0.19600000000000001</v>
      </c>
      <c r="H405">
        <v>9.9000000000000005E-2</v>
      </c>
      <c r="I405">
        <v>0.13500000000000001</v>
      </c>
      <c r="J405">
        <v>8</v>
      </c>
      <c r="K405">
        <v>1</v>
      </c>
      <c r="L405" t="s">
        <v>70</v>
      </c>
      <c r="M405" t="s">
        <v>71</v>
      </c>
      <c r="N405" t="s">
        <v>45</v>
      </c>
      <c r="O405">
        <v>9</v>
      </c>
      <c r="P405" t="s">
        <v>9</v>
      </c>
      <c r="Q405">
        <v>1.9</v>
      </c>
      <c r="R405" s="1" t="str">
        <f t="shared" si="7"/>
        <v>II</v>
      </c>
    </row>
    <row r="406" spans="1:18">
      <c r="A406">
        <v>832</v>
      </c>
      <c r="B406" t="s">
        <v>75</v>
      </c>
      <c r="C406">
        <v>0.42499999999999999</v>
      </c>
      <c r="D406">
        <v>0.32500000000000001</v>
      </c>
      <c r="E406">
        <v>0.1</v>
      </c>
      <c r="F406">
        <v>0.39800000000000002</v>
      </c>
      <c r="G406">
        <v>0.11849999999999999</v>
      </c>
      <c r="H406">
        <v>6.4500000000000002E-2</v>
      </c>
      <c r="I406">
        <v>9.4500000000000001E-2</v>
      </c>
      <c r="J406">
        <v>6</v>
      </c>
      <c r="K406">
        <v>4</v>
      </c>
      <c r="L406" t="s">
        <v>40</v>
      </c>
      <c r="M406" t="s">
        <v>41</v>
      </c>
      <c r="N406" t="s">
        <v>42</v>
      </c>
      <c r="O406">
        <v>4</v>
      </c>
      <c r="P406" t="s">
        <v>8</v>
      </c>
      <c r="Q406">
        <v>6.1</v>
      </c>
      <c r="R406" s="1" t="str">
        <f t="shared" si="7"/>
        <v>II</v>
      </c>
    </row>
    <row r="407" spans="1:18">
      <c r="A407">
        <v>518</v>
      </c>
      <c r="B407" t="s">
        <v>75</v>
      </c>
      <c r="C407">
        <v>0.28000000000000003</v>
      </c>
      <c r="D407">
        <v>0.2</v>
      </c>
      <c r="E407">
        <v>0.08</v>
      </c>
      <c r="F407">
        <v>9.1499999999999998E-2</v>
      </c>
      <c r="G407">
        <v>3.3000000000000002E-2</v>
      </c>
      <c r="H407">
        <v>2.1499999999999998E-2</v>
      </c>
      <c r="I407">
        <v>0.03</v>
      </c>
      <c r="J407">
        <v>5</v>
      </c>
      <c r="K407">
        <v>12</v>
      </c>
      <c r="L407" t="s">
        <v>58</v>
      </c>
      <c r="M407" t="s">
        <v>59</v>
      </c>
      <c r="N407" t="s">
        <v>45</v>
      </c>
      <c r="O407">
        <v>7</v>
      </c>
      <c r="P407" t="s">
        <v>6</v>
      </c>
      <c r="Q407">
        <v>2.5</v>
      </c>
      <c r="R407" s="1" t="str">
        <f t="shared" si="7"/>
        <v>II</v>
      </c>
    </row>
    <row r="408" spans="1:18">
      <c r="A408">
        <v>202</v>
      </c>
      <c r="B408" t="s">
        <v>75</v>
      </c>
      <c r="C408">
        <v>0.5</v>
      </c>
      <c r="D408">
        <v>0.4</v>
      </c>
      <c r="E408">
        <v>0.16500000000000001</v>
      </c>
      <c r="F408">
        <v>0.82499999999999996</v>
      </c>
      <c r="G408">
        <v>0.254</v>
      </c>
      <c r="H408">
        <v>0.20499999999999999</v>
      </c>
      <c r="I408">
        <v>0.28499999999999998</v>
      </c>
      <c r="J408">
        <v>13</v>
      </c>
      <c r="K408">
        <v>10</v>
      </c>
      <c r="L408" t="s">
        <v>37</v>
      </c>
      <c r="M408" t="s">
        <v>38</v>
      </c>
      <c r="N408" t="s">
        <v>39</v>
      </c>
      <c r="O408">
        <v>6</v>
      </c>
      <c r="P408" t="s">
        <v>7</v>
      </c>
      <c r="Q408">
        <v>14.1</v>
      </c>
      <c r="R408" s="1" t="str">
        <f t="shared" si="7"/>
        <v>II</v>
      </c>
    </row>
    <row r="409" spans="1:18">
      <c r="A409">
        <v>214</v>
      </c>
      <c r="B409" t="s">
        <v>75</v>
      </c>
      <c r="C409">
        <v>0.5</v>
      </c>
      <c r="D409">
        <v>0.40500000000000003</v>
      </c>
      <c r="E409">
        <v>0.14000000000000001</v>
      </c>
      <c r="F409">
        <v>0.61550000000000005</v>
      </c>
      <c r="G409">
        <v>0.24099999999999999</v>
      </c>
      <c r="H409">
        <v>0.13550000000000001</v>
      </c>
      <c r="I409">
        <v>0.20499999999999999</v>
      </c>
      <c r="J409">
        <v>9</v>
      </c>
      <c r="K409">
        <v>8</v>
      </c>
      <c r="L409" t="s">
        <v>55</v>
      </c>
      <c r="M409" t="s">
        <v>56</v>
      </c>
      <c r="N409" t="s">
        <v>57</v>
      </c>
      <c r="O409">
        <v>4</v>
      </c>
      <c r="P409" t="s">
        <v>8</v>
      </c>
      <c r="Q409">
        <v>6.1</v>
      </c>
      <c r="R409" s="1" t="str">
        <f t="shared" si="7"/>
        <v>II</v>
      </c>
    </row>
    <row r="410" spans="1:18">
      <c r="A410">
        <v>791</v>
      </c>
      <c r="B410" t="s">
        <v>75</v>
      </c>
      <c r="C410">
        <v>0.56999999999999995</v>
      </c>
      <c r="D410">
        <v>0.46500000000000002</v>
      </c>
      <c r="E410">
        <v>0.16</v>
      </c>
      <c r="F410">
        <v>0.89349999999999996</v>
      </c>
      <c r="G410">
        <v>0.3145</v>
      </c>
      <c r="H410">
        <v>0.25750000000000001</v>
      </c>
      <c r="I410">
        <v>0.26300000000000001</v>
      </c>
      <c r="J410">
        <v>10</v>
      </c>
      <c r="K410">
        <v>14</v>
      </c>
      <c r="L410" t="s">
        <v>72</v>
      </c>
      <c r="M410" t="s">
        <v>73</v>
      </c>
      <c r="N410" t="s">
        <v>74</v>
      </c>
      <c r="O410">
        <v>10</v>
      </c>
      <c r="P410" t="s">
        <v>11</v>
      </c>
      <c r="Q410">
        <v>24.1</v>
      </c>
      <c r="R410" s="1" t="str">
        <f t="shared" si="7"/>
        <v>II</v>
      </c>
    </row>
    <row r="411" spans="1:18">
      <c r="A411">
        <v>4167</v>
      </c>
      <c r="B411" t="s">
        <v>75</v>
      </c>
      <c r="C411">
        <v>0.47499999999999998</v>
      </c>
      <c r="D411">
        <v>0.36499999999999999</v>
      </c>
      <c r="E411">
        <v>0.115</v>
      </c>
      <c r="F411">
        <v>0.499</v>
      </c>
      <c r="G411">
        <v>0.23200000000000001</v>
      </c>
      <c r="H411">
        <v>8.8499999999999995E-2</v>
      </c>
      <c r="I411">
        <v>0.156</v>
      </c>
      <c r="J411">
        <v>10</v>
      </c>
      <c r="K411">
        <v>1</v>
      </c>
      <c r="L411" t="s">
        <v>70</v>
      </c>
      <c r="M411" t="s">
        <v>71</v>
      </c>
      <c r="N411" t="s">
        <v>45</v>
      </c>
      <c r="O411">
        <v>5</v>
      </c>
      <c r="P411" t="s">
        <v>12</v>
      </c>
      <c r="Q411">
        <v>12.8</v>
      </c>
      <c r="R411" s="1" t="str">
        <f t="shared" si="7"/>
        <v>II</v>
      </c>
    </row>
    <row r="412" spans="1:18">
      <c r="A412">
        <v>1437</v>
      </c>
      <c r="B412" t="s">
        <v>75</v>
      </c>
      <c r="C412">
        <v>0.39500000000000002</v>
      </c>
      <c r="D412">
        <v>0.29499999999999998</v>
      </c>
      <c r="E412">
        <v>0.09</v>
      </c>
      <c r="F412">
        <v>0.30249999999999999</v>
      </c>
      <c r="G412">
        <v>0.14299999999999999</v>
      </c>
      <c r="H412">
        <v>6.6500000000000004E-2</v>
      </c>
      <c r="I412">
        <v>7.6499999999999999E-2</v>
      </c>
      <c r="J412">
        <v>5</v>
      </c>
      <c r="K412">
        <v>10</v>
      </c>
      <c r="L412" t="s">
        <v>37</v>
      </c>
      <c r="M412" t="s">
        <v>38</v>
      </c>
      <c r="N412" t="s">
        <v>39</v>
      </c>
      <c r="O412">
        <v>4</v>
      </c>
      <c r="P412" t="s">
        <v>8</v>
      </c>
      <c r="Q412">
        <v>6.1</v>
      </c>
      <c r="R412" s="1" t="str">
        <f t="shared" si="7"/>
        <v>II</v>
      </c>
    </row>
    <row r="413" spans="1:18">
      <c r="A413">
        <v>3214</v>
      </c>
      <c r="B413" t="s">
        <v>75</v>
      </c>
      <c r="C413">
        <v>0.55500000000000005</v>
      </c>
      <c r="D413">
        <v>0.42</v>
      </c>
      <c r="E413">
        <v>0.14000000000000001</v>
      </c>
      <c r="F413">
        <v>0.86799999999999999</v>
      </c>
      <c r="G413">
        <v>0.33</v>
      </c>
      <c r="H413">
        <v>0.24299999999999999</v>
      </c>
      <c r="I413">
        <v>0.21</v>
      </c>
      <c r="J413">
        <v>13</v>
      </c>
      <c r="K413">
        <v>8</v>
      </c>
      <c r="L413" t="s">
        <v>55</v>
      </c>
      <c r="M413" t="s">
        <v>56</v>
      </c>
      <c r="N413" t="s">
        <v>57</v>
      </c>
      <c r="O413">
        <v>5</v>
      </c>
      <c r="P413" t="s">
        <v>12</v>
      </c>
      <c r="Q413">
        <v>12.8</v>
      </c>
      <c r="R413" s="1" t="str">
        <f t="shared" si="7"/>
        <v>II</v>
      </c>
    </row>
    <row r="414" spans="1:18">
      <c r="A414">
        <v>1600</v>
      </c>
      <c r="B414" t="s">
        <v>75</v>
      </c>
      <c r="C414">
        <v>0.53</v>
      </c>
      <c r="D414">
        <v>0.42</v>
      </c>
      <c r="E414">
        <v>0.13</v>
      </c>
      <c r="F414">
        <v>0.83650000000000002</v>
      </c>
      <c r="G414">
        <v>0.3745</v>
      </c>
      <c r="H414">
        <v>0.16700000000000001</v>
      </c>
      <c r="I414">
        <v>0.249</v>
      </c>
      <c r="J414">
        <v>11</v>
      </c>
      <c r="K414">
        <v>8</v>
      </c>
      <c r="L414" t="s">
        <v>55</v>
      </c>
      <c r="M414" t="s">
        <v>56</v>
      </c>
      <c r="N414" t="s">
        <v>57</v>
      </c>
      <c r="O414">
        <v>2</v>
      </c>
      <c r="P414" t="s">
        <v>5</v>
      </c>
      <c r="Q414">
        <v>18</v>
      </c>
      <c r="R414" s="1" t="str">
        <f t="shared" si="7"/>
        <v>II</v>
      </c>
    </row>
    <row r="415" spans="1:18">
      <c r="A415">
        <v>2189</v>
      </c>
      <c r="B415" t="s">
        <v>75</v>
      </c>
      <c r="C415">
        <v>0.47</v>
      </c>
      <c r="D415">
        <v>0.37</v>
      </c>
      <c r="E415">
        <v>0.13500000000000001</v>
      </c>
      <c r="F415">
        <v>0.54700000000000004</v>
      </c>
      <c r="G415">
        <v>0.222</v>
      </c>
      <c r="H415">
        <v>0.13250000000000001</v>
      </c>
      <c r="I415">
        <v>0.17</v>
      </c>
      <c r="J415">
        <v>12</v>
      </c>
      <c r="K415">
        <v>13</v>
      </c>
      <c r="L415" t="s">
        <v>43</v>
      </c>
      <c r="M415" t="s">
        <v>44</v>
      </c>
      <c r="N415" t="s">
        <v>45</v>
      </c>
      <c r="O415">
        <v>4</v>
      </c>
      <c r="P415" t="s">
        <v>8</v>
      </c>
      <c r="Q415">
        <v>6.1</v>
      </c>
      <c r="R415" s="1" t="str">
        <f t="shared" si="7"/>
        <v>II</v>
      </c>
    </row>
    <row r="416" spans="1:18">
      <c r="A416">
        <v>625</v>
      </c>
      <c r="B416" t="s">
        <v>75</v>
      </c>
      <c r="C416">
        <v>0.46500000000000002</v>
      </c>
      <c r="D416">
        <v>0.36</v>
      </c>
      <c r="E416">
        <v>0.105</v>
      </c>
      <c r="F416">
        <v>0.498</v>
      </c>
      <c r="G416">
        <v>0.214</v>
      </c>
      <c r="H416">
        <v>0.11600000000000001</v>
      </c>
      <c r="I416">
        <v>0.14000000000000001</v>
      </c>
      <c r="J416">
        <v>15</v>
      </c>
      <c r="K416">
        <v>15</v>
      </c>
      <c r="L416" t="s">
        <v>60</v>
      </c>
      <c r="M416" t="s">
        <v>61</v>
      </c>
      <c r="N416" t="s">
        <v>45</v>
      </c>
      <c r="O416">
        <v>3</v>
      </c>
      <c r="P416" t="s">
        <v>10</v>
      </c>
      <c r="Q416">
        <v>3.6</v>
      </c>
      <c r="R416" s="1" t="str">
        <f t="shared" si="7"/>
        <v>II</v>
      </c>
    </row>
    <row r="417" spans="1:18">
      <c r="A417">
        <v>2903</v>
      </c>
      <c r="B417" t="s">
        <v>75</v>
      </c>
      <c r="C417">
        <v>0.56000000000000005</v>
      </c>
      <c r="D417">
        <v>0.435</v>
      </c>
      <c r="E417">
        <v>0.13</v>
      </c>
      <c r="F417">
        <v>0.77700000000000002</v>
      </c>
      <c r="G417">
        <v>0.35399999999999998</v>
      </c>
      <c r="H417">
        <v>0.17299999999999999</v>
      </c>
      <c r="I417">
        <v>0.222</v>
      </c>
      <c r="J417">
        <v>9</v>
      </c>
      <c r="K417">
        <v>9</v>
      </c>
      <c r="L417" t="s">
        <v>34</v>
      </c>
      <c r="M417" t="s">
        <v>35</v>
      </c>
      <c r="N417" t="s">
        <v>36</v>
      </c>
      <c r="O417">
        <v>2</v>
      </c>
      <c r="P417" t="s">
        <v>5</v>
      </c>
      <c r="Q417">
        <v>18</v>
      </c>
      <c r="R417" s="1" t="str">
        <f t="shared" si="7"/>
        <v>II</v>
      </c>
    </row>
    <row r="418" spans="1:18">
      <c r="A418">
        <v>4029</v>
      </c>
      <c r="B418" t="s">
        <v>75</v>
      </c>
      <c r="C418">
        <v>0.42</v>
      </c>
      <c r="D418">
        <v>0.31</v>
      </c>
      <c r="E418">
        <v>0.1</v>
      </c>
      <c r="F418">
        <v>0.28050000000000003</v>
      </c>
      <c r="G418">
        <v>0.1125</v>
      </c>
      <c r="H418">
        <v>6.1499999999999999E-2</v>
      </c>
      <c r="I418">
        <v>9.2499999999999999E-2</v>
      </c>
      <c r="J418">
        <v>8</v>
      </c>
      <c r="K418">
        <v>6</v>
      </c>
      <c r="L418" t="s">
        <v>46</v>
      </c>
      <c r="M418" t="s">
        <v>47</v>
      </c>
      <c r="N418" t="s">
        <v>48</v>
      </c>
      <c r="O418">
        <v>7</v>
      </c>
      <c r="P418" t="s">
        <v>6</v>
      </c>
      <c r="Q418">
        <v>2.5</v>
      </c>
      <c r="R418" s="1" t="str">
        <f t="shared" si="7"/>
        <v>II</v>
      </c>
    </row>
    <row r="419" spans="1:18">
      <c r="A419">
        <v>1056</v>
      </c>
      <c r="B419" t="s">
        <v>75</v>
      </c>
      <c r="C419">
        <v>0.19500000000000001</v>
      </c>
      <c r="D419">
        <v>0.13500000000000001</v>
      </c>
      <c r="E419">
        <v>0.04</v>
      </c>
      <c r="F419">
        <v>3.2500000000000001E-2</v>
      </c>
      <c r="G419">
        <v>1.35E-2</v>
      </c>
      <c r="H419">
        <v>5.0000000000000001E-3</v>
      </c>
      <c r="I419">
        <v>9.4999999999999998E-3</v>
      </c>
      <c r="J419">
        <v>4</v>
      </c>
      <c r="K419">
        <v>15</v>
      </c>
      <c r="L419" t="s">
        <v>60</v>
      </c>
      <c r="M419" t="s">
        <v>61</v>
      </c>
      <c r="N419" t="s">
        <v>45</v>
      </c>
      <c r="O419">
        <v>6</v>
      </c>
      <c r="P419" t="s">
        <v>7</v>
      </c>
      <c r="Q419">
        <v>14.1</v>
      </c>
      <c r="R419" s="1" t="str">
        <f t="shared" si="7"/>
        <v>II</v>
      </c>
    </row>
    <row r="420" spans="1:18">
      <c r="A420">
        <v>3187</v>
      </c>
      <c r="B420" t="s">
        <v>75</v>
      </c>
      <c r="C420">
        <v>0.47</v>
      </c>
      <c r="D420">
        <v>0.36</v>
      </c>
      <c r="E420">
        <v>0.11</v>
      </c>
      <c r="F420">
        <v>0.4965</v>
      </c>
      <c r="G420">
        <v>0.23699999999999999</v>
      </c>
      <c r="H420">
        <v>0.127</v>
      </c>
      <c r="I420">
        <v>0.13</v>
      </c>
      <c r="J420">
        <v>6</v>
      </c>
      <c r="K420">
        <v>3</v>
      </c>
      <c r="L420" t="s">
        <v>52</v>
      </c>
      <c r="M420" t="s">
        <v>53</v>
      </c>
      <c r="N420" t="s">
        <v>54</v>
      </c>
      <c r="O420">
        <v>1</v>
      </c>
      <c r="P420" t="s">
        <v>4</v>
      </c>
      <c r="Q420">
        <v>22.1</v>
      </c>
      <c r="R420" s="1" t="str">
        <f t="shared" si="7"/>
        <v>II</v>
      </c>
    </row>
    <row r="421" spans="1:18">
      <c r="A421">
        <v>1103</v>
      </c>
      <c r="B421" t="s">
        <v>75</v>
      </c>
      <c r="C421">
        <v>0.5</v>
      </c>
      <c r="D421">
        <v>0.39</v>
      </c>
      <c r="E421">
        <v>0.125</v>
      </c>
      <c r="F421">
        <v>0.52149999999999996</v>
      </c>
      <c r="G421">
        <v>0.2485</v>
      </c>
      <c r="H421">
        <v>0.11700000000000001</v>
      </c>
      <c r="I421">
        <v>0.13100000000000001</v>
      </c>
      <c r="J421">
        <v>6</v>
      </c>
      <c r="K421">
        <v>8</v>
      </c>
      <c r="L421" t="s">
        <v>55</v>
      </c>
      <c r="M421" t="s">
        <v>56</v>
      </c>
      <c r="N421" t="s">
        <v>57</v>
      </c>
      <c r="O421">
        <v>7</v>
      </c>
      <c r="P421" t="s">
        <v>6</v>
      </c>
      <c r="Q421">
        <v>2.5</v>
      </c>
      <c r="R421" s="1" t="str">
        <f t="shared" si="7"/>
        <v>II</v>
      </c>
    </row>
    <row r="422" spans="1:18">
      <c r="A422">
        <v>970</v>
      </c>
      <c r="B422" t="s">
        <v>75</v>
      </c>
      <c r="C422">
        <v>0.51</v>
      </c>
      <c r="D422">
        <v>0.41</v>
      </c>
      <c r="E422">
        <v>0.14499999999999999</v>
      </c>
      <c r="F422">
        <v>0.79600000000000004</v>
      </c>
      <c r="G422">
        <v>0.38650000000000001</v>
      </c>
      <c r="H422">
        <v>0.18149999999999999</v>
      </c>
      <c r="I422">
        <v>0.19550000000000001</v>
      </c>
      <c r="J422">
        <v>8</v>
      </c>
      <c r="K422">
        <v>2</v>
      </c>
      <c r="L422" t="s">
        <v>49</v>
      </c>
      <c r="M422" t="s">
        <v>50</v>
      </c>
      <c r="N422" t="s">
        <v>51</v>
      </c>
      <c r="O422">
        <v>7</v>
      </c>
      <c r="P422" t="s">
        <v>6</v>
      </c>
      <c r="Q422">
        <v>2.5</v>
      </c>
      <c r="R422" s="1" t="str">
        <f t="shared" si="7"/>
        <v>II</v>
      </c>
    </row>
    <row r="423" spans="1:18">
      <c r="A423">
        <v>2066</v>
      </c>
      <c r="B423" t="s">
        <v>75</v>
      </c>
      <c r="C423">
        <v>0.53500000000000003</v>
      </c>
      <c r="D423">
        <v>0.42</v>
      </c>
      <c r="E423">
        <v>0.13</v>
      </c>
      <c r="F423">
        <v>0.69899999999999995</v>
      </c>
      <c r="G423">
        <v>0.3125</v>
      </c>
      <c r="H423">
        <v>0.1565</v>
      </c>
      <c r="I423">
        <v>0.20349999999999999</v>
      </c>
      <c r="J423">
        <v>8</v>
      </c>
      <c r="K423">
        <v>9</v>
      </c>
      <c r="L423" t="s">
        <v>34</v>
      </c>
      <c r="M423" t="s">
        <v>35</v>
      </c>
      <c r="N423" t="s">
        <v>36</v>
      </c>
      <c r="O423">
        <v>8</v>
      </c>
      <c r="P423" t="s">
        <v>13</v>
      </c>
      <c r="Q423">
        <v>12.3</v>
      </c>
      <c r="R423" s="1" t="str">
        <f t="shared" si="7"/>
        <v>II</v>
      </c>
    </row>
    <row r="424" spans="1:18">
      <c r="A424">
        <v>3928</v>
      </c>
      <c r="B424" t="s">
        <v>75</v>
      </c>
      <c r="C424">
        <v>0.5</v>
      </c>
      <c r="D424">
        <v>0.38</v>
      </c>
      <c r="E424">
        <v>0.155</v>
      </c>
      <c r="F424">
        <v>0.66749999999999998</v>
      </c>
      <c r="G424">
        <v>0.27450000000000002</v>
      </c>
      <c r="H424">
        <v>0.156</v>
      </c>
      <c r="I424">
        <v>0.18</v>
      </c>
      <c r="J424">
        <v>12</v>
      </c>
      <c r="K424">
        <v>8</v>
      </c>
      <c r="L424" t="s">
        <v>55</v>
      </c>
      <c r="M424" t="s">
        <v>56</v>
      </c>
      <c r="N424" t="s">
        <v>57</v>
      </c>
      <c r="O424">
        <v>10</v>
      </c>
      <c r="P424" t="s">
        <v>11</v>
      </c>
      <c r="Q424">
        <v>24.1</v>
      </c>
      <c r="R424" s="1" t="str">
        <f t="shared" si="7"/>
        <v>II</v>
      </c>
    </row>
    <row r="425" spans="1:18">
      <c r="A425">
        <v>1292</v>
      </c>
      <c r="B425" t="s">
        <v>75</v>
      </c>
      <c r="C425">
        <v>0.51500000000000001</v>
      </c>
      <c r="D425">
        <v>0.42</v>
      </c>
      <c r="E425">
        <v>0.13500000000000001</v>
      </c>
      <c r="F425">
        <v>0.71099999999999997</v>
      </c>
      <c r="G425">
        <v>0.33700000000000002</v>
      </c>
      <c r="H425">
        <v>0.14399999999999999</v>
      </c>
      <c r="I425">
        <v>0.20499999999999999</v>
      </c>
      <c r="J425">
        <v>13</v>
      </c>
      <c r="K425">
        <v>13</v>
      </c>
      <c r="L425" t="s">
        <v>43</v>
      </c>
      <c r="M425" t="s">
        <v>44</v>
      </c>
      <c r="N425" t="s">
        <v>45</v>
      </c>
      <c r="O425">
        <v>5</v>
      </c>
      <c r="P425" t="s">
        <v>12</v>
      </c>
      <c r="Q425">
        <v>12.8</v>
      </c>
      <c r="R425" s="1" t="str">
        <f t="shared" si="7"/>
        <v>II</v>
      </c>
    </row>
    <row r="426" spans="1:18">
      <c r="A426">
        <v>2899</v>
      </c>
      <c r="B426" t="s">
        <v>75</v>
      </c>
      <c r="C426">
        <v>0.55000000000000004</v>
      </c>
      <c r="D426">
        <v>0.435</v>
      </c>
      <c r="E426">
        <v>0.16500000000000001</v>
      </c>
      <c r="F426">
        <v>0.80400000000000005</v>
      </c>
      <c r="G426">
        <v>0.34</v>
      </c>
      <c r="H426">
        <v>0.19400000000000001</v>
      </c>
      <c r="I426">
        <v>0.24399999999999999</v>
      </c>
      <c r="J426">
        <v>8</v>
      </c>
      <c r="K426">
        <v>2</v>
      </c>
      <c r="L426" t="s">
        <v>49</v>
      </c>
      <c r="M426" t="s">
        <v>50</v>
      </c>
      <c r="N426" t="s">
        <v>51</v>
      </c>
      <c r="O426">
        <v>6</v>
      </c>
      <c r="P426" t="s">
        <v>7</v>
      </c>
      <c r="Q426">
        <v>14.1</v>
      </c>
      <c r="R426" s="1" t="str">
        <f t="shared" si="7"/>
        <v>II</v>
      </c>
    </row>
    <row r="427" spans="1:18">
      <c r="A427">
        <v>1075</v>
      </c>
      <c r="B427" t="s">
        <v>75</v>
      </c>
      <c r="C427">
        <v>0.41</v>
      </c>
      <c r="D427">
        <v>0.3</v>
      </c>
      <c r="E427">
        <v>0.1</v>
      </c>
      <c r="F427">
        <v>0.28199999999999997</v>
      </c>
      <c r="G427">
        <v>0.1255</v>
      </c>
      <c r="H427">
        <v>5.7000000000000002E-2</v>
      </c>
      <c r="I427">
        <v>8.7499999999999994E-2</v>
      </c>
      <c r="J427">
        <v>7</v>
      </c>
      <c r="K427">
        <v>12</v>
      </c>
      <c r="L427" t="s">
        <v>58</v>
      </c>
      <c r="M427" t="s">
        <v>59</v>
      </c>
      <c r="N427" t="s">
        <v>45</v>
      </c>
      <c r="O427">
        <v>1</v>
      </c>
      <c r="P427" t="s">
        <v>4</v>
      </c>
      <c r="Q427">
        <v>22.1</v>
      </c>
      <c r="R427" s="1" t="str">
        <f t="shared" si="7"/>
        <v>II</v>
      </c>
    </row>
    <row r="428" spans="1:18">
      <c r="A428">
        <v>1454</v>
      </c>
      <c r="B428" t="s">
        <v>75</v>
      </c>
      <c r="C428">
        <v>0.47</v>
      </c>
      <c r="D428">
        <v>0.35</v>
      </c>
      <c r="E428">
        <v>0.125</v>
      </c>
      <c r="F428">
        <v>0.43149999999999999</v>
      </c>
      <c r="G428">
        <v>0.19</v>
      </c>
      <c r="H428">
        <v>0.11650000000000001</v>
      </c>
      <c r="I428">
        <v>0.11749999999999999</v>
      </c>
      <c r="J428">
        <v>6</v>
      </c>
      <c r="K428">
        <v>5</v>
      </c>
      <c r="L428" t="s">
        <v>67</v>
      </c>
      <c r="M428" t="s">
        <v>68</v>
      </c>
      <c r="N428" t="s">
        <v>69</v>
      </c>
      <c r="O428">
        <v>9</v>
      </c>
      <c r="P428" t="s">
        <v>9</v>
      </c>
      <c r="Q428">
        <v>1.9</v>
      </c>
      <c r="R428" s="1" t="str">
        <f t="shared" si="7"/>
        <v>II</v>
      </c>
    </row>
    <row r="429" spans="1:18">
      <c r="A429">
        <v>1988</v>
      </c>
      <c r="B429" t="s">
        <v>75</v>
      </c>
      <c r="C429">
        <v>0.16</v>
      </c>
      <c r="D429">
        <v>0.11</v>
      </c>
      <c r="E429">
        <v>2.5000000000000001E-2</v>
      </c>
      <c r="F429">
        <v>1.95E-2</v>
      </c>
      <c r="G429">
        <v>7.4999999999999997E-3</v>
      </c>
      <c r="H429">
        <v>5.0000000000000001E-3</v>
      </c>
      <c r="I429">
        <v>6.0000000000000001E-3</v>
      </c>
      <c r="J429">
        <v>4</v>
      </c>
      <c r="K429">
        <v>8</v>
      </c>
      <c r="L429" t="s">
        <v>55</v>
      </c>
      <c r="M429" t="s">
        <v>56</v>
      </c>
      <c r="N429" t="s">
        <v>57</v>
      </c>
      <c r="O429">
        <v>3</v>
      </c>
      <c r="P429" t="s">
        <v>10</v>
      </c>
      <c r="Q429">
        <v>3.6</v>
      </c>
      <c r="R429" s="1" t="str">
        <f t="shared" si="7"/>
        <v>II</v>
      </c>
    </row>
    <row r="430" spans="1:18">
      <c r="A430">
        <v>935</v>
      </c>
      <c r="B430" t="s">
        <v>75</v>
      </c>
      <c r="C430">
        <v>0.45</v>
      </c>
      <c r="D430">
        <v>0.35499999999999998</v>
      </c>
      <c r="E430">
        <v>0.105</v>
      </c>
      <c r="F430">
        <v>0.44450000000000001</v>
      </c>
      <c r="G430">
        <v>0.19700000000000001</v>
      </c>
      <c r="H430">
        <v>9.2999999999999999E-2</v>
      </c>
      <c r="I430">
        <v>0.13350000000000001</v>
      </c>
      <c r="J430">
        <v>8</v>
      </c>
      <c r="K430">
        <v>2</v>
      </c>
      <c r="L430" t="s">
        <v>49</v>
      </c>
      <c r="M430" t="s">
        <v>50</v>
      </c>
      <c r="N430" t="s">
        <v>51</v>
      </c>
      <c r="O430">
        <v>5</v>
      </c>
      <c r="P430" t="s">
        <v>12</v>
      </c>
      <c r="Q430">
        <v>12.8</v>
      </c>
      <c r="R430" s="1" t="str">
        <f t="shared" si="7"/>
        <v>II</v>
      </c>
    </row>
    <row r="431" spans="1:18">
      <c r="A431">
        <v>1328</v>
      </c>
      <c r="B431" t="s">
        <v>75</v>
      </c>
      <c r="C431">
        <v>0.56499999999999995</v>
      </c>
      <c r="D431">
        <v>0.39</v>
      </c>
      <c r="E431">
        <v>0.125</v>
      </c>
      <c r="F431">
        <v>0.74399999999999999</v>
      </c>
      <c r="G431">
        <v>0.35199999999999998</v>
      </c>
      <c r="H431">
        <v>0.13</v>
      </c>
      <c r="I431">
        <v>0.16850000000000001</v>
      </c>
      <c r="J431">
        <v>11</v>
      </c>
      <c r="K431">
        <v>6</v>
      </c>
      <c r="L431" t="s">
        <v>46</v>
      </c>
      <c r="M431" t="s">
        <v>47</v>
      </c>
      <c r="N431" t="s">
        <v>48</v>
      </c>
      <c r="O431">
        <v>3</v>
      </c>
      <c r="P431" t="s">
        <v>10</v>
      </c>
      <c r="Q431">
        <v>3.6</v>
      </c>
      <c r="R431" s="1" t="str">
        <f t="shared" si="7"/>
        <v>II</v>
      </c>
    </row>
    <row r="432" spans="1:18">
      <c r="A432">
        <v>2510</v>
      </c>
      <c r="B432" t="s">
        <v>75</v>
      </c>
      <c r="C432">
        <v>0.41499999999999998</v>
      </c>
      <c r="D432">
        <v>0.315</v>
      </c>
      <c r="E432">
        <v>0.09</v>
      </c>
      <c r="F432">
        <v>0.36249999999999999</v>
      </c>
      <c r="G432">
        <v>0.17499999999999999</v>
      </c>
      <c r="H432">
        <v>8.3500000000000005E-2</v>
      </c>
      <c r="I432">
        <v>9.2999999999999999E-2</v>
      </c>
      <c r="J432">
        <v>6</v>
      </c>
      <c r="K432">
        <v>8</v>
      </c>
      <c r="L432" t="s">
        <v>55</v>
      </c>
      <c r="M432" t="s">
        <v>56</v>
      </c>
      <c r="N432" t="s">
        <v>57</v>
      </c>
      <c r="O432">
        <v>3</v>
      </c>
      <c r="P432" t="s">
        <v>10</v>
      </c>
      <c r="Q432">
        <v>3.6</v>
      </c>
      <c r="R432" s="1" t="str">
        <f t="shared" si="7"/>
        <v>II</v>
      </c>
    </row>
    <row r="433" spans="1:18">
      <c r="A433">
        <v>782</v>
      </c>
      <c r="B433" t="s">
        <v>75</v>
      </c>
      <c r="C433">
        <v>0.505</v>
      </c>
      <c r="D433">
        <v>0.38500000000000001</v>
      </c>
      <c r="E433">
        <v>0.15</v>
      </c>
      <c r="F433">
        <v>0.64149999999999996</v>
      </c>
      <c r="G433">
        <v>0.246</v>
      </c>
      <c r="H433">
        <v>0.152</v>
      </c>
      <c r="I433">
        <v>0.215</v>
      </c>
      <c r="J433">
        <v>12</v>
      </c>
      <c r="K433">
        <v>9</v>
      </c>
      <c r="L433" t="s">
        <v>34</v>
      </c>
      <c r="M433" t="s">
        <v>35</v>
      </c>
      <c r="N433" t="s">
        <v>36</v>
      </c>
      <c r="O433">
        <v>9</v>
      </c>
      <c r="P433" t="s">
        <v>9</v>
      </c>
      <c r="Q433">
        <v>1.9</v>
      </c>
      <c r="R433" s="1" t="str">
        <f t="shared" si="7"/>
        <v>II</v>
      </c>
    </row>
    <row r="434" spans="1:18">
      <c r="A434">
        <v>767</v>
      </c>
      <c r="B434" t="s">
        <v>75</v>
      </c>
      <c r="C434">
        <v>0.59</v>
      </c>
      <c r="D434">
        <v>0.44500000000000001</v>
      </c>
      <c r="E434">
        <v>0.13</v>
      </c>
      <c r="F434">
        <v>1.1325000000000001</v>
      </c>
      <c r="G434">
        <v>0.38250000000000001</v>
      </c>
      <c r="H434">
        <v>0.23400000000000001</v>
      </c>
      <c r="I434">
        <v>0.32</v>
      </c>
      <c r="J434">
        <v>13</v>
      </c>
      <c r="K434">
        <v>8</v>
      </c>
      <c r="L434" t="s">
        <v>55</v>
      </c>
      <c r="M434" t="s">
        <v>56</v>
      </c>
      <c r="N434" t="s">
        <v>57</v>
      </c>
      <c r="O434">
        <v>2</v>
      </c>
      <c r="P434" t="s">
        <v>5</v>
      </c>
      <c r="Q434">
        <v>18</v>
      </c>
      <c r="R434" s="1" t="str">
        <f t="shared" si="7"/>
        <v>II</v>
      </c>
    </row>
    <row r="435" spans="1:18">
      <c r="A435">
        <v>127</v>
      </c>
      <c r="B435" t="s">
        <v>75</v>
      </c>
      <c r="C435">
        <v>0.375</v>
      </c>
      <c r="D435">
        <v>0.27500000000000002</v>
      </c>
      <c r="E435">
        <v>0.09</v>
      </c>
      <c r="F435">
        <v>0.23799999999999999</v>
      </c>
      <c r="G435">
        <v>0.1075</v>
      </c>
      <c r="H435">
        <v>5.45E-2</v>
      </c>
      <c r="I435">
        <v>7.0000000000000007E-2</v>
      </c>
      <c r="J435">
        <v>6</v>
      </c>
      <c r="K435">
        <v>11</v>
      </c>
      <c r="L435" t="s">
        <v>65</v>
      </c>
      <c r="M435" t="s">
        <v>66</v>
      </c>
      <c r="N435" t="s">
        <v>45</v>
      </c>
      <c r="O435">
        <v>9</v>
      </c>
      <c r="P435" t="s">
        <v>9</v>
      </c>
      <c r="Q435">
        <v>1.9</v>
      </c>
      <c r="R435" s="1" t="str">
        <f t="shared" si="7"/>
        <v>II</v>
      </c>
    </row>
    <row r="436" spans="1:18">
      <c r="A436">
        <v>2154</v>
      </c>
      <c r="B436" t="s">
        <v>75</v>
      </c>
      <c r="C436">
        <v>0.28000000000000003</v>
      </c>
      <c r="D436">
        <v>0.2</v>
      </c>
      <c r="E436">
        <v>7.4999999999999997E-2</v>
      </c>
      <c r="F436">
        <v>0.1225</v>
      </c>
      <c r="G436">
        <v>5.45E-2</v>
      </c>
      <c r="H436">
        <v>1.15E-2</v>
      </c>
      <c r="I436">
        <v>3.5000000000000003E-2</v>
      </c>
      <c r="J436">
        <v>5</v>
      </c>
      <c r="K436">
        <v>6</v>
      </c>
      <c r="L436" t="s">
        <v>46</v>
      </c>
      <c r="M436" t="s">
        <v>47</v>
      </c>
      <c r="N436" t="s">
        <v>48</v>
      </c>
      <c r="O436">
        <v>1</v>
      </c>
      <c r="P436" t="s">
        <v>4</v>
      </c>
      <c r="Q436">
        <v>22.1</v>
      </c>
      <c r="R436" s="1" t="str">
        <f t="shared" si="7"/>
        <v>II</v>
      </c>
    </row>
    <row r="437" spans="1:18">
      <c r="A437">
        <v>3158</v>
      </c>
      <c r="B437" t="s">
        <v>75</v>
      </c>
      <c r="C437">
        <v>0.43</v>
      </c>
      <c r="D437">
        <v>0.35</v>
      </c>
      <c r="E437">
        <v>0.09</v>
      </c>
      <c r="F437">
        <v>0.39700000000000002</v>
      </c>
      <c r="G437">
        <v>0.1575</v>
      </c>
      <c r="H437">
        <v>8.8999999999999996E-2</v>
      </c>
      <c r="I437">
        <v>0.12</v>
      </c>
      <c r="J437">
        <v>9</v>
      </c>
      <c r="K437">
        <v>7</v>
      </c>
      <c r="L437" t="s">
        <v>62</v>
      </c>
      <c r="M437" t="s">
        <v>63</v>
      </c>
      <c r="N437" t="s">
        <v>64</v>
      </c>
      <c r="O437">
        <v>4</v>
      </c>
      <c r="P437" t="s">
        <v>8</v>
      </c>
      <c r="Q437">
        <v>6.1</v>
      </c>
      <c r="R437" s="1" t="str">
        <f t="shared" si="7"/>
        <v>II</v>
      </c>
    </row>
    <row r="438" spans="1:18">
      <c r="A438">
        <v>1475</v>
      </c>
      <c r="B438" t="s">
        <v>75</v>
      </c>
      <c r="C438">
        <v>0.55000000000000004</v>
      </c>
      <c r="D438">
        <v>0.42499999999999999</v>
      </c>
      <c r="E438">
        <v>0.16</v>
      </c>
      <c r="F438">
        <v>0.79300000000000004</v>
      </c>
      <c r="G438">
        <v>0.34300000000000003</v>
      </c>
      <c r="H438">
        <v>0.20349999999999999</v>
      </c>
      <c r="I438">
        <v>0.215</v>
      </c>
      <c r="J438">
        <v>9</v>
      </c>
      <c r="K438">
        <v>6</v>
      </c>
      <c r="L438" t="s">
        <v>46</v>
      </c>
      <c r="M438" t="s">
        <v>47</v>
      </c>
      <c r="N438" t="s">
        <v>48</v>
      </c>
      <c r="O438">
        <v>9</v>
      </c>
      <c r="P438" t="s">
        <v>9</v>
      </c>
      <c r="Q438">
        <v>1.9</v>
      </c>
      <c r="R438" s="1" t="str">
        <f t="shared" si="7"/>
        <v>II</v>
      </c>
    </row>
    <row r="439" spans="1:18">
      <c r="A439">
        <v>1331</v>
      </c>
      <c r="B439" t="s">
        <v>75</v>
      </c>
      <c r="C439">
        <v>0.56999999999999995</v>
      </c>
      <c r="D439">
        <v>0.46</v>
      </c>
      <c r="E439">
        <v>0.13500000000000001</v>
      </c>
      <c r="F439">
        <v>0.97950000000000004</v>
      </c>
      <c r="G439">
        <v>0.39700000000000002</v>
      </c>
      <c r="H439">
        <v>0.2525</v>
      </c>
      <c r="I439">
        <v>0.26550000000000001</v>
      </c>
      <c r="J439">
        <v>9</v>
      </c>
      <c r="K439">
        <v>9</v>
      </c>
      <c r="L439" t="s">
        <v>34</v>
      </c>
      <c r="M439" t="s">
        <v>35</v>
      </c>
      <c r="N439" t="s">
        <v>36</v>
      </c>
      <c r="O439">
        <v>2</v>
      </c>
      <c r="P439" t="s">
        <v>5</v>
      </c>
      <c r="Q439">
        <v>18</v>
      </c>
      <c r="R439" s="1" t="str">
        <f t="shared" si="7"/>
        <v>II</v>
      </c>
    </row>
    <row r="440" spans="1:18">
      <c r="A440">
        <v>2015</v>
      </c>
      <c r="B440" t="s">
        <v>75</v>
      </c>
      <c r="C440">
        <v>0.47</v>
      </c>
      <c r="D440">
        <v>0.375</v>
      </c>
      <c r="E440">
        <v>0.105</v>
      </c>
      <c r="F440">
        <v>0.441</v>
      </c>
      <c r="G440">
        <v>0.16700000000000001</v>
      </c>
      <c r="H440">
        <v>8.6499999999999994E-2</v>
      </c>
      <c r="I440">
        <v>0.14499999999999999</v>
      </c>
      <c r="J440">
        <v>10</v>
      </c>
      <c r="K440">
        <v>10</v>
      </c>
      <c r="L440" t="s">
        <v>37</v>
      </c>
      <c r="M440" t="s">
        <v>38</v>
      </c>
      <c r="N440" t="s">
        <v>39</v>
      </c>
      <c r="O440">
        <v>9</v>
      </c>
      <c r="P440" t="s">
        <v>9</v>
      </c>
      <c r="Q440">
        <v>1.9</v>
      </c>
      <c r="R440" s="1" t="str">
        <f t="shared" si="7"/>
        <v>II</v>
      </c>
    </row>
    <row r="441" spans="1:18">
      <c r="A441">
        <v>2058</v>
      </c>
      <c r="B441" t="s">
        <v>75</v>
      </c>
      <c r="C441">
        <v>0.48</v>
      </c>
      <c r="D441">
        <v>0.35</v>
      </c>
      <c r="E441">
        <v>0.13500000000000001</v>
      </c>
      <c r="F441">
        <v>0.54649999999999999</v>
      </c>
      <c r="G441">
        <v>0.27350000000000002</v>
      </c>
      <c r="H441">
        <v>9.9500000000000005E-2</v>
      </c>
      <c r="I441">
        <v>0.158</v>
      </c>
      <c r="J441">
        <v>8</v>
      </c>
      <c r="K441">
        <v>5</v>
      </c>
      <c r="L441" t="s">
        <v>67</v>
      </c>
      <c r="M441" t="s">
        <v>68</v>
      </c>
      <c r="N441" t="s">
        <v>69</v>
      </c>
      <c r="O441">
        <v>2</v>
      </c>
      <c r="P441" t="s">
        <v>5</v>
      </c>
      <c r="Q441">
        <v>18</v>
      </c>
      <c r="R441" s="1" t="str">
        <f t="shared" si="7"/>
        <v>II</v>
      </c>
    </row>
    <row r="442" spans="1:18">
      <c r="A442">
        <v>715</v>
      </c>
      <c r="B442" t="s">
        <v>75</v>
      </c>
      <c r="C442">
        <v>0.35</v>
      </c>
      <c r="D442">
        <v>0.255</v>
      </c>
      <c r="E442">
        <v>0.08</v>
      </c>
      <c r="F442">
        <v>0.1915</v>
      </c>
      <c r="G442">
        <v>0.08</v>
      </c>
      <c r="H442">
        <v>3.85E-2</v>
      </c>
      <c r="I442">
        <v>6.3E-2</v>
      </c>
      <c r="J442">
        <v>9</v>
      </c>
      <c r="K442">
        <v>9</v>
      </c>
      <c r="L442" t="s">
        <v>34</v>
      </c>
      <c r="M442" t="s">
        <v>35</v>
      </c>
      <c r="N442" t="s">
        <v>36</v>
      </c>
      <c r="O442">
        <v>10</v>
      </c>
      <c r="P442" t="s">
        <v>11</v>
      </c>
      <c r="Q442">
        <v>24.1</v>
      </c>
      <c r="R442" s="1" t="str">
        <f t="shared" si="7"/>
        <v>II</v>
      </c>
    </row>
    <row r="443" spans="1:18">
      <c r="A443">
        <v>2758</v>
      </c>
      <c r="B443" t="s">
        <v>75</v>
      </c>
      <c r="C443">
        <v>0.52500000000000002</v>
      </c>
      <c r="D443">
        <v>0.375</v>
      </c>
      <c r="E443">
        <v>0.12</v>
      </c>
      <c r="F443">
        <v>0.63149999999999995</v>
      </c>
      <c r="G443">
        <v>0.30449999999999999</v>
      </c>
      <c r="H443">
        <v>0.114</v>
      </c>
      <c r="I443">
        <v>0.19</v>
      </c>
      <c r="J443">
        <v>9</v>
      </c>
      <c r="K443">
        <v>3</v>
      </c>
      <c r="L443" t="s">
        <v>52</v>
      </c>
      <c r="M443" t="s">
        <v>53</v>
      </c>
      <c r="N443" t="s">
        <v>54</v>
      </c>
      <c r="O443">
        <v>8</v>
      </c>
      <c r="P443" t="s">
        <v>13</v>
      </c>
      <c r="Q443">
        <v>12.3</v>
      </c>
      <c r="R443" s="1" t="str">
        <f t="shared" si="7"/>
        <v>II</v>
      </c>
    </row>
    <row r="444" spans="1:18">
      <c r="A444">
        <v>2647</v>
      </c>
      <c r="B444" t="s">
        <v>75</v>
      </c>
      <c r="C444">
        <v>0.495</v>
      </c>
      <c r="D444">
        <v>0.38</v>
      </c>
      <c r="E444">
        <v>0.12</v>
      </c>
      <c r="F444">
        <v>0.51200000000000001</v>
      </c>
      <c r="G444">
        <v>0.23300000000000001</v>
      </c>
      <c r="H444">
        <v>0.1205</v>
      </c>
      <c r="I444">
        <v>0.13600000000000001</v>
      </c>
      <c r="J444">
        <v>7</v>
      </c>
      <c r="K444">
        <v>14</v>
      </c>
      <c r="L444" t="s">
        <v>72</v>
      </c>
      <c r="M444" t="s">
        <v>73</v>
      </c>
      <c r="N444" t="s">
        <v>74</v>
      </c>
      <c r="O444">
        <v>8</v>
      </c>
      <c r="P444" t="s">
        <v>13</v>
      </c>
      <c r="Q444">
        <v>12.3</v>
      </c>
      <c r="R444" s="1" t="str">
        <f t="shared" si="7"/>
        <v>II</v>
      </c>
    </row>
    <row r="445" spans="1:18">
      <c r="A445">
        <v>2455</v>
      </c>
      <c r="B445" t="s">
        <v>75</v>
      </c>
      <c r="C445">
        <v>0.27500000000000002</v>
      </c>
      <c r="D445">
        <v>0.2</v>
      </c>
      <c r="E445">
        <v>6.5000000000000002E-2</v>
      </c>
      <c r="F445">
        <v>9.1999999999999998E-2</v>
      </c>
      <c r="G445">
        <v>3.85E-2</v>
      </c>
      <c r="H445">
        <v>2.35E-2</v>
      </c>
      <c r="I445">
        <v>2.7E-2</v>
      </c>
      <c r="J445">
        <v>5</v>
      </c>
      <c r="K445">
        <v>2</v>
      </c>
      <c r="L445" t="s">
        <v>49</v>
      </c>
      <c r="M445" t="s">
        <v>50</v>
      </c>
      <c r="N445" t="s">
        <v>51</v>
      </c>
      <c r="O445">
        <v>4</v>
      </c>
      <c r="P445" t="s">
        <v>8</v>
      </c>
      <c r="Q445">
        <v>6.1</v>
      </c>
      <c r="R445" s="1" t="str">
        <f t="shared" si="7"/>
        <v>II</v>
      </c>
    </row>
    <row r="446" spans="1:18">
      <c r="A446">
        <v>1633</v>
      </c>
      <c r="B446" t="s">
        <v>75</v>
      </c>
      <c r="C446">
        <v>0.57499999999999996</v>
      </c>
      <c r="D446">
        <v>0.45500000000000002</v>
      </c>
      <c r="E446">
        <v>0.16500000000000001</v>
      </c>
      <c r="F446">
        <v>0.86699999999999999</v>
      </c>
      <c r="G446">
        <v>0.3765</v>
      </c>
      <c r="H446">
        <v>0.18049999999999999</v>
      </c>
      <c r="I446">
        <v>0.26800000000000002</v>
      </c>
      <c r="J446">
        <v>8</v>
      </c>
      <c r="K446">
        <v>3</v>
      </c>
      <c r="L446" t="s">
        <v>52</v>
      </c>
      <c r="M446" t="s">
        <v>53</v>
      </c>
      <c r="N446" t="s">
        <v>54</v>
      </c>
      <c r="O446">
        <v>8</v>
      </c>
      <c r="P446" t="s">
        <v>13</v>
      </c>
      <c r="Q446">
        <v>12.3</v>
      </c>
      <c r="R446" s="1" t="str">
        <f t="shared" si="7"/>
        <v>II</v>
      </c>
    </row>
    <row r="447" spans="1:18">
      <c r="A447">
        <v>4073</v>
      </c>
      <c r="B447" t="s">
        <v>75</v>
      </c>
      <c r="C447">
        <v>0.5</v>
      </c>
      <c r="D447">
        <v>0.36</v>
      </c>
      <c r="E447">
        <v>0.12</v>
      </c>
      <c r="F447">
        <v>0.439</v>
      </c>
      <c r="G447">
        <v>0.1875</v>
      </c>
      <c r="H447">
        <v>0.1055</v>
      </c>
      <c r="I447">
        <v>0.1305</v>
      </c>
      <c r="J447">
        <v>8</v>
      </c>
      <c r="K447">
        <v>12</v>
      </c>
      <c r="L447" t="s">
        <v>58</v>
      </c>
      <c r="M447" t="s">
        <v>59</v>
      </c>
      <c r="N447" t="s">
        <v>45</v>
      </c>
      <c r="O447">
        <v>3</v>
      </c>
      <c r="P447" t="s">
        <v>10</v>
      </c>
      <c r="Q447">
        <v>3.6</v>
      </c>
      <c r="R447" s="1" t="str">
        <f t="shared" si="7"/>
        <v>II</v>
      </c>
    </row>
    <row r="448" spans="1:18">
      <c r="A448">
        <v>2256</v>
      </c>
      <c r="B448" t="s">
        <v>75</v>
      </c>
      <c r="C448">
        <v>0.51</v>
      </c>
      <c r="D448">
        <v>0.39500000000000002</v>
      </c>
      <c r="E448">
        <v>0.14499999999999999</v>
      </c>
      <c r="F448">
        <v>0.61850000000000005</v>
      </c>
      <c r="G448">
        <v>0.216</v>
      </c>
      <c r="H448">
        <v>0.13850000000000001</v>
      </c>
      <c r="I448">
        <v>0.24</v>
      </c>
      <c r="J448">
        <v>12</v>
      </c>
      <c r="K448">
        <v>7</v>
      </c>
      <c r="L448" t="s">
        <v>62</v>
      </c>
      <c r="M448" t="s">
        <v>63</v>
      </c>
      <c r="N448" t="s">
        <v>64</v>
      </c>
      <c r="O448">
        <v>1</v>
      </c>
      <c r="P448" t="s">
        <v>4</v>
      </c>
      <c r="Q448">
        <v>22.1</v>
      </c>
      <c r="R448" s="1" t="str">
        <f t="shared" si="7"/>
        <v>II</v>
      </c>
    </row>
    <row r="449" spans="1:18">
      <c r="A449">
        <v>1274</v>
      </c>
      <c r="B449" t="s">
        <v>75</v>
      </c>
      <c r="C449">
        <v>0.47499999999999998</v>
      </c>
      <c r="D449">
        <v>0.38</v>
      </c>
      <c r="E449">
        <v>0.12</v>
      </c>
      <c r="F449">
        <v>0.441</v>
      </c>
      <c r="G449">
        <v>0.17849999999999999</v>
      </c>
      <c r="H449">
        <v>8.8499999999999995E-2</v>
      </c>
      <c r="I449">
        <v>0.15049999999999999</v>
      </c>
      <c r="J449">
        <v>8</v>
      </c>
      <c r="K449">
        <v>3</v>
      </c>
      <c r="L449" t="s">
        <v>52</v>
      </c>
      <c r="M449" t="s">
        <v>53</v>
      </c>
      <c r="N449" t="s">
        <v>54</v>
      </c>
      <c r="O449">
        <v>8</v>
      </c>
      <c r="P449" t="s">
        <v>13</v>
      </c>
      <c r="Q449">
        <v>12.3</v>
      </c>
      <c r="R449" s="1" t="str">
        <f t="shared" si="7"/>
        <v>II</v>
      </c>
    </row>
    <row r="450" spans="1:18">
      <c r="A450">
        <v>316</v>
      </c>
      <c r="B450" t="s">
        <v>75</v>
      </c>
      <c r="C450">
        <v>0.45</v>
      </c>
      <c r="D450">
        <v>0.35499999999999998</v>
      </c>
      <c r="E450">
        <v>0.11</v>
      </c>
      <c r="F450">
        <v>0.45850000000000002</v>
      </c>
      <c r="G450">
        <v>0.19400000000000001</v>
      </c>
      <c r="H450">
        <v>6.7000000000000004E-2</v>
      </c>
      <c r="I450">
        <v>0.14000000000000001</v>
      </c>
      <c r="J450">
        <v>8</v>
      </c>
      <c r="K450">
        <v>5</v>
      </c>
      <c r="L450" t="s">
        <v>67</v>
      </c>
      <c r="M450" t="s">
        <v>68</v>
      </c>
      <c r="N450" t="s">
        <v>69</v>
      </c>
      <c r="O450">
        <v>6</v>
      </c>
      <c r="P450" t="s">
        <v>7</v>
      </c>
      <c r="Q450">
        <v>14.1</v>
      </c>
      <c r="R450" s="1" t="str">
        <f t="shared" si="7"/>
        <v>II</v>
      </c>
    </row>
    <row r="451" spans="1:18">
      <c r="A451">
        <v>67</v>
      </c>
      <c r="B451" t="s">
        <v>75</v>
      </c>
      <c r="C451">
        <v>0.56499999999999995</v>
      </c>
      <c r="D451">
        <v>0.44</v>
      </c>
      <c r="E451">
        <v>0.16</v>
      </c>
      <c r="F451">
        <v>0.91500000000000004</v>
      </c>
      <c r="G451">
        <v>0.35399999999999998</v>
      </c>
      <c r="H451">
        <v>0.19350000000000001</v>
      </c>
      <c r="I451">
        <v>0.32</v>
      </c>
      <c r="J451">
        <v>12</v>
      </c>
      <c r="K451">
        <v>13</v>
      </c>
      <c r="L451" t="s">
        <v>43</v>
      </c>
      <c r="M451" t="s">
        <v>44</v>
      </c>
      <c r="N451" t="s">
        <v>45</v>
      </c>
      <c r="O451">
        <v>4</v>
      </c>
      <c r="P451" t="s">
        <v>8</v>
      </c>
      <c r="Q451">
        <v>6.1</v>
      </c>
      <c r="R451" s="1" t="str">
        <f t="shared" si="7"/>
        <v>II</v>
      </c>
    </row>
    <row r="452" spans="1:18">
      <c r="A452">
        <v>1859</v>
      </c>
      <c r="B452" t="s">
        <v>75</v>
      </c>
      <c r="C452">
        <v>0.51</v>
      </c>
      <c r="D452">
        <v>0.4</v>
      </c>
      <c r="E452">
        <v>0.12</v>
      </c>
      <c r="F452">
        <v>0.70050000000000001</v>
      </c>
      <c r="G452">
        <v>0.34699999999999998</v>
      </c>
      <c r="H452">
        <v>0.1105</v>
      </c>
      <c r="I452">
        <v>0.19500000000000001</v>
      </c>
      <c r="J452">
        <v>10</v>
      </c>
      <c r="K452">
        <v>2</v>
      </c>
      <c r="L452" t="s">
        <v>49</v>
      </c>
      <c r="M452" t="s">
        <v>50</v>
      </c>
      <c r="N452" t="s">
        <v>51</v>
      </c>
      <c r="O452">
        <v>8</v>
      </c>
      <c r="P452" t="s">
        <v>13</v>
      </c>
      <c r="Q452">
        <v>12.3</v>
      </c>
      <c r="R452" s="1" t="str">
        <f t="shared" si="7"/>
        <v>II</v>
      </c>
    </row>
    <row r="453" spans="1:18">
      <c r="A453">
        <v>2272</v>
      </c>
      <c r="B453" t="s">
        <v>75</v>
      </c>
      <c r="C453">
        <v>0.52</v>
      </c>
      <c r="D453">
        <v>0.41</v>
      </c>
      <c r="E453">
        <v>0.17</v>
      </c>
      <c r="F453">
        <v>0.87050000000000005</v>
      </c>
      <c r="G453">
        <v>0.3735</v>
      </c>
      <c r="H453">
        <v>0.219</v>
      </c>
      <c r="I453">
        <v>0.25</v>
      </c>
      <c r="J453">
        <v>14</v>
      </c>
      <c r="K453">
        <v>15</v>
      </c>
      <c r="L453" t="s">
        <v>60</v>
      </c>
      <c r="M453" t="s">
        <v>61</v>
      </c>
      <c r="N453" t="s">
        <v>45</v>
      </c>
      <c r="O453">
        <v>3</v>
      </c>
      <c r="P453" t="s">
        <v>10</v>
      </c>
      <c r="Q453">
        <v>3.6</v>
      </c>
      <c r="R453" s="1" t="str">
        <f t="shared" si="7"/>
        <v>II</v>
      </c>
    </row>
    <row r="454" spans="1:18">
      <c r="A454">
        <v>2387</v>
      </c>
      <c r="B454" t="s">
        <v>75</v>
      </c>
      <c r="C454">
        <v>0.48499999999999999</v>
      </c>
      <c r="D454">
        <v>0.36499999999999999</v>
      </c>
      <c r="E454">
        <v>0.14000000000000001</v>
      </c>
      <c r="F454">
        <v>0.61950000000000005</v>
      </c>
      <c r="G454">
        <v>0.25950000000000001</v>
      </c>
      <c r="H454">
        <v>0.14449999999999999</v>
      </c>
      <c r="I454">
        <v>0.17699999999999999</v>
      </c>
      <c r="J454">
        <v>14</v>
      </c>
      <c r="K454">
        <v>12</v>
      </c>
      <c r="L454" t="s">
        <v>58</v>
      </c>
      <c r="M454" t="s">
        <v>59</v>
      </c>
      <c r="N454" t="s">
        <v>45</v>
      </c>
      <c r="O454">
        <v>3</v>
      </c>
      <c r="P454" t="s">
        <v>10</v>
      </c>
      <c r="Q454">
        <v>3.6</v>
      </c>
      <c r="R454" s="1" t="str">
        <f t="shared" si="7"/>
        <v>II</v>
      </c>
    </row>
    <row r="455" spans="1:18">
      <c r="A455">
        <v>3946</v>
      </c>
      <c r="B455" t="s">
        <v>75</v>
      </c>
      <c r="C455">
        <v>0.23499999999999999</v>
      </c>
      <c r="D455">
        <v>0.17499999999999999</v>
      </c>
      <c r="E455">
        <v>6.5000000000000002E-2</v>
      </c>
      <c r="F455">
        <v>6.1499999999999999E-2</v>
      </c>
      <c r="G455">
        <v>2.0500000000000001E-2</v>
      </c>
      <c r="H455">
        <v>0.02</v>
      </c>
      <c r="I455">
        <v>1.9E-2</v>
      </c>
      <c r="J455">
        <v>6</v>
      </c>
      <c r="K455">
        <v>11</v>
      </c>
      <c r="L455" t="s">
        <v>65</v>
      </c>
      <c r="M455" t="s">
        <v>66</v>
      </c>
      <c r="N455" t="s">
        <v>45</v>
      </c>
      <c r="O455">
        <v>6</v>
      </c>
      <c r="P455" t="s">
        <v>7</v>
      </c>
      <c r="Q455">
        <v>14.1</v>
      </c>
      <c r="R455" s="1" t="str">
        <f t="shared" si="7"/>
        <v>II</v>
      </c>
    </row>
    <row r="456" spans="1:18">
      <c r="A456">
        <v>1568</v>
      </c>
      <c r="B456" t="s">
        <v>75</v>
      </c>
      <c r="C456">
        <v>0.46500000000000002</v>
      </c>
      <c r="D456">
        <v>0.34499999999999997</v>
      </c>
      <c r="E456">
        <v>0.11</v>
      </c>
      <c r="F456">
        <v>0.39300000000000002</v>
      </c>
      <c r="G456">
        <v>0.1825</v>
      </c>
      <c r="H456">
        <v>7.3499999999999996E-2</v>
      </c>
      <c r="I456">
        <v>0.12</v>
      </c>
      <c r="J456">
        <v>8</v>
      </c>
      <c r="K456">
        <v>15</v>
      </c>
      <c r="L456" t="s">
        <v>60</v>
      </c>
      <c r="M456" t="s">
        <v>61</v>
      </c>
      <c r="N456" t="s">
        <v>45</v>
      </c>
      <c r="O456">
        <v>10</v>
      </c>
      <c r="P456" t="s">
        <v>11</v>
      </c>
      <c r="Q456">
        <v>24.1</v>
      </c>
      <c r="R456" s="1" t="str">
        <f t="shared" si="7"/>
        <v>II</v>
      </c>
    </row>
    <row r="457" spans="1:18">
      <c r="A457">
        <v>763</v>
      </c>
      <c r="B457" t="s">
        <v>75</v>
      </c>
      <c r="C457">
        <v>0.54</v>
      </c>
      <c r="D457">
        <v>0.44</v>
      </c>
      <c r="E457">
        <v>0.13500000000000001</v>
      </c>
      <c r="F457">
        <v>0.95899999999999996</v>
      </c>
      <c r="G457">
        <v>0.23849999999999999</v>
      </c>
      <c r="H457">
        <v>0.221</v>
      </c>
      <c r="I457">
        <v>0.3</v>
      </c>
      <c r="J457">
        <v>17</v>
      </c>
      <c r="K457">
        <v>12</v>
      </c>
      <c r="L457" t="s">
        <v>58</v>
      </c>
      <c r="M457" t="s">
        <v>59</v>
      </c>
      <c r="N457" t="s">
        <v>45</v>
      </c>
      <c r="O457">
        <v>4</v>
      </c>
      <c r="P457" t="s">
        <v>8</v>
      </c>
      <c r="Q457">
        <v>6.1</v>
      </c>
      <c r="R457" s="1" t="str">
        <f t="shared" si="7"/>
        <v>II</v>
      </c>
    </row>
    <row r="458" spans="1:18">
      <c r="A458">
        <v>1576</v>
      </c>
      <c r="B458" t="s">
        <v>75</v>
      </c>
      <c r="C458">
        <v>0.48499999999999999</v>
      </c>
      <c r="D458">
        <v>0.375</v>
      </c>
      <c r="E458">
        <v>0.13</v>
      </c>
      <c r="F458">
        <v>0.60250000000000004</v>
      </c>
      <c r="G458">
        <v>0.29349999999999998</v>
      </c>
      <c r="H458">
        <v>0.1285</v>
      </c>
      <c r="I458">
        <v>0.16</v>
      </c>
      <c r="J458">
        <v>7</v>
      </c>
      <c r="K458">
        <v>1</v>
      </c>
      <c r="L458" t="s">
        <v>70</v>
      </c>
      <c r="M458" t="s">
        <v>71</v>
      </c>
      <c r="N458" t="s">
        <v>45</v>
      </c>
      <c r="O458">
        <v>2</v>
      </c>
      <c r="P458" t="s">
        <v>5</v>
      </c>
      <c r="Q458">
        <v>18</v>
      </c>
      <c r="R458" s="1" t="str">
        <f t="shared" si="7"/>
        <v>II</v>
      </c>
    </row>
    <row r="459" spans="1:18">
      <c r="A459">
        <v>845</v>
      </c>
      <c r="B459" t="s">
        <v>75</v>
      </c>
      <c r="C459">
        <v>0.52500000000000002</v>
      </c>
      <c r="D459">
        <v>0.39500000000000002</v>
      </c>
      <c r="E459">
        <v>0.13</v>
      </c>
      <c r="F459">
        <v>0.76349999999999996</v>
      </c>
      <c r="G459">
        <v>0.33750000000000002</v>
      </c>
      <c r="H459">
        <v>0.14249999999999999</v>
      </c>
      <c r="I459">
        <v>0.22500000000000001</v>
      </c>
      <c r="J459">
        <v>8</v>
      </c>
      <c r="K459">
        <v>14</v>
      </c>
      <c r="L459" t="s">
        <v>72</v>
      </c>
      <c r="M459" t="s">
        <v>73</v>
      </c>
      <c r="N459" t="s">
        <v>74</v>
      </c>
      <c r="O459">
        <v>8</v>
      </c>
      <c r="P459" t="s">
        <v>13</v>
      </c>
      <c r="Q459">
        <v>12.3</v>
      </c>
      <c r="R459" s="1" t="str">
        <f t="shared" ref="R459:R522" si="8">IF(OR(AND(J459 &gt; 15, B459 = "Infant"), AND(D459 = "Male", C459 &gt; 0.75),
    OR(I459 &gt; 0.8, G459 &gt; 0.5), G459 &gt; 1.2),
    "I",
    IF(OR(AND(I459 &lt; 0.4, G459 &lt; 0.4), AND(J459 &gt; 15, D459 = "Male"), AND(J459 &gt; 18, D459 = "Female"), C459 &lt; 0.36),
    "II",
    "III"))</f>
        <v>II</v>
      </c>
    </row>
    <row r="460" spans="1:18">
      <c r="A460">
        <v>3540</v>
      </c>
      <c r="B460" t="s">
        <v>75</v>
      </c>
      <c r="C460">
        <v>0.435</v>
      </c>
      <c r="D460">
        <v>0.34</v>
      </c>
      <c r="E460">
        <v>0.12</v>
      </c>
      <c r="F460">
        <v>0.39600000000000002</v>
      </c>
      <c r="G460">
        <v>0.17749999999999999</v>
      </c>
      <c r="H460">
        <v>8.1000000000000003E-2</v>
      </c>
      <c r="I460">
        <v>0.125</v>
      </c>
      <c r="J460">
        <v>8</v>
      </c>
      <c r="K460">
        <v>10</v>
      </c>
      <c r="L460" t="s">
        <v>37</v>
      </c>
      <c r="M460" t="s">
        <v>38</v>
      </c>
      <c r="N460" t="s">
        <v>39</v>
      </c>
      <c r="O460">
        <v>3</v>
      </c>
      <c r="P460" t="s">
        <v>10</v>
      </c>
      <c r="Q460">
        <v>3.6</v>
      </c>
      <c r="R460" s="1" t="str">
        <f t="shared" si="8"/>
        <v>II</v>
      </c>
    </row>
    <row r="461" spans="1:18">
      <c r="A461">
        <v>201</v>
      </c>
      <c r="B461" t="s">
        <v>75</v>
      </c>
      <c r="C461">
        <v>0.45</v>
      </c>
      <c r="D461">
        <v>0.34499999999999997</v>
      </c>
      <c r="E461">
        <v>0.12</v>
      </c>
      <c r="F461">
        <v>0.41649999999999998</v>
      </c>
      <c r="G461">
        <v>0.16550000000000001</v>
      </c>
      <c r="H461">
        <v>9.5000000000000001E-2</v>
      </c>
      <c r="I461">
        <v>0.13500000000000001</v>
      </c>
      <c r="J461">
        <v>9</v>
      </c>
      <c r="K461">
        <v>13</v>
      </c>
      <c r="L461" t="s">
        <v>43</v>
      </c>
      <c r="M461" t="s">
        <v>44</v>
      </c>
      <c r="N461" t="s">
        <v>45</v>
      </c>
      <c r="O461">
        <v>2</v>
      </c>
      <c r="P461" t="s">
        <v>5</v>
      </c>
      <c r="Q461">
        <v>18</v>
      </c>
      <c r="R461" s="1" t="str">
        <f t="shared" si="8"/>
        <v>II</v>
      </c>
    </row>
    <row r="462" spans="1:18">
      <c r="A462">
        <v>2458</v>
      </c>
      <c r="B462" t="s">
        <v>75</v>
      </c>
      <c r="C462">
        <v>0.25</v>
      </c>
      <c r="D462">
        <v>0.185</v>
      </c>
      <c r="E462">
        <v>6.5000000000000002E-2</v>
      </c>
      <c r="F462">
        <v>7.0999999999999994E-2</v>
      </c>
      <c r="G462">
        <v>2.7E-2</v>
      </c>
      <c r="H462">
        <v>1.8499999999999999E-2</v>
      </c>
      <c r="I462">
        <v>2.2499999999999999E-2</v>
      </c>
      <c r="J462">
        <v>5</v>
      </c>
      <c r="K462">
        <v>6</v>
      </c>
      <c r="L462" t="s">
        <v>46</v>
      </c>
      <c r="M462" t="s">
        <v>47</v>
      </c>
      <c r="N462" t="s">
        <v>48</v>
      </c>
      <c r="O462">
        <v>2</v>
      </c>
      <c r="P462" t="s">
        <v>5</v>
      </c>
      <c r="Q462">
        <v>18</v>
      </c>
      <c r="R462" s="1" t="str">
        <f t="shared" si="8"/>
        <v>II</v>
      </c>
    </row>
    <row r="463" spans="1:18">
      <c r="A463">
        <v>330</v>
      </c>
      <c r="B463" t="s">
        <v>75</v>
      </c>
      <c r="C463">
        <v>0.36</v>
      </c>
      <c r="D463">
        <v>0.28000000000000003</v>
      </c>
      <c r="E463">
        <v>0.09</v>
      </c>
      <c r="F463">
        <v>0.22550000000000001</v>
      </c>
      <c r="G463">
        <v>8.8499999999999995E-2</v>
      </c>
      <c r="H463">
        <v>0.04</v>
      </c>
      <c r="I463">
        <v>0.09</v>
      </c>
      <c r="J463">
        <v>8</v>
      </c>
      <c r="K463">
        <v>7</v>
      </c>
      <c r="L463" t="s">
        <v>62</v>
      </c>
      <c r="M463" t="s">
        <v>63</v>
      </c>
      <c r="N463" t="s">
        <v>64</v>
      </c>
      <c r="O463">
        <v>6</v>
      </c>
      <c r="P463" t="s">
        <v>7</v>
      </c>
      <c r="Q463">
        <v>14.1</v>
      </c>
      <c r="R463" s="1" t="str">
        <f t="shared" si="8"/>
        <v>II</v>
      </c>
    </row>
    <row r="464" spans="1:18">
      <c r="A464">
        <v>180</v>
      </c>
      <c r="B464" t="s">
        <v>75</v>
      </c>
      <c r="C464">
        <v>0.57999999999999996</v>
      </c>
      <c r="D464">
        <v>0.47499999999999998</v>
      </c>
      <c r="E464">
        <v>0.15</v>
      </c>
      <c r="F464">
        <v>0.97</v>
      </c>
      <c r="G464">
        <v>0.38500000000000001</v>
      </c>
      <c r="H464">
        <v>0.2165</v>
      </c>
      <c r="I464">
        <v>0.35</v>
      </c>
      <c r="J464">
        <v>11</v>
      </c>
      <c r="K464">
        <v>12</v>
      </c>
      <c r="L464" t="s">
        <v>58</v>
      </c>
      <c r="M464" t="s">
        <v>59</v>
      </c>
      <c r="N464" t="s">
        <v>45</v>
      </c>
      <c r="O464">
        <v>4</v>
      </c>
      <c r="P464" t="s">
        <v>8</v>
      </c>
      <c r="Q464">
        <v>6.1</v>
      </c>
      <c r="R464" s="1" t="str">
        <f t="shared" si="8"/>
        <v>II</v>
      </c>
    </row>
    <row r="465" spans="1:18">
      <c r="A465">
        <v>4080</v>
      </c>
      <c r="B465" t="s">
        <v>75</v>
      </c>
      <c r="C465">
        <v>0.55000000000000004</v>
      </c>
      <c r="D465">
        <v>0.38500000000000001</v>
      </c>
      <c r="E465">
        <v>0.13</v>
      </c>
      <c r="F465">
        <v>0.72750000000000004</v>
      </c>
      <c r="G465">
        <v>0.34300000000000003</v>
      </c>
      <c r="H465">
        <v>0.16250000000000001</v>
      </c>
      <c r="I465">
        <v>0.19</v>
      </c>
      <c r="J465">
        <v>8</v>
      </c>
      <c r="K465">
        <v>6</v>
      </c>
      <c r="L465" t="s">
        <v>46</v>
      </c>
      <c r="M465" t="s">
        <v>47</v>
      </c>
      <c r="N465" t="s">
        <v>48</v>
      </c>
      <c r="O465">
        <v>1</v>
      </c>
      <c r="P465" t="s">
        <v>4</v>
      </c>
      <c r="Q465">
        <v>22.1</v>
      </c>
      <c r="R465" s="1" t="str">
        <f t="shared" si="8"/>
        <v>II</v>
      </c>
    </row>
    <row r="466" spans="1:18">
      <c r="A466">
        <v>187</v>
      </c>
      <c r="B466" t="s">
        <v>75</v>
      </c>
      <c r="C466">
        <v>0.63</v>
      </c>
      <c r="D466">
        <v>0.48</v>
      </c>
      <c r="E466">
        <v>0.15</v>
      </c>
      <c r="F466">
        <v>1.0525</v>
      </c>
      <c r="G466">
        <v>0.39200000000000002</v>
      </c>
      <c r="H466">
        <v>0.33600000000000002</v>
      </c>
      <c r="I466">
        <v>0.28499999999999998</v>
      </c>
      <c r="J466">
        <v>12</v>
      </c>
      <c r="K466">
        <v>15</v>
      </c>
      <c r="L466" t="s">
        <v>60</v>
      </c>
      <c r="M466" t="s">
        <v>61</v>
      </c>
      <c r="N466" t="s">
        <v>45</v>
      </c>
      <c r="O466">
        <v>9</v>
      </c>
      <c r="P466" t="s">
        <v>9</v>
      </c>
      <c r="Q466">
        <v>1.9</v>
      </c>
      <c r="R466" s="1" t="str">
        <f t="shared" si="8"/>
        <v>II</v>
      </c>
    </row>
    <row r="467" spans="1:18">
      <c r="A467">
        <v>1604</v>
      </c>
      <c r="B467" t="s">
        <v>75</v>
      </c>
      <c r="C467">
        <v>0.54</v>
      </c>
      <c r="D467">
        <v>0.43</v>
      </c>
      <c r="E467">
        <v>0.14000000000000001</v>
      </c>
      <c r="F467">
        <v>0.81950000000000001</v>
      </c>
      <c r="G467">
        <v>0.39350000000000002</v>
      </c>
      <c r="H467">
        <v>0.17249999999999999</v>
      </c>
      <c r="I467">
        <v>0.22950000000000001</v>
      </c>
      <c r="J467">
        <v>9</v>
      </c>
      <c r="K467">
        <v>1</v>
      </c>
      <c r="L467" t="s">
        <v>70</v>
      </c>
      <c r="M467" t="s">
        <v>71</v>
      </c>
      <c r="N467" t="s">
        <v>45</v>
      </c>
      <c r="O467">
        <v>3</v>
      </c>
      <c r="P467" t="s">
        <v>10</v>
      </c>
      <c r="Q467">
        <v>3.6</v>
      </c>
      <c r="R467" s="1" t="str">
        <f t="shared" si="8"/>
        <v>II</v>
      </c>
    </row>
    <row r="468" spans="1:18">
      <c r="A468">
        <v>1853</v>
      </c>
      <c r="B468" t="s">
        <v>75</v>
      </c>
      <c r="C468">
        <v>0.495</v>
      </c>
      <c r="D468">
        <v>0.38</v>
      </c>
      <c r="E468">
        <v>0.13500000000000001</v>
      </c>
      <c r="F468">
        <v>0.50949999999999995</v>
      </c>
      <c r="G468">
        <v>0.20649999999999999</v>
      </c>
      <c r="H468">
        <v>0.11650000000000001</v>
      </c>
      <c r="I468">
        <v>0.16500000000000001</v>
      </c>
      <c r="J468">
        <v>8</v>
      </c>
      <c r="K468">
        <v>10</v>
      </c>
      <c r="L468" t="s">
        <v>37</v>
      </c>
      <c r="M468" t="s">
        <v>38</v>
      </c>
      <c r="N468" t="s">
        <v>39</v>
      </c>
      <c r="O468">
        <v>7</v>
      </c>
      <c r="P468" t="s">
        <v>6</v>
      </c>
      <c r="Q468">
        <v>2.5</v>
      </c>
      <c r="R468" s="1" t="str">
        <f t="shared" si="8"/>
        <v>II</v>
      </c>
    </row>
    <row r="469" spans="1:18">
      <c r="A469">
        <v>414</v>
      </c>
      <c r="B469" t="s">
        <v>75</v>
      </c>
      <c r="C469">
        <v>0.54500000000000004</v>
      </c>
      <c r="D469">
        <v>0.44</v>
      </c>
      <c r="E469">
        <v>0.12</v>
      </c>
      <c r="F469">
        <v>0.85650000000000004</v>
      </c>
      <c r="G469">
        <v>0.34749999999999998</v>
      </c>
      <c r="H469">
        <v>0.17150000000000001</v>
      </c>
      <c r="I469">
        <v>0.24</v>
      </c>
      <c r="J469">
        <v>12</v>
      </c>
      <c r="K469">
        <v>14</v>
      </c>
      <c r="L469" t="s">
        <v>72</v>
      </c>
      <c r="M469" t="s">
        <v>73</v>
      </c>
      <c r="N469" t="s">
        <v>74</v>
      </c>
      <c r="O469">
        <v>6</v>
      </c>
      <c r="P469" t="s">
        <v>7</v>
      </c>
      <c r="Q469">
        <v>14.1</v>
      </c>
      <c r="R469" s="1" t="str">
        <f t="shared" si="8"/>
        <v>II</v>
      </c>
    </row>
    <row r="470" spans="1:18">
      <c r="A470">
        <v>4164</v>
      </c>
      <c r="B470" t="s">
        <v>75</v>
      </c>
      <c r="C470">
        <v>0.39</v>
      </c>
      <c r="D470">
        <v>0.31</v>
      </c>
      <c r="E470">
        <v>8.5000000000000006E-2</v>
      </c>
      <c r="F470">
        <v>0.34399999999999997</v>
      </c>
      <c r="G470">
        <v>0.18099999999999999</v>
      </c>
      <c r="H470">
        <v>6.9500000000000006E-2</v>
      </c>
      <c r="I470">
        <v>7.9000000000000001E-2</v>
      </c>
      <c r="J470">
        <v>7</v>
      </c>
      <c r="K470">
        <v>15</v>
      </c>
      <c r="L470" t="s">
        <v>60</v>
      </c>
      <c r="M470" t="s">
        <v>61</v>
      </c>
      <c r="N470" t="s">
        <v>45</v>
      </c>
      <c r="O470">
        <v>1</v>
      </c>
      <c r="P470" t="s">
        <v>4</v>
      </c>
      <c r="Q470">
        <v>22.1</v>
      </c>
      <c r="R470" s="1" t="str">
        <f t="shared" si="8"/>
        <v>II</v>
      </c>
    </row>
    <row r="471" spans="1:18">
      <c r="A471">
        <v>1058</v>
      </c>
      <c r="B471" t="s">
        <v>75</v>
      </c>
      <c r="C471">
        <v>0.22500000000000001</v>
      </c>
      <c r="D471">
        <v>0.16500000000000001</v>
      </c>
      <c r="E471">
        <v>5.5E-2</v>
      </c>
      <c r="F471">
        <v>5.8999999999999997E-2</v>
      </c>
      <c r="G471">
        <v>2.7E-2</v>
      </c>
      <c r="H471">
        <v>1.2500000000000001E-2</v>
      </c>
      <c r="I471">
        <v>1.4999999999999999E-2</v>
      </c>
      <c r="J471">
        <v>4</v>
      </c>
      <c r="K471">
        <v>14</v>
      </c>
      <c r="L471" t="s">
        <v>72</v>
      </c>
      <c r="M471" t="s">
        <v>73</v>
      </c>
      <c r="N471" t="s">
        <v>74</v>
      </c>
      <c r="O471">
        <v>4</v>
      </c>
      <c r="P471" t="s">
        <v>8</v>
      </c>
      <c r="Q471">
        <v>6.1</v>
      </c>
      <c r="R471" s="1" t="str">
        <f t="shared" si="8"/>
        <v>II</v>
      </c>
    </row>
    <row r="472" spans="1:18">
      <c r="A472">
        <v>3724</v>
      </c>
      <c r="B472" t="s">
        <v>75</v>
      </c>
      <c r="C472">
        <v>0.47</v>
      </c>
      <c r="D472">
        <v>0.35499999999999998</v>
      </c>
      <c r="E472">
        <v>0.12</v>
      </c>
      <c r="F472">
        <v>0.49149999999999999</v>
      </c>
      <c r="G472">
        <v>0.17649999999999999</v>
      </c>
      <c r="H472">
        <v>0.1125</v>
      </c>
      <c r="I472">
        <v>0.13250000000000001</v>
      </c>
      <c r="J472">
        <v>9</v>
      </c>
      <c r="K472">
        <v>8</v>
      </c>
      <c r="L472" t="s">
        <v>55</v>
      </c>
      <c r="M472" t="s">
        <v>56</v>
      </c>
      <c r="N472" t="s">
        <v>57</v>
      </c>
      <c r="O472">
        <v>8</v>
      </c>
      <c r="P472" t="s">
        <v>13</v>
      </c>
      <c r="Q472">
        <v>12.3</v>
      </c>
      <c r="R472" s="1" t="str">
        <f t="shared" si="8"/>
        <v>II</v>
      </c>
    </row>
    <row r="473" spans="1:18">
      <c r="A473">
        <v>3329</v>
      </c>
      <c r="B473" t="s">
        <v>75</v>
      </c>
      <c r="C473">
        <v>0.57499999999999996</v>
      </c>
      <c r="D473">
        <v>0.47499999999999998</v>
      </c>
      <c r="E473">
        <v>0.17</v>
      </c>
      <c r="F473">
        <v>0.96699999999999997</v>
      </c>
      <c r="G473">
        <v>0.3775</v>
      </c>
      <c r="H473">
        <v>0.28399999999999997</v>
      </c>
      <c r="I473">
        <v>0.27500000000000002</v>
      </c>
      <c r="J473">
        <v>13</v>
      </c>
      <c r="K473">
        <v>9</v>
      </c>
      <c r="L473" t="s">
        <v>34</v>
      </c>
      <c r="M473" t="s">
        <v>35</v>
      </c>
      <c r="N473" t="s">
        <v>36</v>
      </c>
      <c r="O473">
        <v>8</v>
      </c>
      <c r="P473" t="s">
        <v>13</v>
      </c>
      <c r="Q473">
        <v>12.3</v>
      </c>
      <c r="R473" s="1" t="str">
        <f t="shared" si="8"/>
        <v>II</v>
      </c>
    </row>
    <row r="474" spans="1:18">
      <c r="A474">
        <v>2880</v>
      </c>
      <c r="B474" t="s">
        <v>75</v>
      </c>
      <c r="C474">
        <v>0.47</v>
      </c>
      <c r="D474">
        <v>0.38500000000000001</v>
      </c>
      <c r="E474">
        <v>0.13</v>
      </c>
      <c r="F474">
        <v>0.58699999999999997</v>
      </c>
      <c r="G474">
        <v>0.26400000000000001</v>
      </c>
      <c r="H474">
        <v>0.11700000000000001</v>
      </c>
      <c r="I474">
        <v>0.17399999999999999</v>
      </c>
      <c r="J474">
        <v>8</v>
      </c>
      <c r="K474">
        <v>2</v>
      </c>
      <c r="L474" t="s">
        <v>49</v>
      </c>
      <c r="M474" t="s">
        <v>50</v>
      </c>
      <c r="N474" t="s">
        <v>51</v>
      </c>
      <c r="O474">
        <v>10</v>
      </c>
      <c r="P474" t="s">
        <v>11</v>
      </c>
      <c r="Q474">
        <v>24.1</v>
      </c>
      <c r="R474" s="1" t="str">
        <f t="shared" si="8"/>
        <v>II</v>
      </c>
    </row>
    <row r="475" spans="1:18">
      <c r="A475">
        <v>589</v>
      </c>
      <c r="B475" t="s">
        <v>75</v>
      </c>
      <c r="C475">
        <v>0.45</v>
      </c>
      <c r="D475">
        <v>0.33500000000000002</v>
      </c>
      <c r="E475">
        <v>0.14000000000000001</v>
      </c>
      <c r="F475">
        <v>0.46250000000000002</v>
      </c>
      <c r="G475">
        <v>0.16400000000000001</v>
      </c>
      <c r="H475">
        <v>7.5999999999999998E-2</v>
      </c>
      <c r="I475">
        <v>0.15</v>
      </c>
      <c r="J475">
        <v>14</v>
      </c>
      <c r="K475">
        <v>15</v>
      </c>
      <c r="L475" t="s">
        <v>60</v>
      </c>
      <c r="M475" t="s">
        <v>61</v>
      </c>
      <c r="N475" t="s">
        <v>45</v>
      </c>
      <c r="O475">
        <v>5</v>
      </c>
      <c r="P475" t="s">
        <v>12</v>
      </c>
      <c r="Q475">
        <v>12.8</v>
      </c>
      <c r="R475" s="1" t="str">
        <f t="shared" si="8"/>
        <v>II</v>
      </c>
    </row>
    <row r="476" spans="1:18">
      <c r="A476">
        <v>1</v>
      </c>
      <c r="B476" t="s">
        <v>75</v>
      </c>
      <c r="C476">
        <v>0.45500000000000002</v>
      </c>
      <c r="D476">
        <v>0.36499999999999999</v>
      </c>
      <c r="E476">
        <v>9.5000000000000001E-2</v>
      </c>
      <c r="F476">
        <v>0.51400000000000001</v>
      </c>
      <c r="G476">
        <v>0.22450000000000001</v>
      </c>
      <c r="H476">
        <v>0.10100000000000001</v>
      </c>
      <c r="I476">
        <v>0.15</v>
      </c>
      <c r="J476">
        <v>15</v>
      </c>
      <c r="K476">
        <v>5</v>
      </c>
      <c r="L476" t="s">
        <v>67</v>
      </c>
      <c r="M476" t="s">
        <v>68</v>
      </c>
      <c r="N476" t="s">
        <v>69</v>
      </c>
      <c r="O476">
        <v>2</v>
      </c>
      <c r="P476" t="s">
        <v>5</v>
      </c>
      <c r="Q476">
        <v>18</v>
      </c>
      <c r="R476" s="1" t="str">
        <f t="shared" si="8"/>
        <v>II</v>
      </c>
    </row>
    <row r="477" spans="1:18">
      <c r="A477">
        <v>104</v>
      </c>
      <c r="B477" t="s">
        <v>75</v>
      </c>
      <c r="C477">
        <v>0.53</v>
      </c>
      <c r="D477">
        <v>0.41499999999999998</v>
      </c>
      <c r="E477">
        <v>0.14000000000000001</v>
      </c>
      <c r="F477">
        <v>0.72399999999999998</v>
      </c>
      <c r="G477">
        <v>0.3105</v>
      </c>
      <c r="H477">
        <v>0.16750000000000001</v>
      </c>
      <c r="I477">
        <v>0.20499999999999999</v>
      </c>
      <c r="J477">
        <v>10</v>
      </c>
      <c r="K477">
        <v>11</v>
      </c>
      <c r="L477" t="s">
        <v>65</v>
      </c>
      <c r="M477" t="s">
        <v>66</v>
      </c>
      <c r="N477" t="s">
        <v>45</v>
      </c>
      <c r="O477">
        <v>9</v>
      </c>
      <c r="P477" t="s">
        <v>9</v>
      </c>
      <c r="Q477">
        <v>1.9</v>
      </c>
      <c r="R477" s="1" t="str">
        <f t="shared" si="8"/>
        <v>II</v>
      </c>
    </row>
    <row r="478" spans="1:18">
      <c r="A478">
        <v>783</v>
      </c>
      <c r="B478" t="s">
        <v>75</v>
      </c>
      <c r="C478">
        <v>0.51500000000000001</v>
      </c>
      <c r="D478">
        <v>0.435</v>
      </c>
      <c r="E478">
        <v>0.14499999999999999</v>
      </c>
      <c r="F478">
        <v>0.88149999999999995</v>
      </c>
      <c r="G478">
        <v>0.29199999999999998</v>
      </c>
      <c r="H478">
        <v>0.20599999999999999</v>
      </c>
      <c r="I478">
        <v>0.255</v>
      </c>
      <c r="J478">
        <v>10</v>
      </c>
      <c r="K478">
        <v>14</v>
      </c>
      <c r="L478" t="s">
        <v>72</v>
      </c>
      <c r="M478" t="s">
        <v>73</v>
      </c>
      <c r="N478" t="s">
        <v>74</v>
      </c>
      <c r="O478">
        <v>5</v>
      </c>
      <c r="P478" t="s">
        <v>12</v>
      </c>
      <c r="Q478">
        <v>12.8</v>
      </c>
      <c r="R478" s="1" t="str">
        <f t="shared" si="8"/>
        <v>II</v>
      </c>
    </row>
    <row r="479" spans="1:18">
      <c r="A479">
        <v>235</v>
      </c>
      <c r="B479" t="s">
        <v>75</v>
      </c>
      <c r="C479">
        <v>0.44</v>
      </c>
      <c r="D479">
        <v>0.35</v>
      </c>
      <c r="E479">
        <v>0.13500000000000001</v>
      </c>
      <c r="F479">
        <v>0.435</v>
      </c>
      <c r="G479">
        <v>0.18149999999999999</v>
      </c>
      <c r="H479">
        <v>8.3000000000000004E-2</v>
      </c>
      <c r="I479">
        <v>0.125</v>
      </c>
      <c r="J479">
        <v>12</v>
      </c>
      <c r="K479">
        <v>5</v>
      </c>
      <c r="L479" t="s">
        <v>67</v>
      </c>
      <c r="M479" t="s">
        <v>68</v>
      </c>
      <c r="N479" t="s">
        <v>69</v>
      </c>
      <c r="O479">
        <v>5</v>
      </c>
      <c r="P479" t="s">
        <v>12</v>
      </c>
      <c r="Q479">
        <v>12.8</v>
      </c>
      <c r="R479" s="1" t="str">
        <f t="shared" si="8"/>
        <v>II</v>
      </c>
    </row>
    <row r="480" spans="1:18">
      <c r="A480">
        <v>56</v>
      </c>
      <c r="B480" t="s">
        <v>75</v>
      </c>
      <c r="C480">
        <v>0.5</v>
      </c>
      <c r="D480">
        <v>0.4</v>
      </c>
      <c r="E480">
        <v>0.14000000000000001</v>
      </c>
      <c r="F480">
        <v>0.66149999999999998</v>
      </c>
      <c r="G480">
        <v>0.25650000000000001</v>
      </c>
      <c r="H480">
        <v>0.17549999999999999</v>
      </c>
      <c r="I480">
        <v>0.22</v>
      </c>
      <c r="J480">
        <v>8</v>
      </c>
      <c r="K480">
        <v>1</v>
      </c>
      <c r="L480" t="s">
        <v>70</v>
      </c>
      <c r="M480" t="s">
        <v>71</v>
      </c>
      <c r="N480" t="s">
        <v>45</v>
      </c>
      <c r="O480">
        <v>8</v>
      </c>
      <c r="P480" t="s">
        <v>13</v>
      </c>
      <c r="Q480">
        <v>12.3</v>
      </c>
      <c r="R480" s="1" t="str">
        <f t="shared" si="8"/>
        <v>II</v>
      </c>
    </row>
    <row r="481" spans="1:18">
      <c r="A481">
        <v>1250</v>
      </c>
      <c r="B481" t="s">
        <v>75</v>
      </c>
      <c r="C481">
        <v>0.39500000000000002</v>
      </c>
      <c r="D481">
        <v>0.27</v>
      </c>
      <c r="E481">
        <v>0.1</v>
      </c>
      <c r="F481">
        <v>0.29849999999999999</v>
      </c>
      <c r="G481">
        <v>0.14449999999999999</v>
      </c>
      <c r="H481">
        <v>6.0999999999999999E-2</v>
      </c>
      <c r="I481">
        <v>8.2000000000000003E-2</v>
      </c>
      <c r="J481">
        <v>5</v>
      </c>
      <c r="K481">
        <v>1</v>
      </c>
      <c r="L481" t="s">
        <v>70</v>
      </c>
      <c r="M481" t="s">
        <v>71</v>
      </c>
      <c r="N481" t="s">
        <v>45</v>
      </c>
      <c r="O481">
        <v>6</v>
      </c>
      <c r="P481" t="s">
        <v>7</v>
      </c>
      <c r="Q481">
        <v>14.1</v>
      </c>
      <c r="R481" s="1" t="str">
        <f t="shared" si="8"/>
        <v>II</v>
      </c>
    </row>
    <row r="482" spans="1:18">
      <c r="A482">
        <v>349</v>
      </c>
      <c r="B482" t="s">
        <v>75</v>
      </c>
      <c r="C482">
        <v>0.375</v>
      </c>
      <c r="D482">
        <v>0.30499999999999999</v>
      </c>
      <c r="E482">
        <v>0.115</v>
      </c>
      <c r="F482">
        <v>0.27150000000000002</v>
      </c>
      <c r="G482">
        <v>9.1999999999999998E-2</v>
      </c>
      <c r="H482">
        <v>7.3999999999999996E-2</v>
      </c>
      <c r="I482">
        <v>0.09</v>
      </c>
      <c r="J482">
        <v>8</v>
      </c>
      <c r="K482">
        <v>8</v>
      </c>
      <c r="L482" t="s">
        <v>55</v>
      </c>
      <c r="M482" t="s">
        <v>56</v>
      </c>
      <c r="N482" t="s">
        <v>57</v>
      </c>
      <c r="O482">
        <v>5</v>
      </c>
      <c r="P482" t="s">
        <v>12</v>
      </c>
      <c r="Q482">
        <v>12.8</v>
      </c>
      <c r="R482" s="1" t="str">
        <f t="shared" si="8"/>
        <v>II</v>
      </c>
    </row>
    <row r="483" spans="1:18">
      <c r="A483">
        <v>2020</v>
      </c>
      <c r="B483" t="s">
        <v>75</v>
      </c>
      <c r="C483">
        <v>0.51</v>
      </c>
      <c r="D483">
        <v>0.45500000000000002</v>
      </c>
      <c r="E483">
        <v>0.13500000000000001</v>
      </c>
      <c r="F483">
        <v>0.6855</v>
      </c>
      <c r="G483">
        <v>0.28749999999999998</v>
      </c>
      <c r="H483">
        <v>0.154</v>
      </c>
      <c r="I483">
        <v>0.20349999999999999</v>
      </c>
      <c r="J483">
        <v>9</v>
      </c>
      <c r="K483">
        <v>2</v>
      </c>
      <c r="L483" t="s">
        <v>49</v>
      </c>
      <c r="M483" t="s">
        <v>50</v>
      </c>
      <c r="N483" t="s">
        <v>51</v>
      </c>
      <c r="O483">
        <v>7</v>
      </c>
      <c r="P483" t="s">
        <v>6</v>
      </c>
      <c r="Q483">
        <v>2.5</v>
      </c>
      <c r="R483" s="1" t="str">
        <f t="shared" si="8"/>
        <v>II</v>
      </c>
    </row>
    <row r="484" spans="1:18">
      <c r="A484">
        <v>2665</v>
      </c>
      <c r="B484" t="s">
        <v>75</v>
      </c>
      <c r="C484">
        <v>0.56999999999999995</v>
      </c>
      <c r="D484">
        <v>0.43</v>
      </c>
      <c r="E484">
        <v>0.16</v>
      </c>
      <c r="F484">
        <v>0.81100000000000005</v>
      </c>
      <c r="G484">
        <v>0.38750000000000001</v>
      </c>
      <c r="H484">
        <v>0.159</v>
      </c>
      <c r="I484">
        <v>0.22850000000000001</v>
      </c>
      <c r="J484">
        <v>9</v>
      </c>
      <c r="K484">
        <v>7</v>
      </c>
      <c r="L484" t="s">
        <v>62</v>
      </c>
      <c r="M484" t="s">
        <v>63</v>
      </c>
      <c r="N484" t="s">
        <v>64</v>
      </c>
      <c r="O484">
        <v>2</v>
      </c>
      <c r="P484" t="s">
        <v>5</v>
      </c>
      <c r="Q484">
        <v>18</v>
      </c>
      <c r="R484" s="1" t="str">
        <f t="shared" si="8"/>
        <v>II</v>
      </c>
    </row>
    <row r="485" spans="1:18">
      <c r="A485">
        <v>2425</v>
      </c>
      <c r="B485" t="s">
        <v>75</v>
      </c>
      <c r="C485">
        <v>0.26</v>
      </c>
      <c r="D485">
        <v>0.2</v>
      </c>
      <c r="E485">
        <v>6.5000000000000002E-2</v>
      </c>
      <c r="F485">
        <v>9.6000000000000002E-2</v>
      </c>
      <c r="G485">
        <v>4.3999999999999997E-2</v>
      </c>
      <c r="H485">
        <v>2.7E-2</v>
      </c>
      <c r="I485">
        <v>0.03</v>
      </c>
      <c r="J485">
        <v>6</v>
      </c>
      <c r="K485">
        <v>11</v>
      </c>
      <c r="L485" t="s">
        <v>65</v>
      </c>
      <c r="M485" t="s">
        <v>66</v>
      </c>
      <c r="N485" t="s">
        <v>45</v>
      </c>
      <c r="O485">
        <v>1</v>
      </c>
      <c r="P485" t="s">
        <v>4</v>
      </c>
      <c r="Q485">
        <v>22.1</v>
      </c>
      <c r="R485" s="1" t="str">
        <f t="shared" si="8"/>
        <v>II</v>
      </c>
    </row>
    <row r="486" spans="1:18">
      <c r="A486">
        <v>2270</v>
      </c>
      <c r="B486" t="s">
        <v>75</v>
      </c>
      <c r="C486">
        <v>0.56999999999999995</v>
      </c>
      <c r="D486">
        <v>0.45</v>
      </c>
      <c r="E486">
        <v>0.16</v>
      </c>
      <c r="F486">
        <v>0.86150000000000004</v>
      </c>
      <c r="G486">
        <v>0.3725</v>
      </c>
      <c r="H486">
        <v>0.2175</v>
      </c>
      <c r="I486">
        <v>0.255</v>
      </c>
      <c r="J486">
        <v>12</v>
      </c>
      <c r="K486">
        <v>4</v>
      </c>
      <c r="L486" t="s">
        <v>40</v>
      </c>
      <c r="M486" t="s">
        <v>41</v>
      </c>
      <c r="N486" t="s">
        <v>42</v>
      </c>
      <c r="O486">
        <v>10</v>
      </c>
      <c r="P486" t="s">
        <v>11</v>
      </c>
      <c r="Q486">
        <v>24.1</v>
      </c>
      <c r="R486" s="1" t="str">
        <f t="shared" si="8"/>
        <v>II</v>
      </c>
    </row>
    <row r="487" spans="1:18">
      <c r="A487">
        <v>2232</v>
      </c>
      <c r="B487" t="s">
        <v>75</v>
      </c>
      <c r="C487">
        <v>0.505</v>
      </c>
      <c r="D487">
        <v>0.4</v>
      </c>
      <c r="E487">
        <v>0.16500000000000001</v>
      </c>
      <c r="F487">
        <v>0.72899999999999998</v>
      </c>
      <c r="G487">
        <v>0.26750000000000002</v>
      </c>
      <c r="H487">
        <v>0.155</v>
      </c>
      <c r="I487">
        <v>0.25</v>
      </c>
      <c r="J487">
        <v>9</v>
      </c>
      <c r="K487">
        <v>11</v>
      </c>
      <c r="L487" t="s">
        <v>65</v>
      </c>
      <c r="M487" t="s">
        <v>66</v>
      </c>
      <c r="N487" t="s">
        <v>45</v>
      </c>
      <c r="O487">
        <v>9</v>
      </c>
      <c r="P487" t="s">
        <v>9</v>
      </c>
      <c r="Q487">
        <v>1.9</v>
      </c>
      <c r="R487" s="1" t="str">
        <f t="shared" si="8"/>
        <v>II</v>
      </c>
    </row>
    <row r="488" spans="1:18">
      <c r="A488">
        <v>1117</v>
      </c>
      <c r="B488" t="s">
        <v>75</v>
      </c>
      <c r="C488">
        <v>0.52500000000000002</v>
      </c>
      <c r="D488">
        <v>0.39500000000000002</v>
      </c>
      <c r="E488">
        <v>0.12</v>
      </c>
      <c r="F488">
        <v>0.60799999999999998</v>
      </c>
      <c r="G488">
        <v>0.29699999999999999</v>
      </c>
      <c r="H488">
        <v>0.13950000000000001</v>
      </c>
      <c r="I488">
        <v>0.14050000000000001</v>
      </c>
      <c r="J488">
        <v>8</v>
      </c>
      <c r="K488">
        <v>4</v>
      </c>
      <c r="L488" t="s">
        <v>40</v>
      </c>
      <c r="M488" t="s">
        <v>41</v>
      </c>
      <c r="N488" t="s">
        <v>42</v>
      </c>
      <c r="O488">
        <v>1</v>
      </c>
      <c r="P488" t="s">
        <v>4</v>
      </c>
      <c r="Q488">
        <v>22.1</v>
      </c>
      <c r="R488" s="1" t="str">
        <f t="shared" si="8"/>
        <v>II</v>
      </c>
    </row>
    <row r="489" spans="1:18">
      <c r="A489">
        <v>1779</v>
      </c>
      <c r="B489" t="s">
        <v>75</v>
      </c>
      <c r="C489">
        <v>0.49</v>
      </c>
      <c r="D489">
        <v>0.35499999999999998</v>
      </c>
      <c r="E489">
        <v>0.16</v>
      </c>
      <c r="F489">
        <v>0.87949999999999995</v>
      </c>
      <c r="G489">
        <v>0.34849999999999998</v>
      </c>
      <c r="H489">
        <v>0.215</v>
      </c>
      <c r="I489">
        <v>0.28249999999999997</v>
      </c>
      <c r="J489">
        <v>8</v>
      </c>
      <c r="K489">
        <v>3</v>
      </c>
      <c r="L489" t="s">
        <v>52</v>
      </c>
      <c r="M489" t="s">
        <v>53</v>
      </c>
      <c r="N489" t="s">
        <v>54</v>
      </c>
      <c r="O489">
        <v>10</v>
      </c>
      <c r="P489" t="s">
        <v>11</v>
      </c>
      <c r="Q489">
        <v>24.1</v>
      </c>
      <c r="R489" s="1" t="str">
        <f t="shared" si="8"/>
        <v>II</v>
      </c>
    </row>
    <row r="490" spans="1:18">
      <c r="A490">
        <v>3191</v>
      </c>
      <c r="B490" t="s">
        <v>75</v>
      </c>
      <c r="C490">
        <v>0.2</v>
      </c>
      <c r="D490">
        <v>0.14499999999999999</v>
      </c>
      <c r="E490">
        <v>2.5000000000000001E-2</v>
      </c>
      <c r="F490">
        <v>3.4500000000000003E-2</v>
      </c>
      <c r="G490">
        <v>1.0999999999999999E-2</v>
      </c>
      <c r="H490">
        <v>7.4999999999999997E-3</v>
      </c>
      <c r="I490">
        <v>0.01</v>
      </c>
      <c r="J490">
        <v>5</v>
      </c>
      <c r="K490">
        <v>3</v>
      </c>
      <c r="L490" t="s">
        <v>52</v>
      </c>
      <c r="M490" t="s">
        <v>53</v>
      </c>
      <c r="N490" t="s">
        <v>54</v>
      </c>
      <c r="O490">
        <v>5</v>
      </c>
      <c r="P490" t="s">
        <v>12</v>
      </c>
      <c r="Q490">
        <v>12.8</v>
      </c>
      <c r="R490" s="1" t="str">
        <f t="shared" si="8"/>
        <v>II</v>
      </c>
    </row>
    <row r="491" spans="1:18">
      <c r="A491">
        <v>793</v>
      </c>
      <c r="B491" t="s">
        <v>75</v>
      </c>
      <c r="C491">
        <v>0.47</v>
      </c>
      <c r="D491">
        <v>0.37</v>
      </c>
      <c r="E491">
        <v>0.18</v>
      </c>
      <c r="F491">
        <v>0.51</v>
      </c>
      <c r="G491">
        <v>0.1915</v>
      </c>
      <c r="H491">
        <v>0.1285</v>
      </c>
      <c r="I491">
        <v>0.16250000000000001</v>
      </c>
      <c r="J491">
        <v>9</v>
      </c>
      <c r="K491">
        <v>15</v>
      </c>
      <c r="L491" t="s">
        <v>60</v>
      </c>
      <c r="M491" t="s">
        <v>61</v>
      </c>
      <c r="N491" t="s">
        <v>45</v>
      </c>
      <c r="O491">
        <v>6</v>
      </c>
      <c r="P491" t="s">
        <v>7</v>
      </c>
      <c r="Q491">
        <v>14.1</v>
      </c>
      <c r="R491" s="1" t="str">
        <f t="shared" si="8"/>
        <v>II</v>
      </c>
    </row>
    <row r="492" spans="1:18">
      <c r="A492">
        <v>1553</v>
      </c>
      <c r="B492" t="s">
        <v>75</v>
      </c>
      <c r="C492">
        <v>0.39</v>
      </c>
      <c r="D492">
        <v>0.28499999999999998</v>
      </c>
      <c r="E492">
        <v>0.1</v>
      </c>
      <c r="F492">
        <v>0.28100000000000003</v>
      </c>
      <c r="G492">
        <v>0.1275</v>
      </c>
      <c r="H492">
        <v>6.2E-2</v>
      </c>
      <c r="I492">
        <v>7.6999999999999999E-2</v>
      </c>
      <c r="J492">
        <v>7</v>
      </c>
      <c r="K492">
        <v>14</v>
      </c>
      <c r="L492" t="s">
        <v>72</v>
      </c>
      <c r="M492" t="s">
        <v>73</v>
      </c>
      <c r="N492" t="s">
        <v>74</v>
      </c>
      <c r="O492">
        <v>3</v>
      </c>
      <c r="P492" t="s">
        <v>10</v>
      </c>
      <c r="Q492">
        <v>3.6</v>
      </c>
      <c r="R492" s="1" t="str">
        <f t="shared" si="8"/>
        <v>II</v>
      </c>
    </row>
    <row r="493" spans="1:18">
      <c r="A493">
        <v>85</v>
      </c>
      <c r="B493" t="s">
        <v>75</v>
      </c>
      <c r="C493">
        <v>0.57999999999999996</v>
      </c>
      <c r="D493">
        <v>0.45</v>
      </c>
      <c r="E493">
        <v>0.14000000000000001</v>
      </c>
      <c r="F493">
        <v>1.0129999999999999</v>
      </c>
      <c r="G493">
        <v>0.38</v>
      </c>
      <c r="H493">
        <v>0.216</v>
      </c>
      <c r="I493">
        <v>0.36</v>
      </c>
      <c r="J493">
        <v>14</v>
      </c>
      <c r="K493">
        <v>14</v>
      </c>
      <c r="L493" t="s">
        <v>72</v>
      </c>
      <c r="M493" t="s">
        <v>73</v>
      </c>
      <c r="N493" t="s">
        <v>74</v>
      </c>
      <c r="O493">
        <v>4</v>
      </c>
      <c r="P493" t="s">
        <v>8</v>
      </c>
      <c r="Q493">
        <v>6.1</v>
      </c>
      <c r="R493" s="1" t="str">
        <f t="shared" si="8"/>
        <v>II</v>
      </c>
    </row>
    <row r="494" spans="1:18">
      <c r="A494">
        <v>743</v>
      </c>
      <c r="B494" t="s">
        <v>75</v>
      </c>
      <c r="C494">
        <v>0.53500000000000003</v>
      </c>
      <c r="D494">
        <v>0.42</v>
      </c>
      <c r="E494">
        <v>0.15</v>
      </c>
      <c r="F494">
        <v>0.73650000000000004</v>
      </c>
      <c r="G494">
        <v>0.27850000000000003</v>
      </c>
      <c r="H494">
        <v>0.186</v>
      </c>
      <c r="I494">
        <v>0.215</v>
      </c>
      <c r="J494">
        <v>14</v>
      </c>
      <c r="K494">
        <v>13</v>
      </c>
      <c r="L494" t="s">
        <v>43</v>
      </c>
      <c r="M494" t="s">
        <v>44</v>
      </c>
      <c r="N494" t="s">
        <v>45</v>
      </c>
      <c r="O494">
        <v>1</v>
      </c>
      <c r="P494" t="s">
        <v>4</v>
      </c>
      <c r="Q494">
        <v>22.1</v>
      </c>
      <c r="R494" s="1" t="str">
        <f t="shared" si="8"/>
        <v>II</v>
      </c>
    </row>
    <row r="495" spans="1:18">
      <c r="A495">
        <v>2415</v>
      </c>
      <c r="B495" t="s">
        <v>75</v>
      </c>
      <c r="C495">
        <v>0.42</v>
      </c>
      <c r="D495">
        <v>0.30499999999999999</v>
      </c>
      <c r="E495">
        <v>0.11</v>
      </c>
      <c r="F495">
        <v>0.28000000000000003</v>
      </c>
      <c r="G495">
        <v>9.4E-2</v>
      </c>
      <c r="H495">
        <v>7.85E-2</v>
      </c>
      <c r="I495">
        <v>9.5500000000000002E-2</v>
      </c>
      <c r="J495">
        <v>9</v>
      </c>
      <c r="K495">
        <v>12</v>
      </c>
      <c r="L495" t="s">
        <v>58</v>
      </c>
      <c r="M495" t="s">
        <v>59</v>
      </c>
      <c r="N495" t="s">
        <v>45</v>
      </c>
      <c r="O495">
        <v>9</v>
      </c>
      <c r="P495" t="s">
        <v>9</v>
      </c>
      <c r="Q495">
        <v>1.9</v>
      </c>
      <c r="R495" s="1" t="str">
        <f t="shared" si="8"/>
        <v>II</v>
      </c>
    </row>
    <row r="496" spans="1:18">
      <c r="A496">
        <v>4151</v>
      </c>
      <c r="B496" t="s">
        <v>75</v>
      </c>
      <c r="C496">
        <v>0.33</v>
      </c>
      <c r="D496">
        <v>0.23</v>
      </c>
      <c r="E496">
        <v>0.08</v>
      </c>
      <c r="F496">
        <v>0.14000000000000001</v>
      </c>
      <c r="G496">
        <v>5.6500000000000002E-2</v>
      </c>
      <c r="H496">
        <v>3.6499999999999998E-2</v>
      </c>
      <c r="I496">
        <v>4.5999999999999999E-2</v>
      </c>
      <c r="J496">
        <v>7</v>
      </c>
      <c r="K496">
        <v>1</v>
      </c>
      <c r="L496" t="s">
        <v>70</v>
      </c>
      <c r="M496" t="s">
        <v>71</v>
      </c>
      <c r="N496" t="s">
        <v>45</v>
      </c>
      <c r="O496">
        <v>2</v>
      </c>
      <c r="P496" t="s">
        <v>5</v>
      </c>
      <c r="Q496">
        <v>18</v>
      </c>
      <c r="R496" s="1" t="str">
        <f t="shared" si="8"/>
        <v>II</v>
      </c>
    </row>
    <row r="497" spans="1:18">
      <c r="A497">
        <v>2293</v>
      </c>
      <c r="B497" t="s">
        <v>75</v>
      </c>
      <c r="C497">
        <v>0.38</v>
      </c>
      <c r="D497">
        <v>0.3</v>
      </c>
      <c r="E497">
        <v>0.09</v>
      </c>
      <c r="F497">
        <v>0.32150000000000001</v>
      </c>
      <c r="G497">
        <v>0.1545</v>
      </c>
      <c r="H497">
        <v>7.4999999999999997E-2</v>
      </c>
      <c r="I497">
        <v>9.5000000000000001E-2</v>
      </c>
      <c r="J497">
        <v>9</v>
      </c>
      <c r="K497">
        <v>8</v>
      </c>
      <c r="L497" t="s">
        <v>55</v>
      </c>
      <c r="M497" t="s">
        <v>56</v>
      </c>
      <c r="N497" t="s">
        <v>57</v>
      </c>
      <c r="O497">
        <v>2</v>
      </c>
      <c r="P497" t="s">
        <v>5</v>
      </c>
      <c r="Q497">
        <v>18</v>
      </c>
      <c r="R497" s="1" t="str">
        <f t="shared" si="8"/>
        <v>II</v>
      </c>
    </row>
    <row r="498" spans="1:18">
      <c r="A498">
        <v>2443</v>
      </c>
      <c r="B498" t="s">
        <v>75</v>
      </c>
      <c r="C498">
        <v>0.47499999999999998</v>
      </c>
      <c r="D498">
        <v>0.35499999999999998</v>
      </c>
      <c r="E498">
        <v>0.125</v>
      </c>
      <c r="F498">
        <v>0.46250000000000002</v>
      </c>
      <c r="G498">
        <v>0.186</v>
      </c>
      <c r="H498">
        <v>0.107</v>
      </c>
      <c r="I498">
        <v>0.14499999999999999</v>
      </c>
      <c r="J498">
        <v>9</v>
      </c>
      <c r="K498">
        <v>1</v>
      </c>
      <c r="L498" t="s">
        <v>70</v>
      </c>
      <c r="M498" t="s">
        <v>71</v>
      </c>
      <c r="N498" t="s">
        <v>45</v>
      </c>
      <c r="O498">
        <v>4</v>
      </c>
      <c r="P498" t="s">
        <v>8</v>
      </c>
      <c r="Q498">
        <v>6.1</v>
      </c>
      <c r="R498" s="1" t="str">
        <f t="shared" si="8"/>
        <v>II</v>
      </c>
    </row>
    <row r="499" spans="1:18">
      <c r="A499">
        <v>3538</v>
      </c>
      <c r="B499" t="s">
        <v>75</v>
      </c>
      <c r="C499">
        <v>0.43</v>
      </c>
      <c r="D499">
        <v>0.32500000000000001</v>
      </c>
      <c r="E499">
        <v>0.105</v>
      </c>
      <c r="F499">
        <v>0.309</v>
      </c>
      <c r="G499">
        <v>0.11899999999999999</v>
      </c>
      <c r="H499">
        <v>0.08</v>
      </c>
      <c r="I499">
        <v>9.8000000000000004E-2</v>
      </c>
      <c r="J499">
        <v>6</v>
      </c>
      <c r="K499">
        <v>9</v>
      </c>
      <c r="L499" t="s">
        <v>34</v>
      </c>
      <c r="M499" t="s">
        <v>35</v>
      </c>
      <c r="N499" t="s">
        <v>36</v>
      </c>
      <c r="O499">
        <v>4</v>
      </c>
      <c r="P499" t="s">
        <v>8</v>
      </c>
      <c r="Q499">
        <v>6.1</v>
      </c>
      <c r="R499" s="1" t="str">
        <f t="shared" si="8"/>
        <v>II</v>
      </c>
    </row>
    <row r="500" spans="1:18">
      <c r="A500">
        <v>3365</v>
      </c>
      <c r="B500" t="s">
        <v>75</v>
      </c>
      <c r="C500">
        <v>0.33</v>
      </c>
      <c r="D500">
        <v>0.245</v>
      </c>
      <c r="E500">
        <v>8.5000000000000006E-2</v>
      </c>
      <c r="F500">
        <v>0.17100000000000001</v>
      </c>
      <c r="G500">
        <v>6.5500000000000003E-2</v>
      </c>
      <c r="H500">
        <v>3.6499999999999998E-2</v>
      </c>
      <c r="I500">
        <v>5.5E-2</v>
      </c>
      <c r="J500">
        <v>11</v>
      </c>
      <c r="K500">
        <v>8</v>
      </c>
      <c r="L500" t="s">
        <v>55</v>
      </c>
      <c r="M500" t="s">
        <v>56</v>
      </c>
      <c r="N500" t="s">
        <v>57</v>
      </c>
      <c r="O500">
        <v>4</v>
      </c>
      <c r="P500" t="s">
        <v>8</v>
      </c>
      <c r="Q500">
        <v>6.1</v>
      </c>
      <c r="R500" s="1" t="str">
        <f t="shared" si="8"/>
        <v>II</v>
      </c>
    </row>
    <row r="501" spans="1:18">
      <c r="A501">
        <v>3115</v>
      </c>
      <c r="B501" t="s">
        <v>75</v>
      </c>
      <c r="C501">
        <v>0.44</v>
      </c>
      <c r="D501">
        <v>0.34</v>
      </c>
      <c r="E501">
        <v>0.1</v>
      </c>
      <c r="F501">
        <v>0.379</v>
      </c>
      <c r="G501">
        <v>0.17249999999999999</v>
      </c>
      <c r="H501">
        <v>8.1500000000000003E-2</v>
      </c>
      <c r="I501">
        <v>0.10100000000000001</v>
      </c>
      <c r="J501">
        <v>7</v>
      </c>
      <c r="K501">
        <v>3</v>
      </c>
      <c r="L501" t="s">
        <v>52</v>
      </c>
      <c r="M501" t="s">
        <v>53</v>
      </c>
      <c r="N501" t="s">
        <v>54</v>
      </c>
      <c r="O501">
        <v>4</v>
      </c>
      <c r="P501" t="s">
        <v>8</v>
      </c>
      <c r="Q501">
        <v>6.1</v>
      </c>
      <c r="R501" s="1" t="str">
        <f t="shared" si="8"/>
        <v>II</v>
      </c>
    </row>
    <row r="502" spans="1:18">
      <c r="A502">
        <v>2650</v>
      </c>
      <c r="B502" t="s">
        <v>75</v>
      </c>
      <c r="C502">
        <v>0.505</v>
      </c>
      <c r="D502">
        <v>0.4</v>
      </c>
      <c r="E502">
        <v>0.13500000000000001</v>
      </c>
      <c r="F502">
        <v>0.72299999999999998</v>
      </c>
      <c r="G502">
        <v>0.377</v>
      </c>
      <c r="H502">
        <v>0.14899999999999999</v>
      </c>
      <c r="I502">
        <v>0.17799999999999999</v>
      </c>
      <c r="J502">
        <v>7</v>
      </c>
      <c r="K502">
        <v>12</v>
      </c>
      <c r="L502" t="s">
        <v>58</v>
      </c>
      <c r="M502" t="s">
        <v>59</v>
      </c>
      <c r="N502" t="s">
        <v>45</v>
      </c>
      <c r="O502">
        <v>2</v>
      </c>
      <c r="P502" t="s">
        <v>5</v>
      </c>
      <c r="Q502">
        <v>18</v>
      </c>
      <c r="R502" s="1" t="str">
        <f t="shared" si="8"/>
        <v>II</v>
      </c>
    </row>
    <row r="503" spans="1:18">
      <c r="A503">
        <v>2309</v>
      </c>
      <c r="B503" t="s">
        <v>75</v>
      </c>
      <c r="C503">
        <v>0.45500000000000002</v>
      </c>
      <c r="D503">
        <v>0.35499999999999998</v>
      </c>
      <c r="E503">
        <v>0.13</v>
      </c>
      <c r="F503">
        <v>0.51500000000000001</v>
      </c>
      <c r="G503">
        <v>0.2</v>
      </c>
      <c r="H503">
        <v>0.1275</v>
      </c>
      <c r="I503">
        <v>0.17499999999999999</v>
      </c>
      <c r="J503">
        <v>11</v>
      </c>
      <c r="K503">
        <v>4</v>
      </c>
      <c r="L503" t="s">
        <v>40</v>
      </c>
      <c r="M503" t="s">
        <v>41</v>
      </c>
      <c r="N503" t="s">
        <v>42</v>
      </c>
      <c r="O503">
        <v>8</v>
      </c>
      <c r="P503" t="s">
        <v>13</v>
      </c>
      <c r="Q503">
        <v>12.3</v>
      </c>
      <c r="R503" s="1" t="str">
        <f t="shared" si="8"/>
        <v>II</v>
      </c>
    </row>
    <row r="504" spans="1:18">
      <c r="A504">
        <v>2658</v>
      </c>
      <c r="B504" t="s">
        <v>75</v>
      </c>
      <c r="C504">
        <v>0.54500000000000004</v>
      </c>
      <c r="D504">
        <v>0.4</v>
      </c>
      <c r="E504">
        <v>0.14000000000000001</v>
      </c>
      <c r="F504">
        <v>0.77800000000000002</v>
      </c>
      <c r="G504">
        <v>0.36799999999999999</v>
      </c>
      <c r="H504">
        <v>0.215</v>
      </c>
      <c r="I504">
        <v>0.18</v>
      </c>
      <c r="J504">
        <v>9</v>
      </c>
      <c r="K504">
        <v>1</v>
      </c>
      <c r="L504" t="s">
        <v>70</v>
      </c>
      <c r="M504" t="s">
        <v>71</v>
      </c>
      <c r="N504" t="s">
        <v>45</v>
      </c>
      <c r="O504">
        <v>5</v>
      </c>
      <c r="P504" t="s">
        <v>12</v>
      </c>
      <c r="Q504">
        <v>12.8</v>
      </c>
      <c r="R504" s="1" t="str">
        <f t="shared" si="8"/>
        <v>II</v>
      </c>
    </row>
    <row r="505" spans="1:18">
      <c r="A505">
        <v>3479</v>
      </c>
      <c r="B505" t="s">
        <v>75</v>
      </c>
      <c r="C505">
        <v>0.435</v>
      </c>
      <c r="D505">
        <v>0.33500000000000002</v>
      </c>
      <c r="E505">
        <v>0.11</v>
      </c>
      <c r="F505">
        <v>0.41099999999999998</v>
      </c>
      <c r="G505">
        <v>0.20250000000000001</v>
      </c>
      <c r="H505">
        <v>9.4500000000000001E-2</v>
      </c>
      <c r="I505">
        <v>0.1</v>
      </c>
      <c r="J505">
        <v>7</v>
      </c>
      <c r="K505">
        <v>12</v>
      </c>
      <c r="L505" t="s">
        <v>58</v>
      </c>
      <c r="M505" t="s">
        <v>59</v>
      </c>
      <c r="N505" t="s">
        <v>45</v>
      </c>
      <c r="O505">
        <v>9</v>
      </c>
      <c r="P505" t="s">
        <v>9</v>
      </c>
      <c r="Q505">
        <v>1.9</v>
      </c>
      <c r="R505" s="1" t="str">
        <f t="shared" si="8"/>
        <v>II</v>
      </c>
    </row>
    <row r="506" spans="1:18">
      <c r="A506">
        <v>3345</v>
      </c>
      <c r="B506" t="s">
        <v>75</v>
      </c>
      <c r="C506">
        <v>0.495</v>
      </c>
      <c r="D506">
        <v>0.38</v>
      </c>
      <c r="E506">
        <v>0.14499999999999999</v>
      </c>
      <c r="F506">
        <v>0.51500000000000001</v>
      </c>
      <c r="G506">
        <v>0.17499999999999999</v>
      </c>
      <c r="H506">
        <v>9.8000000000000004E-2</v>
      </c>
      <c r="I506">
        <v>0.21199999999999999</v>
      </c>
      <c r="J506">
        <v>13</v>
      </c>
      <c r="K506">
        <v>15</v>
      </c>
      <c r="L506" t="s">
        <v>60</v>
      </c>
      <c r="M506" t="s">
        <v>61</v>
      </c>
      <c r="N506" t="s">
        <v>45</v>
      </c>
      <c r="O506">
        <v>8</v>
      </c>
      <c r="P506" t="s">
        <v>13</v>
      </c>
      <c r="Q506">
        <v>12.3</v>
      </c>
      <c r="R506" s="1" t="str">
        <f t="shared" si="8"/>
        <v>II</v>
      </c>
    </row>
    <row r="507" spans="1:18">
      <c r="A507">
        <v>58</v>
      </c>
      <c r="B507" t="s">
        <v>75</v>
      </c>
      <c r="C507">
        <v>0.47</v>
      </c>
      <c r="D507">
        <v>0.38500000000000001</v>
      </c>
      <c r="E507">
        <v>0.13500000000000001</v>
      </c>
      <c r="F507">
        <v>0.58950000000000002</v>
      </c>
      <c r="G507">
        <v>0.27650000000000002</v>
      </c>
      <c r="H507">
        <v>0.12</v>
      </c>
      <c r="I507">
        <v>0.17</v>
      </c>
      <c r="J507">
        <v>8</v>
      </c>
      <c r="K507">
        <v>14</v>
      </c>
      <c r="L507" t="s">
        <v>72</v>
      </c>
      <c r="M507" t="s">
        <v>73</v>
      </c>
      <c r="N507" t="s">
        <v>74</v>
      </c>
      <c r="O507">
        <v>5</v>
      </c>
      <c r="P507" t="s">
        <v>12</v>
      </c>
      <c r="Q507">
        <v>12.8</v>
      </c>
      <c r="R507" s="1" t="str">
        <f t="shared" si="8"/>
        <v>II</v>
      </c>
    </row>
    <row r="508" spans="1:18">
      <c r="A508">
        <v>3927</v>
      </c>
      <c r="B508" t="s">
        <v>75</v>
      </c>
      <c r="C508">
        <v>0.57999999999999996</v>
      </c>
      <c r="D508">
        <v>0.42</v>
      </c>
      <c r="E508">
        <v>0.16</v>
      </c>
      <c r="F508">
        <v>0.72799999999999998</v>
      </c>
      <c r="G508">
        <v>0.27250000000000002</v>
      </c>
      <c r="H508">
        <v>0.19</v>
      </c>
      <c r="I508">
        <v>0.19</v>
      </c>
      <c r="J508">
        <v>14</v>
      </c>
      <c r="K508">
        <v>1</v>
      </c>
      <c r="L508" t="s">
        <v>70</v>
      </c>
      <c r="M508" t="s">
        <v>71</v>
      </c>
      <c r="N508" t="s">
        <v>45</v>
      </c>
      <c r="O508">
        <v>3</v>
      </c>
      <c r="P508" t="s">
        <v>10</v>
      </c>
      <c r="Q508">
        <v>3.6</v>
      </c>
      <c r="R508" s="1" t="str">
        <f t="shared" si="8"/>
        <v>II</v>
      </c>
    </row>
    <row r="509" spans="1:18">
      <c r="A509">
        <v>280</v>
      </c>
      <c r="B509" t="s">
        <v>75</v>
      </c>
      <c r="C509">
        <v>0.51500000000000001</v>
      </c>
      <c r="D509">
        <v>0.42499999999999999</v>
      </c>
      <c r="E509">
        <v>0.13500000000000001</v>
      </c>
      <c r="F509">
        <v>0.71199999999999997</v>
      </c>
      <c r="G509">
        <v>0.26650000000000001</v>
      </c>
      <c r="H509">
        <v>0.1605</v>
      </c>
      <c r="I509">
        <v>0.25</v>
      </c>
      <c r="J509">
        <v>11</v>
      </c>
      <c r="K509">
        <v>15</v>
      </c>
      <c r="L509" t="s">
        <v>60</v>
      </c>
      <c r="M509" t="s">
        <v>61</v>
      </c>
      <c r="N509" t="s">
        <v>45</v>
      </c>
      <c r="O509">
        <v>8</v>
      </c>
      <c r="P509" t="s">
        <v>13</v>
      </c>
      <c r="Q509">
        <v>12.3</v>
      </c>
      <c r="R509" s="1" t="str">
        <f t="shared" si="8"/>
        <v>II</v>
      </c>
    </row>
    <row r="510" spans="1:18">
      <c r="A510">
        <v>1242</v>
      </c>
      <c r="B510" t="s">
        <v>75</v>
      </c>
      <c r="C510">
        <v>0.38</v>
      </c>
      <c r="D510">
        <v>0.27</v>
      </c>
      <c r="E510">
        <v>0.08</v>
      </c>
      <c r="F510">
        <v>0.21049999999999999</v>
      </c>
      <c r="G510">
        <v>8.6499999999999994E-2</v>
      </c>
      <c r="H510">
        <v>4.2000000000000003E-2</v>
      </c>
      <c r="I510">
        <v>7.0000000000000007E-2</v>
      </c>
      <c r="J510">
        <v>8</v>
      </c>
      <c r="K510">
        <v>2</v>
      </c>
      <c r="L510" t="s">
        <v>49</v>
      </c>
      <c r="M510" t="s">
        <v>50</v>
      </c>
      <c r="N510" t="s">
        <v>51</v>
      </c>
      <c r="O510">
        <v>9</v>
      </c>
      <c r="P510" t="s">
        <v>9</v>
      </c>
      <c r="Q510">
        <v>1.9</v>
      </c>
      <c r="R510" s="1" t="str">
        <f t="shared" si="8"/>
        <v>II</v>
      </c>
    </row>
    <row r="511" spans="1:18">
      <c r="A511">
        <v>2137</v>
      </c>
      <c r="B511" t="s">
        <v>75</v>
      </c>
      <c r="C511">
        <v>0.56000000000000005</v>
      </c>
      <c r="D511">
        <v>0.42499999999999999</v>
      </c>
      <c r="E511">
        <v>0.125</v>
      </c>
      <c r="F511">
        <v>0.93200000000000005</v>
      </c>
      <c r="G511">
        <v>0.36099999999999999</v>
      </c>
      <c r="H511">
        <v>0.21299999999999999</v>
      </c>
      <c r="I511">
        <v>0.33500000000000002</v>
      </c>
      <c r="J511">
        <v>9</v>
      </c>
      <c r="K511">
        <v>12</v>
      </c>
      <c r="L511" t="s">
        <v>58</v>
      </c>
      <c r="M511" t="s">
        <v>59</v>
      </c>
      <c r="N511" t="s">
        <v>45</v>
      </c>
      <c r="O511">
        <v>9</v>
      </c>
      <c r="P511" t="s">
        <v>9</v>
      </c>
      <c r="Q511">
        <v>1.9</v>
      </c>
      <c r="R511" s="1" t="str">
        <f t="shared" si="8"/>
        <v>II</v>
      </c>
    </row>
    <row r="512" spans="1:18">
      <c r="A512">
        <v>516</v>
      </c>
      <c r="B512" t="s">
        <v>75</v>
      </c>
      <c r="C512">
        <v>0.27</v>
      </c>
      <c r="D512">
        <v>0.19500000000000001</v>
      </c>
      <c r="E512">
        <v>0.08</v>
      </c>
      <c r="F512">
        <v>0.1</v>
      </c>
      <c r="G512">
        <v>3.85E-2</v>
      </c>
      <c r="H512">
        <v>1.95E-2</v>
      </c>
      <c r="I512">
        <v>0.03</v>
      </c>
      <c r="J512">
        <v>6</v>
      </c>
      <c r="K512">
        <v>9</v>
      </c>
      <c r="L512" t="s">
        <v>34</v>
      </c>
      <c r="M512" t="s">
        <v>35</v>
      </c>
      <c r="N512" t="s">
        <v>36</v>
      </c>
      <c r="O512">
        <v>3</v>
      </c>
      <c r="P512" t="s">
        <v>10</v>
      </c>
      <c r="Q512">
        <v>3.6</v>
      </c>
      <c r="R512" s="1" t="str">
        <f t="shared" si="8"/>
        <v>II</v>
      </c>
    </row>
    <row r="513" spans="1:18">
      <c r="A513">
        <v>3841</v>
      </c>
      <c r="B513" t="s">
        <v>75</v>
      </c>
      <c r="C513">
        <v>0.53</v>
      </c>
      <c r="D513">
        <v>0.41</v>
      </c>
      <c r="E513">
        <v>0.14499999999999999</v>
      </c>
      <c r="F513">
        <v>0.82550000000000001</v>
      </c>
      <c r="G513">
        <v>0.375</v>
      </c>
      <c r="H513">
        <v>0.20399999999999999</v>
      </c>
      <c r="I513">
        <v>0.245</v>
      </c>
      <c r="J513">
        <v>9</v>
      </c>
      <c r="K513">
        <v>3</v>
      </c>
      <c r="L513" t="s">
        <v>52</v>
      </c>
      <c r="M513" t="s">
        <v>53</v>
      </c>
      <c r="N513" t="s">
        <v>54</v>
      </c>
      <c r="O513">
        <v>1</v>
      </c>
      <c r="P513" t="s">
        <v>4</v>
      </c>
      <c r="Q513">
        <v>22.1</v>
      </c>
      <c r="R513" s="1" t="str">
        <f t="shared" si="8"/>
        <v>II</v>
      </c>
    </row>
    <row r="514" spans="1:18">
      <c r="A514">
        <v>2358</v>
      </c>
      <c r="B514" t="s">
        <v>75</v>
      </c>
      <c r="C514">
        <v>0.58499999999999996</v>
      </c>
      <c r="D514">
        <v>0.45500000000000002</v>
      </c>
      <c r="E514">
        <v>0.125</v>
      </c>
      <c r="F514">
        <v>1.0269999999999999</v>
      </c>
      <c r="G514">
        <v>0.39100000000000001</v>
      </c>
      <c r="H514">
        <v>0.21199999999999999</v>
      </c>
      <c r="I514">
        <v>0.25</v>
      </c>
      <c r="J514">
        <v>17</v>
      </c>
      <c r="K514">
        <v>1</v>
      </c>
      <c r="L514" t="s">
        <v>70</v>
      </c>
      <c r="M514" t="s">
        <v>71</v>
      </c>
      <c r="N514" t="s">
        <v>45</v>
      </c>
      <c r="O514">
        <v>1</v>
      </c>
      <c r="P514" t="s">
        <v>4</v>
      </c>
      <c r="Q514">
        <v>22.1</v>
      </c>
      <c r="R514" s="1" t="str">
        <f t="shared" si="8"/>
        <v>II</v>
      </c>
    </row>
    <row r="515" spans="1:18">
      <c r="A515">
        <v>3851</v>
      </c>
      <c r="B515" t="s">
        <v>75</v>
      </c>
      <c r="C515">
        <v>0.375</v>
      </c>
      <c r="D515">
        <v>0.29499999999999998</v>
      </c>
      <c r="E515">
        <v>0.11</v>
      </c>
      <c r="F515">
        <v>0.30049999999999999</v>
      </c>
      <c r="G515">
        <v>0.1255</v>
      </c>
      <c r="H515">
        <v>5.7500000000000002E-2</v>
      </c>
      <c r="I515">
        <v>0.10349999999999999</v>
      </c>
      <c r="J515">
        <v>7</v>
      </c>
      <c r="K515">
        <v>13</v>
      </c>
      <c r="L515" t="s">
        <v>43</v>
      </c>
      <c r="M515" t="s">
        <v>44</v>
      </c>
      <c r="N515" t="s">
        <v>45</v>
      </c>
      <c r="O515">
        <v>4</v>
      </c>
      <c r="P515" t="s">
        <v>8</v>
      </c>
      <c r="Q515">
        <v>6.1</v>
      </c>
      <c r="R515" s="1" t="str">
        <f t="shared" si="8"/>
        <v>II</v>
      </c>
    </row>
    <row r="516" spans="1:18">
      <c r="A516">
        <v>707</v>
      </c>
      <c r="B516" t="s">
        <v>75</v>
      </c>
      <c r="C516">
        <v>0.315</v>
      </c>
      <c r="D516">
        <v>0.25</v>
      </c>
      <c r="E516">
        <v>0.09</v>
      </c>
      <c r="F516">
        <v>0.20300000000000001</v>
      </c>
      <c r="G516">
        <v>6.1499999999999999E-2</v>
      </c>
      <c r="H516">
        <v>3.6999999999999998E-2</v>
      </c>
      <c r="I516">
        <v>7.9500000000000001E-2</v>
      </c>
      <c r="J516">
        <v>11</v>
      </c>
      <c r="K516">
        <v>9</v>
      </c>
      <c r="L516" t="s">
        <v>34</v>
      </c>
      <c r="M516" t="s">
        <v>35</v>
      </c>
      <c r="N516" t="s">
        <v>36</v>
      </c>
      <c r="O516">
        <v>8</v>
      </c>
      <c r="P516" t="s">
        <v>13</v>
      </c>
      <c r="Q516">
        <v>12.3</v>
      </c>
      <c r="R516" s="1" t="str">
        <f t="shared" si="8"/>
        <v>II</v>
      </c>
    </row>
    <row r="517" spans="1:18">
      <c r="A517">
        <v>3140</v>
      </c>
      <c r="B517" t="s">
        <v>75</v>
      </c>
      <c r="C517">
        <v>0.33500000000000002</v>
      </c>
      <c r="D517">
        <v>0.26</v>
      </c>
      <c r="E517">
        <v>0.09</v>
      </c>
      <c r="F517">
        <v>0.1835</v>
      </c>
      <c r="G517">
        <v>7.8E-2</v>
      </c>
      <c r="H517">
        <v>2.4E-2</v>
      </c>
      <c r="I517">
        <v>6.5000000000000002E-2</v>
      </c>
      <c r="J517">
        <v>11</v>
      </c>
      <c r="K517">
        <v>4</v>
      </c>
      <c r="L517" t="s">
        <v>40</v>
      </c>
      <c r="M517" t="s">
        <v>41</v>
      </c>
      <c r="N517" t="s">
        <v>42</v>
      </c>
      <c r="O517">
        <v>2</v>
      </c>
      <c r="P517" t="s">
        <v>5</v>
      </c>
      <c r="Q517">
        <v>18</v>
      </c>
      <c r="R517" s="1" t="str">
        <f t="shared" si="8"/>
        <v>II</v>
      </c>
    </row>
    <row r="518" spans="1:18">
      <c r="A518">
        <v>472</v>
      </c>
      <c r="B518" t="s">
        <v>75</v>
      </c>
      <c r="C518">
        <v>0.51500000000000001</v>
      </c>
      <c r="D518">
        <v>0.40500000000000003</v>
      </c>
      <c r="E518">
        <v>0.12</v>
      </c>
      <c r="F518">
        <v>0.64600000000000002</v>
      </c>
      <c r="G518">
        <v>0.28949999999999998</v>
      </c>
      <c r="H518">
        <v>0.14050000000000001</v>
      </c>
      <c r="I518">
        <v>0.17699999999999999</v>
      </c>
      <c r="J518">
        <v>10</v>
      </c>
      <c r="K518">
        <v>7</v>
      </c>
      <c r="L518" t="s">
        <v>62</v>
      </c>
      <c r="M518" t="s">
        <v>63</v>
      </c>
      <c r="N518" t="s">
        <v>64</v>
      </c>
      <c r="O518">
        <v>10</v>
      </c>
      <c r="P518" t="s">
        <v>11</v>
      </c>
      <c r="Q518">
        <v>24.1</v>
      </c>
      <c r="R518" s="1" t="str">
        <f t="shared" si="8"/>
        <v>II</v>
      </c>
    </row>
    <row r="519" spans="1:18">
      <c r="A519">
        <v>2111</v>
      </c>
      <c r="B519" t="s">
        <v>75</v>
      </c>
      <c r="C519">
        <v>0.32500000000000001</v>
      </c>
      <c r="D519">
        <v>0.25</v>
      </c>
      <c r="E519">
        <v>5.5E-2</v>
      </c>
      <c r="F519">
        <v>0.16600000000000001</v>
      </c>
      <c r="G519">
        <v>7.5999999999999998E-2</v>
      </c>
      <c r="H519">
        <v>5.0999999999999997E-2</v>
      </c>
      <c r="I519">
        <v>4.4999999999999998E-2</v>
      </c>
      <c r="J519">
        <v>5</v>
      </c>
      <c r="K519">
        <v>13</v>
      </c>
      <c r="L519" t="s">
        <v>43</v>
      </c>
      <c r="M519" t="s">
        <v>44</v>
      </c>
      <c r="N519" t="s">
        <v>45</v>
      </c>
      <c r="O519">
        <v>2</v>
      </c>
      <c r="P519" t="s">
        <v>5</v>
      </c>
      <c r="Q519">
        <v>18</v>
      </c>
      <c r="R519" s="1" t="str">
        <f t="shared" si="8"/>
        <v>II</v>
      </c>
    </row>
    <row r="520" spans="1:18">
      <c r="A520">
        <v>3541</v>
      </c>
      <c r="B520" t="s">
        <v>75</v>
      </c>
      <c r="C520">
        <v>0.44500000000000001</v>
      </c>
      <c r="D520">
        <v>0.35499999999999998</v>
      </c>
      <c r="E520">
        <v>9.5000000000000001E-2</v>
      </c>
      <c r="F520">
        <v>0.36149999999999999</v>
      </c>
      <c r="G520">
        <v>0.14149999999999999</v>
      </c>
      <c r="H520">
        <v>7.85E-2</v>
      </c>
      <c r="I520">
        <v>0.12</v>
      </c>
      <c r="J520">
        <v>8</v>
      </c>
      <c r="K520">
        <v>5</v>
      </c>
      <c r="L520" t="s">
        <v>67</v>
      </c>
      <c r="M520" t="s">
        <v>68</v>
      </c>
      <c r="N520" t="s">
        <v>69</v>
      </c>
      <c r="O520">
        <v>10</v>
      </c>
      <c r="P520" t="s">
        <v>11</v>
      </c>
      <c r="Q520">
        <v>24.1</v>
      </c>
      <c r="R520" s="1" t="str">
        <f t="shared" si="8"/>
        <v>II</v>
      </c>
    </row>
    <row r="521" spans="1:18">
      <c r="A521">
        <v>3354</v>
      </c>
      <c r="B521" t="s">
        <v>75</v>
      </c>
      <c r="C521">
        <v>0.47499999999999998</v>
      </c>
      <c r="D521">
        <v>0.36499999999999999</v>
      </c>
      <c r="E521">
        <v>0.14000000000000001</v>
      </c>
      <c r="F521">
        <v>0.45450000000000002</v>
      </c>
      <c r="G521">
        <v>0.17100000000000001</v>
      </c>
      <c r="H521">
        <v>0.11799999999999999</v>
      </c>
      <c r="I521">
        <v>0.158</v>
      </c>
      <c r="J521">
        <v>8</v>
      </c>
      <c r="K521">
        <v>14</v>
      </c>
      <c r="L521" t="s">
        <v>72</v>
      </c>
      <c r="M521" t="s">
        <v>73</v>
      </c>
      <c r="N521" t="s">
        <v>74</v>
      </c>
      <c r="O521">
        <v>6</v>
      </c>
      <c r="P521" t="s">
        <v>7</v>
      </c>
      <c r="Q521">
        <v>14.1</v>
      </c>
      <c r="R521" s="1" t="str">
        <f t="shared" si="8"/>
        <v>II</v>
      </c>
    </row>
    <row r="522" spans="1:18">
      <c r="A522">
        <v>931</v>
      </c>
      <c r="B522" t="s">
        <v>75</v>
      </c>
      <c r="C522">
        <v>0.44</v>
      </c>
      <c r="D522">
        <v>0.32500000000000001</v>
      </c>
      <c r="E522">
        <v>0.09</v>
      </c>
      <c r="F522">
        <v>0.35</v>
      </c>
      <c r="G522">
        <v>0.14799999999999999</v>
      </c>
      <c r="H522">
        <v>6.7000000000000004E-2</v>
      </c>
      <c r="I522">
        <v>0.105</v>
      </c>
      <c r="J522">
        <v>7</v>
      </c>
      <c r="K522">
        <v>15</v>
      </c>
      <c r="L522" t="s">
        <v>60</v>
      </c>
      <c r="M522" t="s">
        <v>61</v>
      </c>
      <c r="N522" t="s">
        <v>45</v>
      </c>
      <c r="O522">
        <v>7</v>
      </c>
      <c r="P522" t="s">
        <v>6</v>
      </c>
      <c r="Q522">
        <v>2.5</v>
      </c>
      <c r="R522" s="1" t="str">
        <f t="shared" si="8"/>
        <v>II</v>
      </c>
    </row>
    <row r="523" spans="1:18">
      <c r="A523">
        <v>2512</v>
      </c>
      <c r="B523" t="s">
        <v>75</v>
      </c>
      <c r="C523">
        <v>0.42499999999999999</v>
      </c>
      <c r="D523">
        <v>0.31</v>
      </c>
      <c r="E523">
        <v>0.105</v>
      </c>
      <c r="F523">
        <v>0.36499999999999999</v>
      </c>
      <c r="G523">
        <v>0.159</v>
      </c>
      <c r="H523">
        <v>8.2500000000000004E-2</v>
      </c>
      <c r="I523">
        <v>0.105</v>
      </c>
      <c r="J523">
        <v>6</v>
      </c>
      <c r="K523">
        <v>11</v>
      </c>
      <c r="L523" t="s">
        <v>65</v>
      </c>
      <c r="M523" t="s">
        <v>66</v>
      </c>
      <c r="N523" t="s">
        <v>45</v>
      </c>
      <c r="O523">
        <v>2</v>
      </c>
      <c r="P523" t="s">
        <v>5</v>
      </c>
      <c r="Q523">
        <v>18</v>
      </c>
      <c r="R523" s="1" t="str">
        <f t="shared" ref="R523:R586" si="9">IF(OR(AND(J523 &gt; 15, B523 = "Infant"), AND(D523 = "Male", C523 &gt; 0.75),
    OR(I523 &gt; 0.8, G523 &gt; 0.5), G523 &gt; 1.2),
    "I",
    IF(OR(AND(I523 &lt; 0.4, G523 &lt; 0.4), AND(J523 &gt; 15, D523 = "Male"), AND(J523 &gt; 18, D523 = "Female"), C523 &lt; 0.36),
    "II",
    "III"))</f>
        <v>II</v>
      </c>
    </row>
    <row r="524" spans="1:18">
      <c r="A524">
        <v>225</v>
      </c>
      <c r="B524" t="s">
        <v>75</v>
      </c>
      <c r="C524">
        <v>0.42499999999999999</v>
      </c>
      <c r="D524">
        <v>0.38</v>
      </c>
      <c r="E524">
        <v>0.105</v>
      </c>
      <c r="F524">
        <v>0.32650000000000001</v>
      </c>
      <c r="G524">
        <v>0.1285</v>
      </c>
      <c r="H524">
        <v>7.85E-2</v>
      </c>
      <c r="I524">
        <v>0.1</v>
      </c>
      <c r="J524">
        <v>10</v>
      </c>
      <c r="K524">
        <v>15</v>
      </c>
      <c r="L524" t="s">
        <v>60</v>
      </c>
      <c r="M524" t="s">
        <v>61</v>
      </c>
      <c r="N524" t="s">
        <v>45</v>
      </c>
      <c r="O524">
        <v>6</v>
      </c>
      <c r="P524" t="s">
        <v>7</v>
      </c>
      <c r="Q524">
        <v>14.1</v>
      </c>
      <c r="R524" s="1" t="str">
        <f t="shared" si="9"/>
        <v>II</v>
      </c>
    </row>
    <row r="525" spans="1:18">
      <c r="A525">
        <v>1541</v>
      </c>
      <c r="B525" t="s">
        <v>75</v>
      </c>
      <c r="C525">
        <v>0.36</v>
      </c>
      <c r="D525">
        <v>0.27</v>
      </c>
      <c r="E525">
        <v>9.5000000000000001E-2</v>
      </c>
      <c r="F525">
        <v>0.2</v>
      </c>
      <c r="G525">
        <v>7.2999999999999995E-2</v>
      </c>
      <c r="H525">
        <v>5.6000000000000001E-2</v>
      </c>
      <c r="I525">
        <v>6.0999999999999999E-2</v>
      </c>
      <c r="J525">
        <v>8</v>
      </c>
      <c r="K525">
        <v>14</v>
      </c>
      <c r="L525" t="s">
        <v>72</v>
      </c>
      <c r="M525" t="s">
        <v>73</v>
      </c>
      <c r="N525" t="s">
        <v>74</v>
      </c>
      <c r="O525">
        <v>3</v>
      </c>
      <c r="P525" t="s">
        <v>10</v>
      </c>
      <c r="Q525">
        <v>3.6</v>
      </c>
      <c r="R525" s="1" t="str">
        <f t="shared" si="9"/>
        <v>II</v>
      </c>
    </row>
    <row r="526" spans="1:18">
      <c r="A526">
        <v>3114</v>
      </c>
      <c r="B526" t="s">
        <v>75</v>
      </c>
      <c r="C526">
        <v>0.42499999999999999</v>
      </c>
      <c r="D526">
        <v>0.32500000000000001</v>
      </c>
      <c r="E526">
        <v>0.105</v>
      </c>
      <c r="F526">
        <v>0.39750000000000002</v>
      </c>
      <c r="G526">
        <v>0.18149999999999999</v>
      </c>
      <c r="H526">
        <v>8.1000000000000003E-2</v>
      </c>
      <c r="I526">
        <v>0.11749999999999999</v>
      </c>
      <c r="J526">
        <v>7</v>
      </c>
      <c r="K526">
        <v>12</v>
      </c>
      <c r="L526" t="s">
        <v>58</v>
      </c>
      <c r="M526" t="s">
        <v>59</v>
      </c>
      <c r="N526" t="s">
        <v>45</v>
      </c>
      <c r="O526">
        <v>5</v>
      </c>
      <c r="P526" t="s">
        <v>12</v>
      </c>
      <c r="Q526">
        <v>12.8</v>
      </c>
      <c r="R526" s="1" t="str">
        <f t="shared" si="9"/>
        <v>II</v>
      </c>
    </row>
    <row r="527" spans="1:18">
      <c r="A527">
        <v>3973</v>
      </c>
      <c r="B527" t="s">
        <v>75</v>
      </c>
      <c r="C527">
        <v>0.41499999999999998</v>
      </c>
      <c r="D527">
        <v>0.315</v>
      </c>
      <c r="E527">
        <v>0.12</v>
      </c>
      <c r="F527">
        <v>0.40150000000000002</v>
      </c>
      <c r="G527">
        <v>0.19900000000000001</v>
      </c>
      <c r="H527">
        <v>8.6999999999999994E-2</v>
      </c>
      <c r="I527">
        <v>9.7000000000000003E-2</v>
      </c>
      <c r="J527">
        <v>8</v>
      </c>
      <c r="K527">
        <v>2</v>
      </c>
      <c r="L527" t="s">
        <v>49</v>
      </c>
      <c r="M527" t="s">
        <v>50</v>
      </c>
      <c r="N527" t="s">
        <v>51</v>
      </c>
      <c r="O527">
        <v>9</v>
      </c>
      <c r="P527" t="s">
        <v>9</v>
      </c>
      <c r="Q527">
        <v>1.9</v>
      </c>
      <c r="R527" s="1" t="str">
        <f t="shared" si="9"/>
        <v>II</v>
      </c>
    </row>
    <row r="528" spans="1:18">
      <c r="A528">
        <v>348</v>
      </c>
      <c r="B528" t="s">
        <v>75</v>
      </c>
      <c r="C528">
        <v>0.34</v>
      </c>
      <c r="D528">
        <v>0.26</v>
      </c>
      <c r="E528">
        <v>0.08</v>
      </c>
      <c r="F528">
        <v>0.2</v>
      </c>
      <c r="G528">
        <v>0.08</v>
      </c>
      <c r="H528">
        <v>5.5500000000000001E-2</v>
      </c>
      <c r="I528">
        <v>5.5E-2</v>
      </c>
      <c r="J528">
        <v>6</v>
      </c>
      <c r="K528">
        <v>13</v>
      </c>
      <c r="L528" t="s">
        <v>43</v>
      </c>
      <c r="M528" t="s">
        <v>44</v>
      </c>
      <c r="N528" t="s">
        <v>45</v>
      </c>
      <c r="O528">
        <v>5</v>
      </c>
      <c r="P528" t="s">
        <v>12</v>
      </c>
      <c r="Q528">
        <v>12.8</v>
      </c>
      <c r="R528" s="1" t="str">
        <f t="shared" si="9"/>
        <v>II</v>
      </c>
    </row>
    <row r="529" spans="1:18">
      <c r="A529">
        <v>602</v>
      </c>
      <c r="B529" t="s">
        <v>75</v>
      </c>
      <c r="C529">
        <v>0.38500000000000001</v>
      </c>
      <c r="D529">
        <v>0.315</v>
      </c>
      <c r="E529">
        <v>0.11</v>
      </c>
      <c r="F529">
        <v>0.28599999999999998</v>
      </c>
      <c r="G529">
        <v>0.1225</v>
      </c>
      <c r="H529">
        <v>6.3500000000000001E-2</v>
      </c>
      <c r="I529">
        <v>8.3500000000000005E-2</v>
      </c>
      <c r="J529">
        <v>10</v>
      </c>
      <c r="K529">
        <v>15</v>
      </c>
      <c r="L529" t="s">
        <v>60</v>
      </c>
      <c r="M529" t="s">
        <v>61</v>
      </c>
      <c r="N529" t="s">
        <v>45</v>
      </c>
      <c r="O529">
        <v>8</v>
      </c>
      <c r="P529" t="s">
        <v>13</v>
      </c>
      <c r="Q529">
        <v>12.3</v>
      </c>
      <c r="R529" s="1" t="str">
        <f t="shared" si="9"/>
        <v>II</v>
      </c>
    </row>
    <row r="530" spans="1:18">
      <c r="A530">
        <v>2564</v>
      </c>
      <c r="B530" t="s">
        <v>75</v>
      </c>
      <c r="C530">
        <v>0.44</v>
      </c>
      <c r="D530">
        <v>0.35499999999999998</v>
      </c>
      <c r="E530">
        <v>0.12</v>
      </c>
      <c r="F530">
        <v>0.495</v>
      </c>
      <c r="G530">
        <v>0.23100000000000001</v>
      </c>
      <c r="H530">
        <v>0.11</v>
      </c>
      <c r="I530">
        <v>0.125</v>
      </c>
      <c r="J530">
        <v>7</v>
      </c>
      <c r="K530">
        <v>4</v>
      </c>
      <c r="L530" t="s">
        <v>40</v>
      </c>
      <c r="M530" t="s">
        <v>41</v>
      </c>
      <c r="N530" t="s">
        <v>42</v>
      </c>
      <c r="O530">
        <v>9</v>
      </c>
      <c r="P530" t="s">
        <v>9</v>
      </c>
      <c r="Q530">
        <v>1.9</v>
      </c>
      <c r="R530" s="1" t="str">
        <f t="shared" si="9"/>
        <v>II</v>
      </c>
    </row>
    <row r="531" spans="1:18">
      <c r="A531">
        <v>1865</v>
      </c>
      <c r="B531" t="s">
        <v>75</v>
      </c>
      <c r="C531">
        <v>0.52</v>
      </c>
      <c r="D531">
        <v>0.39500000000000002</v>
      </c>
      <c r="E531">
        <v>0.125</v>
      </c>
      <c r="F531">
        <v>0.58050000000000002</v>
      </c>
      <c r="G531">
        <v>0.2445</v>
      </c>
      <c r="H531">
        <v>0.14599999999999999</v>
      </c>
      <c r="I531">
        <v>0.16500000000000001</v>
      </c>
      <c r="J531">
        <v>9</v>
      </c>
      <c r="K531">
        <v>2</v>
      </c>
      <c r="L531" t="s">
        <v>49</v>
      </c>
      <c r="M531" t="s">
        <v>50</v>
      </c>
      <c r="N531" t="s">
        <v>51</v>
      </c>
      <c r="O531">
        <v>1</v>
      </c>
      <c r="P531" t="s">
        <v>4</v>
      </c>
      <c r="Q531">
        <v>22.1</v>
      </c>
      <c r="R531" s="1" t="str">
        <f t="shared" si="9"/>
        <v>II</v>
      </c>
    </row>
    <row r="532" spans="1:18">
      <c r="A532">
        <v>2167</v>
      </c>
      <c r="B532" t="s">
        <v>75</v>
      </c>
      <c r="C532">
        <v>0.38</v>
      </c>
      <c r="D532">
        <v>0.28000000000000003</v>
      </c>
      <c r="E532">
        <v>8.5000000000000006E-2</v>
      </c>
      <c r="F532">
        <v>0.27350000000000002</v>
      </c>
      <c r="G532">
        <v>0.115</v>
      </c>
      <c r="H532">
        <v>6.0999999999999999E-2</v>
      </c>
      <c r="I532">
        <v>8.5000000000000006E-2</v>
      </c>
      <c r="J532">
        <v>6</v>
      </c>
      <c r="K532">
        <v>6</v>
      </c>
      <c r="L532" t="s">
        <v>46</v>
      </c>
      <c r="M532" t="s">
        <v>47</v>
      </c>
      <c r="N532" t="s">
        <v>48</v>
      </c>
      <c r="O532">
        <v>4</v>
      </c>
      <c r="P532" t="s">
        <v>8</v>
      </c>
      <c r="Q532">
        <v>6.1</v>
      </c>
      <c r="R532" s="1" t="str">
        <f t="shared" si="9"/>
        <v>II</v>
      </c>
    </row>
    <row r="533" spans="1:18">
      <c r="A533">
        <v>3636</v>
      </c>
      <c r="B533" t="s">
        <v>75</v>
      </c>
      <c r="C533">
        <v>0.37</v>
      </c>
      <c r="D533">
        <v>0.27500000000000002</v>
      </c>
      <c r="E533">
        <v>9.5000000000000001E-2</v>
      </c>
      <c r="F533">
        <v>0.25700000000000001</v>
      </c>
      <c r="G533">
        <v>0.10150000000000001</v>
      </c>
      <c r="H533">
        <v>5.5E-2</v>
      </c>
      <c r="I533">
        <v>8.2500000000000004E-2</v>
      </c>
      <c r="J533">
        <v>6</v>
      </c>
      <c r="K533">
        <v>12</v>
      </c>
      <c r="L533" t="s">
        <v>58</v>
      </c>
      <c r="M533" t="s">
        <v>59</v>
      </c>
      <c r="N533" t="s">
        <v>45</v>
      </c>
      <c r="O533">
        <v>2</v>
      </c>
      <c r="P533" t="s">
        <v>5</v>
      </c>
      <c r="Q533">
        <v>18</v>
      </c>
      <c r="R533" s="1" t="str">
        <f t="shared" si="9"/>
        <v>II</v>
      </c>
    </row>
    <row r="534" spans="1:18">
      <c r="A534">
        <v>3853</v>
      </c>
      <c r="B534" t="s">
        <v>75</v>
      </c>
      <c r="C534">
        <v>0.55000000000000004</v>
      </c>
      <c r="D534">
        <v>0.41</v>
      </c>
      <c r="E534">
        <v>0.15</v>
      </c>
      <c r="F534">
        <v>0.78500000000000003</v>
      </c>
      <c r="G534">
        <v>0.28199999999999997</v>
      </c>
      <c r="H534">
        <v>0.186</v>
      </c>
      <c r="I534">
        <v>0.27500000000000002</v>
      </c>
      <c r="J534">
        <v>12</v>
      </c>
      <c r="K534">
        <v>7</v>
      </c>
      <c r="L534" t="s">
        <v>62</v>
      </c>
      <c r="M534" t="s">
        <v>63</v>
      </c>
      <c r="N534" t="s">
        <v>64</v>
      </c>
      <c r="O534">
        <v>2</v>
      </c>
      <c r="P534" t="s">
        <v>5</v>
      </c>
      <c r="Q534">
        <v>18</v>
      </c>
      <c r="R534" s="1" t="str">
        <f t="shared" si="9"/>
        <v>II</v>
      </c>
    </row>
    <row r="535" spans="1:18">
      <c r="A535">
        <v>811</v>
      </c>
      <c r="B535" t="s">
        <v>75</v>
      </c>
      <c r="C535">
        <v>0.505</v>
      </c>
      <c r="D535">
        <v>0.40500000000000003</v>
      </c>
      <c r="E535">
        <v>0.14000000000000001</v>
      </c>
      <c r="F535">
        <v>0.875</v>
      </c>
      <c r="G535">
        <v>0.26650000000000001</v>
      </c>
      <c r="H535">
        <v>0.17399999999999999</v>
      </c>
      <c r="I535">
        <v>0.28499999999999998</v>
      </c>
      <c r="J535">
        <v>12</v>
      </c>
      <c r="K535">
        <v>4</v>
      </c>
      <c r="L535" t="s">
        <v>40</v>
      </c>
      <c r="M535" t="s">
        <v>41</v>
      </c>
      <c r="N535" t="s">
        <v>42</v>
      </c>
      <c r="O535">
        <v>3</v>
      </c>
      <c r="P535" t="s">
        <v>10</v>
      </c>
      <c r="Q535">
        <v>3.6</v>
      </c>
      <c r="R535" s="1" t="str">
        <f t="shared" si="9"/>
        <v>II</v>
      </c>
    </row>
    <row r="536" spans="1:18">
      <c r="A536">
        <v>3315</v>
      </c>
      <c r="B536" t="s">
        <v>75</v>
      </c>
      <c r="C536">
        <v>0.45</v>
      </c>
      <c r="D536">
        <v>0.35499999999999998</v>
      </c>
      <c r="E536">
        <v>0.115</v>
      </c>
      <c r="F536">
        <v>0.4385</v>
      </c>
      <c r="G536">
        <v>0.184</v>
      </c>
      <c r="H536">
        <v>0.108</v>
      </c>
      <c r="I536">
        <v>0.1125</v>
      </c>
      <c r="J536">
        <v>11</v>
      </c>
      <c r="K536">
        <v>4</v>
      </c>
      <c r="L536" t="s">
        <v>40</v>
      </c>
      <c r="M536" t="s">
        <v>41</v>
      </c>
      <c r="N536" t="s">
        <v>42</v>
      </c>
      <c r="O536">
        <v>9</v>
      </c>
      <c r="P536" t="s">
        <v>9</v>
      </c>
      <c r="Q536">
        <v>1.9</v>
      </c>
      <c r="R536" s="1" t="str">
        <f t="shared" si="9"/>
        <v>II</v>
      </c>
    </row>
    <row r="537" spans="1:18">
      <c r="A537">
        <v>754</v>
      </c>
      <c r="B537" t="s">
        <v>75</v>
      </c>
      <c r="C537">
        <v>0.57999999999999996</v>
      </c>
      <c r="D537">
        <v>0.45500000000000002</v>
      </c>
      <c r="E537">
        <v>0.16500000000000001</v>
      </c>
      <c r="F537">
        <v>1.1365000000000001</v>
      </c>
      <c r="G537">
        <v>0.36899999999999999</v>
      </c>
      <c r="H537">
        <v>0.30049999999999999</v>
      </c>
      <c r="I537">
        <v>0.27500000000000002</v>
      </c>
      <c r="J537">
        <v>13</v>
      </c>
      <c r="K537">
        <v>9</v>
      </c>
      <c r="L537" t="s">
        <v>34</v>
      </c>
      <c r="M537" t="s">
        <v>35</v>
      </c>
      <c r="N537" t="s">
        <v>36</v>
      </c>
      <c r="O537">
        <v>6</v>
      </c>
      <c r="P537" t="s">
        <v>7</v>
      </c>
      <c r="Q537">
        <v>14.1</v>
      </c>
      <c r="R537" s="1" t="str">
        <f t="shared" si="9"/>
        <v>II</v>
      </c>
    </row>
    <row r="538" spans="1:18">
      <c r="A538">
        <v>1066</v>
      </c>
      <c r="B538" t="s">
        <v>75</v>
      </c>
      <c r="C538">
        <v>0.315</v>
      </c>
      <c r="D538">
        <v>0.23499999999999999</v>
      </c>
      <c r="E538">
        <v>5.5E-2</v>
      </c>
      <c r="F538">
        <v>0.151</v>
      </c>
      <c r="G538">
        <v>6.5000000000000002E-2</v>
      </c>
      <c r="H538">
        <v>2.7E-2</v>
      </c>
      <c r="I538">
        <v>3.9E-2</v>
      </c>
      <c r="J538">
        <v>6</v>
      </c>
      <c r="K538">
        <v>6</v>
      </c>
      <c r="L538" t="s">
        <v>46</v>
      </c>
      <c r="M538" t="s">
        <v>47</v>
      </c>
      <c r="N538" t="s">
        <v>48</v>
      </c>
      <c r="O538">
        <v>2</v>
      </c>
      <c r="P538" t="s">
        <v>5</v>
      </c>
      <c r="Q538">
        <v>18</v>
      </c>
      <c r="R538" s="1" t="str">
        <f t="shared" si="9"/>
        <v>II</v>
      </c>
    </row>
    <row r="539" spans="1:18">
      <c r="A539">
        <v>239</v>
      </c>
      <c r="B539" t="s">
        <v>75</v>
      </c>
      <c r="C539">
        <v>0.11</v>
      </c>
      <c r="D539">
        <v>0.09</v>
      </c>
      <c r="E539">
        <v>0.03</v>
      </c>
      <c r="F539">
        <v>8.0000000000000002E-3</v>
      </c>
      <c r="G539">
        <v>2.5000000000000001E-3</v>
      </c>
      <c r="H539">
        <v>2E-3</v>
      </c>
      <c r="I539">
        <v>3.0000000000000001E-3</v>
      </c>
      <c r="J539">
        <v>3</v>
      </c>
      <c r="K539">
        <v>4</v>
      </c>
      <c r="L539" t="s">
        <v>40</v>
      </c>
      <c r="M539" t="s">
        <v>41</v>
      </c>
      <c r="N539" t="s">
        <v>42</v>
      </c>
      <c r="O539">
        <v>6</v>
      </c>
      <c r="P539" t="s">
        <v>7</v>
      </c>
      <c r="Q539">
        <v>14.1</v>
      </c>
      <c r="R539" s="1" t="str">
        <f t="shared" si="9"/>
        <v>II</v>
      </c>
    </row>
    <row r="540" spans="1:18">
      <c r="A540">
        <v>3932</v>
      </c>
      <c r="B540" t="s">
        <v>75</v>
      </c>
      <c r="C540">
        <v>0.55000000000000004</v>
      </c>
      <c r="D540">
        <v>0.44</v>
      </c>
      <c r="E540">
        <v>0.16500000000000001</v>
      </c>
      <c r="F540">
        <v>0.86050000000000004</v>
      </c>
      <c r="G540">
        <v>0.312</v>
      </c>
      <c r="H540">
        <v>0.16900000000000001</v>
      </c>
      <c r="I540">
        <v>0.3</v>
      </c>
      <c r="J540">
        <v>17</v>
      </c>
      <c r="K540">
        <v>13</v>
      </c>
      <c r="L540" t="s">
        <v>43</v>
      </c>
      <c r="M540" t="s">
        <v>44</v>
      </c>
      <c r="N540" t="s">
        <v>45</v>
      </c>
      <c r="O540">
        <v>8</v>
      </c>
      <c r="P540" t="s">
        <v>13</v>
      </c>
      <c r="Q540">
        <v>12.3</v>
      </c>
      <c r="R540" s="1" t="str">
        <f t="shared" si="9"/>
        <v>II</v>
      </c>
    </row>
    <row r="541" spans="1:18">
      <c r="A541">
        <v>900</v>
      </c>
      <c r="B541" t="s">
        <v>75</v>
      </c>
      <c r="C541">
        <v>0.29499999999999998</v>
      </c>
      <c r="D541">
        <v>0.23</v>
      </c>
      <c r="E541">
        <v>0.08</v>
      </c>
      <c r="F541">
        <v>0.16250000000000001</v>
      </c>
      <c r="G541">
        <v>6.5000000000000002E-2</v>
      </c>
      <c r="H541">
        <v>0.05</v>
      </c>
      <c r="I541">
        <v>3.85E-2</v>
      </c>
      <c r="J541">
        <v>5</v>
      </c>
      <c r="K541">
        <v>3</v>
      </c>
      <c r="L541" t="s">
        <v>52</v>
      </c>
      <c r="M541" t="s">
        <v>53</v>
      </c>
      <c r="N541" t="s">
        <v>54</v>
      </c>
      <c r="O541">
        <v>2</v>
      </c>
      <c r="P541" t="s">
        <v>5</v>
      </c>
      <c r="Q541">
        <v>18</v>
      </c>
      <c r="R541" s="1" t="str">
        <f t="shared" si="9"/>
        <v>II</v>
      </c>
    </row>
    <row r="542" spans="1:18">
      <c r="A542">
        <v>711</v>
      </c>
      <c r="B542" t="s">
        <v>75</v>
      </c>
      <c r="C542">
        <v>0.32500000000000001</v>
      </c>
      <c r="D542">
        <v>0.25</v>
      </c>
      <c r="E542">
        <v>0.08</v>
      </c>
      <c r="F542">
        <v>0.17599999999999999</v>
      </c>
      <c r="G542">
        <v>5.9499999999999997E-2</v>
      </c>
      <c r="H542">
        <v>3.5499999999999997E-2</v>
      </c>
      <c r="I542">
        <v>6.3E-2</v>
      </c>
      <c r="J542">
        <v>7</v>
      </c>
      <c r="K542">
        <v>4</v>
      </c>
      <c r="L542" t="s">
        <v>40</v>
      </c>
      <c r="M542" t="s">
        <v>41</v>
      </c>
      <c r="N542" t="s">
        <v>42</v>
      </c>
      <c r="O542">
        <v>8</v>
      </c>
      <c r="P542" t="s">
        <v>13</v>
      </c>
      <c r="Q542">
        <v>12.3</v>
      </c>
      <c r="R542" s="1" t="str">
        <f t="shared" si="9"/>
        <v>II</v>
      </c>
    </row>
    <row r="543" spans="1:18">
      <c r="A543">
        <v>1918</v>
      </c>
      <c r="B543" t="s">
        <v>75</v>
      </c>
      <c r="C543">
        <v>0.6</v>
      </c>
      <c r="D543">
        <v>0.47499999999999998</v>
      </c>
      <c r="E543">
        <v>0.15</v>
      </c>
      <c r="F543">
        <v>0.99</v>
      </c>
      <c r="G543">
        <v>0.38600000000000001</v>
      </c>
      <c r="H543">
        <v>0.2195</v>
      </c>
      <c r="I543">
        <v>0.3105</v>
      </c>
      <c r="J543">
        <v>10</v>
      </c>
      <c r="K543">
        <v>9</v>
      </c>
      <c r="L543" t="s">
        <v>34</v>
      </c>
      <c r="M543" t="s">
        <v>35</v>
      </c>
      <c r="N543" t="s">
        <v>36</v>
      </c>
      <c r="O543">
        <v>5</v>
      </c>
      <c r="P543" t="s">
        <v>12</v>
      </c>
      <c r="Q543">
        <v>12.8</v>
      </c>
      <c r="R543" s="1" t="str">
        <f t="shared" si="9"/>
        <v>II</v>
      </c>
    </row>
    <row r="544" spans="1:18">
      <c r="A544">
        <v>781</v>
      </c>
      <c r="B544" t="s">
        <v>75</v>
      </c>
      <c r="C544">
        <v>0.56000000000000005</v>
      </c>
      <c r="D544">
        <v>0.41</v>
      </c>
      <c r="E544">
        <v>0.16500000000000001</v>
      </c>
      <c r="F544">
        <v>0.93</v>
      </c>
      <c r="G544">
        <v>0.35049999999999998</v>
      </c>
      <c r="H544">
        <v>0.23699999999999999</v>
      </c>
      <c r="I544">
        <v>0.3</v>
      </c>
      <c r="J544">
        <v>13</v>
      </c>
      <c r="K544">
        <v>12</v>
      </c>
      <c r="L544" t="s">
        <v>58</v>
      </c>
      <c r="M544" t="s">
        <v>59</v>
      </c>
      <c r="N544" t="s">
        <v>45</v>
      </c>
      <c r="O544">
        <v>1</v>
      </c>
      <c r="P544" t="s">
        <v>4</v>
      </c>
      <c r="Q544">
        <v>22.1</v>
      </c>
      <c r="R544" s="1" t="str">
        <f t="shared" si="9"/>
        <v>II</v>
      </c>
    </row>
    <row r="545" spans="1:18">
      <c r="A545">
        <v>2025</v>
      </c>
      <c r="B545" t="s">
        <v>75</v>
      </c>
      <c r="C545">
        <v>0.54500000000000004</v>
      </c>
      <c r="D545">
        <v>0.44</v>
      </c>
      <c r="E545">
        <v>0.14000000000000001</v>
      </c>
      <c r="F545">
        <v>0.83950000000000002</v>
      </c>
      <c r="G545">
        <v>0.35599999999999998</v>
      </c>
      <c r="H545">
        <v>0.1905</v>
      </c>
      <c r="I545">
        <v>0.23849999999999999</v>
      </c>
      <c r="J545">
        <v>11</v>
      </c>
      <c r="K545">
        <v>13</v>
      </c>
      <c r="L545" t="s">
        <v>43</v>
      </c>
      <c r="M545" t="s">
        <v>44</v>
      </c>
      <c r="N545" t="s">
        <v>45</v>
      </c>
      <c r="O545">
        <v>6</v>
      </c>
      <c r="P545" t="s">
        <v>7</v>
      </c>
      <c r="Q545">
        <v>14.1</v>
      </c>
      <c r="R545" s="1" t="str">
        <f t="shared" si="9"/>
        <v>II</v>
      </c>
    </row>
    <row r="546" spans="1:18">
      <c r="A546">
        <v>1109</v>
      </c>
      <c r="B546" t="s">
        <v>75</v>
      </c>
      <c r="C546">
        <v>0.51500000000000001</v>
      </c>
      <c r="D546">
        <v>0.38500000000000001</v>
      </c>
      <c r="E546">
        <v>0.125</v>
      </c>
      <c r="F546">
        <v>0.61150000000000004</v>
      </c>
      <c r="G546">
        <v>0.3175</v>
      </c>
      <c r="H546">
        <v>0.1265</v>
      </c>
      <c r="I546">
        <v>0.15</v>
      </c>
      <c r="J546">
        <v>8</v>
      </c>
      <c r="K546">
        <v>12</v>
      </c>
      <c r="L546" t="s">
        <v>58</v>
      </c>
      <c r="M546" t="s">
        <v>59</v>
      </c>
      <c r="N546" t="s">
        <v>45</v>
      </c>
      <c r="O546">
        <v>9</v>
      </c>
      <c r="P546" t="s">
        <v>9</v>
      </c>
      <c r="Q546">
        <v>1.9</v>
      </c>
      <c r="R546" s="1" t="str">
        <f t="shared" si="9"/>
        <v>II</v>
      </c>
    </row>
    <row r="547" spans="1:18">
      <c r="A547">
        <v>655</v>
      </c>
      <c r="B547" t="s">
        <v>75</v>
      </c>
      <c r="C547">
        <v>0.37</v>
      </c>
      <c r="D547">
        <v>0.28000000000000003</v>
      </c>
      <c r="E547">
        <v>0.11</v>
      </c>
      <c r="F547">
        <v>0.23050000000000001</v>
      </c>
      <c r="G547">
        <v>9.4500000000000001E-2</v>
      </c>
      <c r="H547">
        <v>4.65E-2</v>
      </c>
      <c r="I547">
        <v>7.4999999999999997E-2</v>
      </c>
      <c r="J547">
        <v>10</v>
      </c>
      <c r="K547">
        <v>5</v>
      </c>
      <c r="L547" t="s">
        <v>67</v>
      </c>
      <c r="M547" t="s">
        <v>68</v>
      </c>
      <c r="N547" t="s">
        <v>69</v>
      </c>
      <c r="O547">
        <v>1</v>
      </c>
      <c r="P547" t="s">
        <v>4</v>
      </c>
      <c r="Q547">
        <v>22.1</v>
      </c>
      <c r="R547" s="1" t="str">
        <f t="shared" si="9"/>
        <v>II</v>
      </c>
    </row>
    <row r="548" spans="1:18">
      <c r="A548">
        <v>1240</v>
      </c>
      <c r="B548" t="s">
        <v>75</v>
      </c>
      <c r="C548">
        <v>0.375</v>
      </c>
      <c r="D548">
        <v>0.27</v>
      </c>
      <c r="E548">
        <v>8.5000000000000006E-2</v>
      </c>
      <c r="F548">
        <v>0.218</v>
      </c>
      <c r="G548">
        <v>9.4500000000000001E-2</v>
      </c>
      <c r="H548">
        <v>3.9E-2</v>
      </c>
      <c r="I548">
        <v>7.0000000000000007E-2</v>
      </c>
      <c r="J548">
        <v>7</v>
      </c>
      <c r="K548">
        <v>5</v>
      </c>
      <c r="L548" t="s">
        <v>67</v>
      </c>
      <c r="M548" t="s">
        <v>68</v>
      </c>
      <c r="N548" t="s">
        <v>69</v>
      </c>
      <c r="O548">
        <v>1</v>
      </c>
      <c r="P548" t="s">
        <v>4</v>
      </c>
      <c r="Q548">
        <v>22.1</v>
      </c>
      <c r="R548" s="1" t="str">
        <f t="shared" si="9"/>
        <v>II</v>
      </c>
    </row>
    <row r="549" spans="1:18">
      <c r="A549">
        <v>2479</v>
      </c>
      <c r="B549" t="s">
        <v>75</v>
      </c>
      <c r="C549">
        <v>0.47</v>
      </c>
      <c r="D549">
        <v>0.35499999999999998</v>
      </c>
      <c r="E549">
        <v>0.18</v>
      </c>
      <c r="F549">
        <v>0.441</v>
      </c>
      <c r="G549">
        <v>0.1525</v>
      </c>
      <c r="H549">
        <v>0.11650000000000001</v>
      </c>
      <c r="I549">
        <v>0.13500000000000001</v>
      </c>
      <c r="J549">
        <v>8</v>
      </c>
      <c r="K549">
        <v>9</v>
      </c>
      <c r="L549" t="s">
        <v>34</v>
      </c>
      <c r="M549" t="s">
        <v>35</v>
      </c>
      <c r="N549" t="s">
        <v>36</v>
      </c>
      <c r="O549">
        <v>10</v>
      </c>
      <c r="P549" t="s">
        <v>11</v>
      </c>
      <c r="Q549">
        <v>24.1</v>
      </c>
      <c r="R549" s="1" t="str">
        <f t="shared" si="9"/>
        <v>II</v>
      </c>
    </row>
    <row r="550" spans="1:18">
      <c r="A550">
        <v>1685</v>
      </c>
      <c r="B550" t="s">
        <v>75</v>
      </c>
      <c r="C550">
        <v>0.62</v>
      </c>
      <c r="D550">
        <v>0.47</v>
      </c>
      <c r="E550">
        <v>0.14000000000000001</v>
      </c>
      <c r="F550">
        <v>0.85650000000000004</v>
      </c>
      <c r="G550">
        <v>0.35949999999999999</v>
      </c>
      <c r="H550">
        <v>0.16</v>
      </c>
      <c r="I550">
        <v>0.29499999999999998</v>
      </c>
      <c r="J550">
        <v>9</v>
      </c>
      <c r="K550">
        <v>8</v>
      </c>
      <c r="L550" t="s">
        <v>55</v>
      </c>
      <c r="M550" t="s">
        <v>56</v>
      </c>
      <c r="N550" t="s">
        <v>57</v>
      </c>
      <c r="O550">
        <v>6</v>
      </c>
      <c r="P550" t="s">
        <v>7</v>
      </c>
      <c r="Q550">
        <v>14.1</v>
      </c>
      <c r="R550" s="1" t="str">
        <f t="shared" si="9"/>
        <v>II</v>
      </c>
    </row>
    <row r="551" spans="1:18">
      <c r="A551">
        <v>675</v>
      </c>
      <c r="B551" t="s">
        <v>75</v>
      </c>
      <c r="C551">
        <v>0.49</v>
      </c>
      <c r="D551">
        <v>0.38500000000000001</v>
      </c>
      <c r="E551">
        <v>0.15</v>
      </c>
      <c r="F551">
        <v>0.78649999999999998</v>
      </c>
      <c r="G551">
        <v>0.24099999999999999</v>
      </c>
      <c r="H551">
        <v>0.14000000000000001</v>
      </c>
      <c r="I551">
        <v>0.24</v>
      </c>
      <c r="J551">
        <v>23</v>
      </c>
      <c r="K551">
        <v>13</v>
      </c>
      <c r="L551" t="s">
        <v>43</v>
      </c>
      <c r="M551" t="s">
        <v>44</v>
      </c>
      <c r="N551" t="s">
        <v>45</v>
      </c>
      <c r="O551">
        <v>10</v>
      </c>
      <c r="P551" t="s">
        <v>11</v>
      </c>
      <c r="Q551">
        <v>24.1</v>
      </c>
      <c r="R551" s="1" t="str">
        <f t="shared" si="9"/>
        <v>II</v>
      </c>
    </row>
    <row r="552" spans="1:18">
      <c r="A552">
        <v>156</v>
      </c>
      <c r="B552" t="s">
        <v>75</v>
      </c>
      <c r="C552">
        <v>0.51500000000000001</v>
      </c>
      <c r="D552">
        <v>0.40500000000000003</v>
      </c>
      <c r="E552">
        <v>0.13</v>
      </c>
      <c r="F552">
        <v>0.72199999999999998</v>
      </c>
      <c r="G552">
        <v>0.32</v>
      </c>
      <c r="H552">
        <v>0.13100000000000001</v>
      </c>
      <c r="I552">
        <v>0.21</v>
      </c>
      <c r="J552">
        <v>10</v>
      </c>
      <c r="K552">
        <v>15</v>
      </c>
      <c r="L552" t="s">
        <v>60</v>
      </c>
      <c r="M552" t="s">
        <v>61</v>
      </c>
      <c r="N552" t="s">
        <v>45</v>
      </c>
      <c r="O552">
        <v>2</v>
      </c>
      <c r="P552" t="s">
        <v>5</v>
      </c>
      <c r="Q552">
        <v>18</v>
      </c>
      <c r="R552" s="1" t="str">
        <f t="shared" si="9"/>
        <v>II</v>
      </c>
    </row>
    <row r="553" spans="1:18">
      <c r="A553">
        <v>2519</v>
      </c>
      <c r="B553" t="s">
        <v>75</v>
      </c>
      <c r="C553">
        <v>0.5</v>
      </c>
      <c r="D553">
        <v>0.4</v>
      </c>
      <c r="E553">
        <v>0.13</v>
      </c>
      <c r="F553">
        <v>0.77149999999999996</v>
      </c>
      <c r="G553">
        <v>0.37</v>
      </c>
      <c r="H553">
        <v>0.16</v>
      </c>
      <c r="I553">
        <v>0.21099999999999999</v>
      </c>
      <c r="J553">
        <v>8</v>
      </c>
      <c r="K553">
        <v>10</v>
      </c>
      <c r="L553" t="s">
        <v>37</v>
      </c>
      <c r="M553" t="s">
        <v>38</v>
      </c>
      <c r="N553" t="s">
        <v>39</v>
      </c>
      <c r="O553">
        <v>7</v>
      </c>
      <c r="P553" t="s">
        <v>6</v>
      </c>
      <c r="Q553">
        <v>2.5</v>
      </c>
      <c r="R553" s="1" t="str">
        <f t="shared" si="9"/>
        <v>II</v>
      </c>
    </row>
    <row r="554" spans="1:18">
      <c r="A554">
        <v>3580</v>
      </c>
      <c r="B554" t="s">
        <v>75</v>
      </c>
      <c r="C554">
        <v>0.6</v>
      </c>
      <c r="D554">
        <v>0.48499999999999999</v>
      </c>
      <c r="E554">
        <v>0.14499999999999999</v>
      </c>
      <c r="F554">
        <v>0.77600000000000002</v>
      </c>
      <c r="G554">
        <v>0.35449999999999998</v>
      </c>
      <c r="H554">
        <v>0.1585</v>
      </c>
      <c r="I554">
        <v>0.23899999999999999</v>
      </c>
      <c r="J554">
        <v>9</v>
      </c>
      <c r="K554">
        <v>13</v>
      </c>
      <c r="L554" t="s">
        <v>43</v>
      </c>
      <c r="M554" t="s">
        <v>44</v>
      </c>
      <c r="N554" t="s">
        <v>45</v>
      </c>
      <c r="O554">
        <v>3</v>
      </c>
      <c r="P554" t="s">
        <v>10</v>
      </c>
      <c r="Q554">
        <v>3.6</v>
      </c>
      <c r="R554" s="1" t="str">
        <f t="shared" si="9"/>
        <v>II</v>
      </c>
    </row>
    <row r="555" spans="1:18">
      <c r="A555">
        <v>2898</v>
      </c>
      <c r="B555" t="s">
        <v>75</v>
      </c>
      <c r="C555">
        <v>0.54500000000000004</v>
      </c>
      <c r="D555">
        <v>0.43</v>
      </c>
      <c r="E555">
        <v>0.15</v>
      </c>
      <c r="F555">
        <v>0.74199999999999999</v>
      </c>
      <c r="G555">
        <v>0.35249999999999998</v>
      </c>
      <c r="H555">
        <v>0.158</v>
      </c>
      <c r="I555">
        <v>0.20799999999999999</v>
      </c>
      <c r="J555">
        <v>10</v>
      </c>
      <c r="K555">
        <v>12</v>
      </c>
      <c r="L555" t="s">
        <v>58</v>
      </c>
      <c r="M555" t="s">
        <v>59</v>
      </c>
      <c r="N555" t="s">
        <v>45</v>
      </c>
      <c r="O555">
        <v>7</v>
      </c>
      <c r="P555" t="s">
        <v>6</v>
      </c>
      <c r="Q555">
        <v>2.5</v>
      </c>
      <c r="R555" s="1" t="str">
        <f t="shared" si="9"/>
        <v>II</v>
      </c>
    </row>
    <row r="556" spans="1:18">
      <c r="A556">
        <v>3899</v>
      </c>
      <c r="B556" t="s">
        <v>75</v>
      </c>
      <c r="C556">
        <v>0.56499999999999995</v>
      </c>
      <c r="D556">
        <v>0.46</v>
      </c>
      <c r="E556">
        <v>0.15</v>
      </c>
      <c r="F556">
        <v>0.87649999999999995</v>
      </c>
      <c r="G556">
        <v>0.34549999999999997</v>
      </c>
      <c r="H556">
        <v>0.1925</v>
      </c>
      <c r="I556">
        <v>0.27500000000000002</v>
      </c>
      <c r="J556">
        <v>10</v>
      </c>
      <c r="K556">
        <v>7</v>
      </c>
      <c r="L556" t="s">
        <v>62</v>
      </c>
      <c r="M556" t="s">
        <v>63</v>
      </c>
      <c r="N556" t="s">
        <v>64</v>
      </c>
      <c r="O556">
        <v>9</v>
      </c>
      <c r="P556" t="s">
        <v>9</v>
      </c>
      <c r="Q556">
        <v>1.9</v>
      </c>
      <c r="R556" s="1" t="str">
        <f t="shared" si="9"/>
        <v>II</v>
      </c>
    </row>
    <row r="557" spans="1:18">
      <c r="A557">
        <v>686</v>
      </c>
      <c r="B557" t="s">
        <v>75</v>
      </c>
      <c r="C557">
        <v>0.56499999999999995</v>
      </c>
      <c r="D557">
        <v>0.44</v>
      </c>
      <c r="E557">
        <v>0.185</v>
      </c>
      <c r="F557">
        <v>0.90900000000000003</v>
      </c>
      <c r="G557">
        <v>0.34399999999999997</v>
      </c>
      <c r="H557">
        <v>0.23250000000000001</v>
      </c>
      <c r="I557">
        <v>0.255</v>
      </c>
      <c r="J557">
        <v>15</v>
      </c>
      <c r="K557">
        <v>9</v>
      </c>
      <c r="L557" t="s">
        <v>34</v>
      </c>
      <c r="M557" t="s">
        <v>35</v>
      </c>
      <c r="N557" t="s">
        <v>36</v>
      </c>
      <c r="O557">
        <v>7</v>
      </c>
      <c r="P557" t="s">
        <v>6</v>
      </c>
      <c r="Q557">
        <v>2.5</v>
      </c>
      <c r="R557" s="1" t="str">
        <f t="shared" si="9"/>
        <v>II</v>
      </c>
    </row>
    <row r="558" spans="1:18">
      <c r="A558">
        <v>1316</v>
      </c>
      <c r="B558" t="s">
        <v>75</v>
      </c>
      <c r="C558">
        <v>0.55000000000000004</v>
      </c>
      <c r="D558">
        <v>0.42499999999999999</v>
      </c>
      <c r="E558">
        <v>0.13500000000000001</v>
      </c>
      <c r="F558">
        <v>0.73050000000000004</v>
      </c>
      <c r="G558">
        <v>0.33250000000000002</v>
      </c>
      <c r="H558">
        <v>0.1545</v>
      </c>
      <c r="I558">
        <v>0.215</v>
      </c>
      <c r="J558">
        <v>9</v>
      </c>
      <c r="K558">
        <v>4</v>
      </c>
      <c r="L558" t="s">
        <v>40</v>
      </c>
      <c r="M558" t="s">
        <v>41</v>
      </c>
      <c r="N558" t="s">
        <v>42</v>
      </c>
      <c r="O558">
        <v>8</v>
      </c>
      <c r="P558" t="s">
        <v>13</v>
      </c>
      <c r="Q558">
        <v>12.3</v>
      </c>
      <c r="R558" s="1" t="str">
        <f t="shared" si="9"/>
        <v>II</v>
      </c>
    </row>
    <row r="559" spans="1:18">
      <c r="A559">
        <v>3900</v>
      </c>
      <c r="B559" t="s">
        <v>75</v>
      </c>
      <c r="C559">
        <v>0.14000000000000001</v>
      </c>
      <c r="D559">
        <v>0.105</v>
      </c>
      <c r="E559">
        <v>3.5000000000000003E-2</v>
      </c>
      <c r="F559">
        <v>1.4500000000000001E-2</v>
      </c>
      <c r="G559">
        <v>5.0000000000000001E-3</v>
      </c>
      <c r="H559">
        <v>3.5000000000000001E-3</v>
      </c>
      <c r="I559">
        <v>5.0000000000000001E-3</v>
      </c>
      <c r="J559">
        <v>4</v>
      </c>
      <c r="K559">
        <v>12</v>
      </c>
      <c r="L559" t="s">
        <v>58</v>
      </c>
      <c r="M559" t="s">
        <v>59</v>
      </c>
      <c r="N559" t="s">
        <v>45</v>
      </c>
      <c r="O559">
        <v>5</v>
      </c>
      <c r="P559" t="s">
        <v>12</v>
      </c>
      <c r="Q559">
        <v>12.8</v>
      </c>
      <c r="R559" s="1" t="str">
        <f t="shared" si="9"/>
        <v>II</v>
      </c>
    </row>
    <row r="560" spans="1:18">
      <c r="A560">
        <v>2550</v>
      </c>
      <c r="B560" t="s">
        <v>75</v>
      </c>
      <c r="C560">
        <v>0.28000000000000003</v>
      </c>
      <c r="D560">
        <v>0.21</v>
      </c>
      <c r="E560">
        <v>5.5E-2</v>
      </c>
      <c r="F560">
        <v>0.106</v>
      </c>
      <c r="G560">
        <v>4.1500000000000002E-2</v>
      </c>
      <c r="H560">
        <v>2.6499999999999999E-2</v>
      </c>
      <c r="I560">
        <v>3.1E-2</v>
      </c>
      <c r="J560">
        <v>5</v>
      </c>
      <c r="K560">
        <v>6</v>
      </c>
      <c r="L560" t="s">
        <v>46</v>
      </c>
      <c r="M560" t="s">
        <v>47</v>
      </c>
      <c r="N560" t="s">
        <v>48</v>
      </c>
      <c r="O560">
        <v>6</v>
      </c>
      <c r="P560" t="s">
        <v>7</v>
      </c>
      <c r="Q560">
        <v>14.1</v>
      </c>
      <c r="R560" s="1" t="str">
        <f t="shared" si="9"/>
        <v>II</v>
      </c>
    </row>
    <row r="561" spans="1:18">
      <c r="A561">
        <v>1264</v>
      </c>
      <c r="B561" t="s">
        <v>75</v>
      </c>
      <c r="C561">
        <v>0.45500000000000002</v>
      </c>
      <c r="D561">
        <v>0.36499999999999999</v>
      </c>
      <c r="E561">
        <v>0.115</v>
      </c>
      <c r="F561">
        <v>0.43049999999999999</v>
      </c>
      <c r="G561">
        <v>0.184</v>
      </c>
      <c r="H561">
        <v>0.108</v>
      </c>
      <c r="I561">
        <v>0.1245</v>
      </c>
      <c r="J561">
        <v>8</v>
      </c>
      <c r="K561">
        <v>3</v>
      </c>
      <c r="L561" t="s">
        <v>52</v>
      </c>
      <c r="M561" t="s">
        <v>53</v>
      </c>
      <c r="N561" t="s">
        <v>54</v>
      </c>
      <c r="O561">
        <v>1</v>
      </c>
      <c r="P561" t="s">
        <v>4</v>
      </c>
      <c r="Q561">
        <v>22.1</v>
      </c>
      <c r="R561" s="1" t="str">
        <f t="shared" si="9"/>
        <v>II</v>
      </c>
    </row>
    <row r="562" spans="1:18">
      <c r="A562">
        <v>2174</v>
      </c>
      <c r="B562" t="s">
        <v>75</v>
      </c>
      <c r="C562">
        <v>0.59499999999999997</v>
      </c>
      <c r="D562">
        <v>0.46500000000000002</v>
      </c>
      <c r="E562">
        <v>0.125</v>
      </c>
      <c r="F562">
        <v>0.79900000000000004</v>
      </c>
      <c r="G562">
        <v>0.32450000000000001</v>
      </c>
      <c r="H562">
        <v>0.2</v>
      </c>
      <c r="I562">
        <v>0.23</v>
      </c>
      <c r="J562">
        <v>10</v>
      </c>
      <c r="K562">
        <v>8</v>
      </c>
      <c r="L562" t="s">
        <v>55</v>
      </c>
      <c r="M562" t="s">
        <v>56</v>
      </c>
      <c r="N562" t="s">
        <v>57</v>
      </c>
      <c r="O562">
        <v>9</v>
      </c>
      <c r="P562" t="s">
        <v>9</v>
      </c>
      <c r="Q562">
        <v>1.9</v>
      </c>
      <c r="R562" s="1" t="str">
        <f t="shared" si="9"/>
        <v>II</v>
      </c>
    </row>
    <row r="563" spans="1:18">
      <c r="A563">
        <v>438</v>
      </c>
      <c r="B563" t="s">
        <v>75</v>
      </c>
      <c r="C563">
        <v>0.38500000000000001</v>
      </c>
      <c r="D563">
        <v>0.30499999999999999</v>
      </c>
      <c r="E563">
        <v>9.5000000000000001E-2</v>
      </c>
      <c r="F563">
        <v>0.252</v>
      </c>
      <c r="G563">
        <v>9.1499999999999998E-2</v>
      </c>
      <c r="H563">
        <v>5.5E-2</v>
      </c>
      <c r="I563">
        <v>0.09</v>
      </c>
      <c r="J563">
        <v>14</v>
      </c>
      <c r="K563">
        <v>2</v>
      </c>
      <c r="L563" t="s">
        <v>49</v>
      </c>
      <c r="M563" t="s">
        <v>50</v>
      </c>
      <c r="N563" t="s">
        <v>51</v>
      </c>
      <c r="O563">
        <v>6</v>
      </c>
      <c r="P563" t="s">
        <v>7</v>
      </c>
      <c r="Q563">
        <v>14.1</v>
      </c>
      <c r="R563" s="1" t="str">
        <f t="shared" si="9"/>
        <v>II</v>
      </c>
    </row>
    <row r="564" spans="1:18">
      <c r="A564">
        <v>3321</v>
      </c>
      <c r="B564" t="s">
        <v>75</v>
      </c>
      <c r="C564">
        <v>0.53500000000000003</v>
      </c>
      <c r="D564">
        <v>0.42499999999999999</v>
      </c>
      <c r="E564">
        <v>0.155</v>
      </c>
      <c r="F564">
        <v>0.77649999999999997</v>
      </c>
      <c r="G564">
        <v>0.30199999999999999</v>
      </c>
      <c r="H564">
        <v>0.1565</v>
      </c>
      <c r="I564">
        <v>0.25</v>
      </c>
      <c r="J564">
        <v>16</v>
      </c>
      <c r="K564">
        <v>7</v>
      </c>
      <c r="L564" t="s">
        <v>62</v>
      </c>
      <c r="M564" t="s">
        <v>63</v>
      </c>
      <c r="N564" t="s">
        <v>64</v>
      </c>
      <c r="O564">
        <v>9</v>
      </c>
      <c r="P564" t="s">
        <v>9</v>
      </c>
      <c r="Q564">
        <v>1.9</v>
      </c>
      <c r="R564" s="1" t="str">
        <f t="shared" si="9"/>
        <v>II</v>
      </c>
    </row>
    <row r="565" spans="1:18">
      <c r="A565">
        <v>2005</v>
      </c>
      <c r="B565" t="s">
        <v>75</v>
      </c>
      <c r="C565">
        <v>0.375</v>
      </c>
      <c r="D565">
        <v>0.27500000000000002</v>
      </c>
      <c r="E565">
        <v>8.5000000000000006E-2</v>
      </c>
      <c r="F565">
        <v>0.22</v>
      </c>
      <c r="G565">
        <v>0.109</v>
      </c>
      <c r="H565">
        <v>0.05</v>
      </c>
      <c r="I565">
        <v>6.0499999999999998E-2</v>
      </c>
      <c r="J565">
        <v>7</v>
      </c>
      <c r="K565">
        <v>15</v>
      </c>
      <c r="L565" t="s">
        <v>60</v>
      </c>
      <c r="M565" t="s">
        <v>61</v>
      </c>
      <c r="N565" t="s">
        <v>45</v>
      </c>
      <c r="O565">
        <v>9</v>
      </c>
      <c r="P565" t="s">
        <v>9</v>
      </c>
      <c r="Q565">
        <v>1.9</v>
      </c>
      <c r="R565" s="1" t="str">
        <f t="shared" si="9"/>
        <v>II</v>
      </c>
    </row>
    <row r="566" spans="1:18">
      <c r="A566">
        <v>1288</v>
      </c>
      <c r="B566" t="s">
        <v>75</v>
      </c>
      <c r="C566">
        <v>0.505</v>
      </c>
      <c r="D566">
        <v>0.40500000000000003</v>
      </c>
      <c r="E566">
        <v>0.13</v>
      </c>
      <c r="F566">
        <v>0.60150000000000003</v>
      </c>
      <c r="G566">
        <v>0.30149999999999999</v>
      </c>
      <c r="H566">
        <v>0.11</v>
      </c>
      <c r="I566">
        <v>0.18</v>
      </c>
      <c r="J566">
        <v>8</v>
      </c>
      <c r="K566">
        <v>4</v>
      </c>
      <c r="L566" t="s">
        <v>40</v>
      </c>
      <c r="M566" t="s">
        <v>41</v>
      </c>
      <c r="N566" t="s">
        <v>42</v>
      </c>
      <c r="O566">
        <v>5</v>
      </c>
      <c r="P566" t="s">
        <v>12</v>
      </c>
      <c r="Q566">
        <v>12.8</v>
      </c>
      <c r="R566" s="1" t="str">
        <f t="shared" si="9"/>
        <v>II</v>
      </c>
    </row>
    <row r="567" spans="1:18">
      <c r="A567">
        <v>1224</v>
      </c>
      <c r="B567" t="s">
        <v>75</v>
      </c>
      <c r="C567">
        <v>0.34</v>
      </c>
      <c r="D567">
        <v>0.25</v>
      </c>
      <c r="E567">
        <v>0.09</v>
      </c>
      <c r="F567">
        <v>0.17899999999999999</v>
      </c>
      <c r="G567">
        <v>7.7499999999999999E-2</v>
      </c>
      <c r="H567">
        <v>3.3000000000000002E-2</v>
      </c>
      <c r="I567">
        <v>5.5E-2</v>
      </c>
      <c r="J567">
        <v>6</v>
      </c>
      <c r="K567">
        <v>14</v>
      </c>
      <c r="L567" t="s">
        <v>72</v>
      </c>
      <c r="M567" t="s">
        <v>73</v>
      </c>
      <c r="N567" t="s">
        <v>74</v>
      </c>
      <c r="O567">
        <v>8</v>
      </c>
      <c r="P567" t="s">
        <v>13</v>
      </c>
      <c r="Q567">
        <v>12.3</v>
      </c>
      <c r="R567" s="1" t="str">
        <f t="shared" si="9"/>
        <v>II</v>
      </c>
    </row>
    <row r="568" spans="1:18">
      <c r="A568">
        <v>3868</v>
      </c>
      <c r="B568" t="s">
        <v>75</v>
      </c>
      <c r="C568">
        <v>0.5</v>
      </c>
      <c r="D568">
        <v>0.39</v>
      </c>
      <c r="E568">
        <v>0.13</v>
      </c>
      <c r="F568">
        <v>0.63549999999999995</v>
      </c>
      <c r="G568">
        <v>0.2505</v>
      </c>
      <c r="H568">
        <v>0.16350000000000001</v>
      </c>
      <c r="I568">
        <v>0.19500000000000001</v>
      </c>
      <c r="J568">
        <v>15</v>
      </c>
      <c r="K568">
        <v>6</v>
      </c>
      <c r="L568" t="s">
        <v>46</v>
      </c>
      <c r="M568" t="s">
        <v>47</v>
      </c>
      <c r="N568" t="s">
        <v>48</v>
      </c>
      <c r="O568">
        <v>10</v>
      </c>
      <c r="P568" t="s">
        <v>11</v>
      </c>
      <c r="Q568">
        <v>24.1</v>
      </c>
      <c r="R568" s="1" t="str">
        <f t="shared" si="9"/>
        <v>II</v>
      </c>
    </row>
    <row r="569" spans="1:18">
      <c r="A569">
        <v>301</v>
      </c>
      <c r="B569" t="s">
        <v>75</v>
      </c>
      <c r="C569">
        <v>0.40500000000000003</v>
      </c>
      <c r="D569">
        <v>0.30499999999999999</v>
      </c>
      <c r="E569">
        <v>9.5000000000000001E-2</v>
      </c>
      <c r="F569">
        <v>0.34849999999999998</v>
      </c>
      <c r="G569">
        <v>0.14549999999999999</v>
      </c>
      <c r="H569">
        <v>8.9499999999999996E-2</v>
      </c>
      <c r="I569">
        <v>0.1</v>
      </c>
      <c r="J569">
        <v>9</v>
      </c>
      <c r="K569">
        <v>1</v>
      </c>
      <c r="L569" t="s">
        <v>70</v>
      </c>
      <c r="M569" t="s">
        <v>71</v>
      </c>
      <c r="N569" t="s">
        <v>45</v>
      </c>
      <c r="O569">
        <v>5</v>
      </c>
      <c r="P569" t="s">
        <v>12</v>
      </c>
      <c r="Q569">
        <v>12.8</v>
      </c>
      <c r="R569" s="1" t="str">
        <f t="shared" si="9"/>
        <v>II</v>
      </c>
    </row>
    <row r="570" spans="1:18">
      <c r="A570">
        <v>3038</v>
      </c>
      <c r="B570" t="s">
        <v>75</v>
      </c>
      <c r="C570">
        <v>0.56000000000000005</v>
      </c>
      <c r="D570">
        <v>0.45</v>
      </c>
      <c r="E570">
        <v>0.14499999999999999</v>
      </c>
      <c r="F570">
        <v>0.89400000000000002</v>
      </c>
      <c r="G570">
        <v>0.38850000000000001</v>
      </c>
      <c r="H570">
        <v>0.20949999999999999</v>
      </c>
      <c r="I570">
        <v>0.26400000000000001</v>
      </c>
      <c r="J570">
        <v>9</v>
      </c>
      <c r="K570">
        <v>8</v>
      </c>
      <c r="L570" t="s">
        <v>55</v>
      </c>
      <c r="M570" t="s">
        <v>56</v>
      </c>
      <c r="N570" t="s">
        <v>57</v>
      </c>
      <c r="O570">
        <v>4</v>
      </c>
      <c r="P570" t="s">
        <v>8</v>
      </c>
      <c r="Q570">
        <v>6.1</v>
      </c>
      <c r="R570" s="1" t="str">
        <f t="shared" si="9"/>
        <v>II</v>
      </c>
    </row>
    <row r="571" spans="1:18">
      <c r="A571">
        <v>38</v>
      </c>
      <c r="B571" t="s">
        <v>75</v>
      </c>
      <c r="C571">
        <v>0.45</v>
      </c>
      <c r="D571">
        <v>0.35499999999999998</v>
      </c>
      <c r="E571">
        <v>0.105</v>
      </c>
      <c r="F571">
        <v>0.52249999999999996</v>
      </c>
      <c r="G571">
        <v>0.23699999999999999</v>
      </c>
      <c r="H571">
        <v>0.11650000000000001</v>
      </c>
      <c r="I571">
        <v>0.14499999999999999</v>
      </c>
      <c r="J571">
        <v>8</v>
      </c>
      <c r="K571">
        <v>13</v>
      </c>
      <c r="L571" t="s">
        <v>43</v>
      </c>
      <c r="M571" t="s">
        <v>44</v>
      </c>
      <c r="N571" t="s">
        <v>45</v>
      </c>
      <c r="O571">
        <v>5</v>
      </c>
      <c r="P571" t="s">
        <v>12</v>
      </c>
      <c r="Q571">
        <v>12.8</v>
      </c>
      <c r="R571" s="1" t="str">
        <f t="shared" si="9"/>
        <v>II</v>
      </c>
    </row>
    <row r="572" spans="1:18">
      <c r="A572">
        <v>3811</v>
      </c>
      <c r="B572" t="s">
        <v>75</v>
      </c>
      <c r="C572">
        <v>0.52500000000000002</v>
      </c>
      <c r="D572">
        <v>0.4</v>
      </c>
      <c r="E572">
        <v>0.125</v>
      </c>
      <c r="F572">
        <v>0.5655</v>
      </c>
      <c r="G572">
        <v>0.24349999999999999</v>
      </c>
      <c r="H572">
        <v>0.11899999999999999</v>
      </c>
      <c r="I572">
        <v>0.17499999999999999</v>
      </c>
      <c r="J572">
        <v>8</v>
      </c>
      <c r="K572">
        <v>1</v>
      </c>
      <c r="L572" t="s">
        <v>70</v>
      </c>
      <c r="M572" t="s">
        <v>71</v>
      </c>
      <c r="N572" t="s">
        <v>45</v>
      </c>
      <c r="O572">
        <v>8</v>
      </c>
      <c r="P572" t="s">
        <v>13</v>
      </c>
      <c r="Q572">
        <v>12.3</v>
      </c>
      <c r="R572" s="1" t="str">
        <f t="shared" si="9"/>
        <v>II</v>
      </c>
    </row>
    <row r="573" spans="1:18">
      <c r="A573">
        <v>1582</v>
      </c>
      <c r="B573" t="s">
        <v>75</v>
      </c>
      <c r="C573">
        <v>0.5</v>
      </c>
      <c r="D573">
        <v>0.39</v>
      </c>
      <c r="E573">
        <v>0.12</v>
      </c>
      <c r="F573">
        <v>0.59550000000000003</v>
      </c>
      <c r="G573">
        <v>0.2455</v>
      </c>
      <c r="H573">
        <v>0.14699999999999999</v>
      </c>
      <c r="I573">
        <v>0.17299999999999999</v>
      </c>
      <c r="J573">
        <v>8</v>
      </c>
      <c r="K573">
        <v>2</v>
      </c>
      <c r="L573" t="s">
        <v>49</v>
      </c>
      <c r="M573" t="s">
        <v>50</v>
      </c>
      <c r="N573" t="s">
        <v>51</v>
      </c>
      <c r="O573">
        <v>9</v>
      </c>
      <c r="P573" t="s">
        <v>9</v>
      </c>
      <c r="Q573">
        <v>1.9</v>
      </c>
      <c r="R573" s="1" t="str">
        <f t="shared" si="9"/>
        <v>II</v>
      </c>
    </row>
    <row r="574" spans="1:18">
      <c r="A574">
        <v>1092</v>
      </c>
      <c r="B574" t="s">
        <v>75</v>
      </c>
      <c r="C574">
        <v>0.45</v>
      </c>
      <c r="D574">
        <v>0.33</v>
      </c>
      <c r="E574">
        <v>0.11</v>
      </c>
      <c r="F574">
        <v>0.36849999999999999</v>
      </c>
      <c r="G574">
        <v>0.16</v>
      </c>
      <c r="H574">
        <v>8.8499999999999995E-2</v>
      </c>
      <c r="I574">
        <v>0.10199999999999999</v>
      </c>
      <c r="J574">
        <v>6</v>
      </c>
      <c r="K574">
        <v>2</v>
      </c>
      <c r="L574" t="s">
        <v>49</v>
      </c>
      <c r="M574" t="s">
        <v>50</v>
      </c>
      <c r="N574" t="s">
        <v>51</v>
      </c>
      <c r="O574">
        <v>3</v>
      </c>
      <c r="P574" t="s">
        <v>10</v>
      </c>
      <c r="Q574">
        <v>3.6</v>
      </c>
      <c r="R574" s="1" t="str">
        <f t="shared" si="9"/>
        <v>II</v>
      </c>
    </row>
    <row r="575" spans="1:18">
      <c r="A575">
        <v>4130</v>
      </c>
      <c r="B575" t="s">
        <v>75</v>
      </c>
      <c r="C575">
        <v>0.56999999999999995</v>
      </c>
      <c r="D575">
        <v>0.42499999999999999</v>
      </c>
      <c r="E575">
        <v>0.14000000000000001</v>
      </c>
      <c r="F575">
        <v>0.76549999999999996</v>
      </c>
      <c r="G575">
        <v>0.33100000000000002</v>
      </c>
      <c r="H575">
        <v>0.14000000000000001</v>
      </c>
      <c r="I575">
        <v>0.24</v>
      </c>
      <c r="J575">
        <v>10</v>
      </c>
      <c r="K575">
        <v>5</v>
      </c>
      <c r="L575" t="s">
        <v>67</v>
      </c>
      <c r="M575" t="s">
        <v>68</v>
      </c>
      <c r="N575" t="s">
        <v>69</v>
      </c>
      <c r="O575">
        <v>3</v>
      </c>
      <c r="P575" t="s">
        <v>10</v>
      </c>
      <c r="Q575">
        <v>3.6</v>
      </c>
      <c r="R575" s="1" t="str">
        <f t="shared" si="9"/>
        <v>II</v>
      </c>
    </row>
    <row r="576" spans="1:18">
      <c r="A576">
        <v>2135</v>
      </c>
      <c r="B576" t="s">
        <v>75</v>
      </c>
      <c r="C576">
        <v>0.44</v>
      </c>
      <c r="D576">
        <v>0.33</v>
      </c>
      <c r="E576">
        <v>0.115</v>
      </c>
      <c r="F576">
        <v>0.40050000000000002</v>
      </c>
      <c r="G576">
        <v>0.14299999999999999</v>
      </c>
      <c r="H576">
        <v>0.113</v>
      </c>
      <c r="I576">
        <v>0.12</v>
      </c>
      <c r="J576">
        <v>8</v>
      </c>
      <c r="K576">
        <v>2</v>
      </c>
      <c r="L576" t="s">
        <v>49</v>
      </c>
      <c r="M576" t="s">
        <v>50</v>
      </c>
      <c r="N576" t="s">
        <v>51</v>
      </c>
      <c r="O576">
        <v>1</v>
      </c>
      <c r="P576" t="s">
        <v>4</v>
      </c>
      <c r="Q576">
        <v>22.1</v>
      </c>
      <c r="R576" s="1" t="str">
        <f t="shared" si="9"/>
        <v>II</v>
      </c>
    </row>
    <row r="577" spans="1:18">
      <c r="A577">
        <v>3439</v>
      </c>
      <c r="B577" t="s">
        <v>75</v>
      </c>
      <c r="C577">
        <v>0.43</v>
      </c>
      <c r="D577">
        <v>0.33500000000000002</v>
      </c>
      <c r="E577">
        <v>0.105</v>
      </c>
      <c r="F577">
        <v>0.378</v>
      </c>
      <c r="G577">
        <v>0.188</v>
      </c>
      <c r="H577">
        <v>7.85E-2</v>
      </c>
      <c r="I577">
        <v>0.09</v>
      </c>
      <c r="J577">
        <v>6</v>
      </c>
      <c r="K577">
        <v>4</v>
      </c>
      <c r="L577" t="s">
        <v>40</v>
      </c>
      <c r="M577" t="s">
        <v>41</v>
      </c>
      <c r="N577" t="s">
        <v>42</v>
      </c>
      <c r="O577">
        <v>8</v>
      </c>
      <c r="P577" t="s">
        <v>13</v>
      </c>
      <c r="Q577">
        <v>12.3</v>
      </c>
      <c r="R577" s="1" t="str">
        <f t="shared" si="9"/>
        <v>II</v>
      </c>
    </row>
    <row r="578" spans="1:18">
      <c r="A578">
        <v>703</v>
      </c>
      <c r="B578" t="s">
        <v>75</v>
      </c>
      <c r="C578">
        <v>0.44500000000000001</v>
      </c>
      <c r="D578">
        <v>0.33</v>
      </c>
      <c r="E578">
        <v>0.105</v>
      </c>
      <c r="F578">
        <v>0.45250000000000001</v>
      </c>
      <c r="G578">
        <v>0.18</v>
      </c>
      <c r="H578">
        <v>0.10299999999999999</v>
      </c>
      <c r="I578">
        <v>0.123</v>
      </c>
      <c r="J578">
        <v>9</v>
      </c>
      <c r="K578">
        <v>9</v>
      </c>
      <c r="L578" t="s">
        <v>34</v>
      </c>
      <c r="M578" t="s">
        <v>35</v>
      </c>
      <c r="N578" t="s">
        <v>36</v>
      </c>
      <c r="O578">
        <v>7</v>
      </c>
      <c r="P578" t="s">
        <v>6</v>
      </c>
      <c r="Q578">
        <v>2.5</v>
      </c>
      <c r="R578" s="1" t="str">
        <f t="shared" si="9"/>
        <v>II</v>
      </c>
    </row>
    <row r="579" spans="1:18">
      <c r="A579">
        <v>2362</v>
      </c>
      <c r="B579" t="s">
        <v>75</v>
      </c>
      <c r="C579">
        <v>0.55000000000000004</v>
      </c>
      <c r="D579">
        <v>0.45</v>
      </c>
      <c r="E579">
        <v>0.155</v>
      </c>
      <c r="F579">
        <v>0.78949999999999998</v>
      </c>
      <c r="G579">
        <v>0.34300000000000003</v>
      </c>
      <c r="H579">
        <v>0.159</v>
      </c>
      <c r="I579">
        <v>0.25</v>
      </c>
      <c r="J579">
        <v>12</v>
      </c>
      <c r="K579">
        <v>4</v>
      </c>
      <c r="L579" t="s">
        <v>40</v>
      </c>
      <c r="M579" t="s">
        <v>41</v>
      </c>
      <c r="N579" t="s">
        <v>42</v>
      </c>
      <c r="O579">
        <v>8</v>
      </c>
      <c r="P579" t="s">
        <v>13</v>
      </c>
      <c r="Q579">
        <v>12.3</v>
      </c>
      <c r="R579" s="1" t="str">
        <f t="shared" si="9"/>
        <v>II</v>
      </c>
    </row>
    <row r="580" spans="1:18">
      <c r="A580">
        <v>2000</v>
      </c>
      <c r="B580" t="s">
        <v>76</v>
      </c>
      <c r="C580">
        <v>0.35</v>
      </c>
      <c r="D580">
        <v>0.25</v>
      </c>
      <c r="E580">
        <v>7.0000000000000007E-2</v>
      </c>
      <c r="F580">
        <v>0.1605</v>
      </c>
      <c r="G580">
        <v>7.1499999999999994E-2</v>
      </c>
      <c r="H580">
        <v>3.3500000000000002E-2</v>
      </c>
      <c r="I580">
        <v>4.5999999999999999E-2</v>
      </c>
      <c r="J580">
        <v>6</v>
      </c>
      <c r="K580">
        <v>1</v>
      </c>
      <c r="L580" t="s">
        <v>70</v>
      </c>
      <c r="M580" t="s">
        <v>71</v>
      </c>
      <c r="N580" t="s">
        <v>45</v>
      </c>
      <c r="O580">
        <v>5</v>
      </c>
      <c r="P580" t="s">
        <v>12</v>
      </c>
      <c r="Q580">
        <v>12.8</v>
      </c>
      <c r="R580" s="1" t="str">
        <f t="shared" si="9"/>
        <v>II</v>
      </c>
    </row>
    <row r="581" spans="1:18">
      <c r="A581">
        <v>419</v>
      </c>
      <c r="B581" t="s">
        <v>76</v>
      </c>
      <c r="C581">
        <v>0.63</v>
      </c>
      <c r="D581">
        <v>0.5</v>
      </c>
      <c r="E581">
        <v>0.155</v>
      </c>
      <c r="F581">
        <v>1.0049999999999999</v>
      </c>
      <c r="G581">
        <v>0.36699999999999999</v>
      </c>
      <c r="H581">
        <v>0.19900000000000001</v>
      </c>
      <c r="I581">
        <v>0.36</v>
      </c>
      <c r="J581">
        <v>16</v>
      </c>
      <c r="K581">
        <v>1</v>
      </c>
      <c r="L581" t="s">
        <v>70</v>
      </c>
      <c r="M581" t="s">
        <v>71</v>
      </c>
      <c r="N581" t="s">
        <v>45</v>
      </c>
      <c r="O581">
        <v>10</v>
      </c>
      <c r="P581" t="s">
        <v>11</v>
      </c>
      <c r="Q581">
        <v>24.1</v>
      </c>
      <c r="R581" s="1" t="str">
        <f t="shared" si="9"/>
        <v>II</v>
      </c>
    </row>
    <row r="582" spans="1:18">
      <c r="A582">
        <v>176</v>
      </c>
      <c r="B582" t="s">
        <v>76</v>
      </c>
      <c r="C582">
        <v>0.36</v>
      </c>
      <c r="D582">
        <v>0.26</v>
      </c>
      <c r="E582">
        <v>0.09</v>
      </c>
      <c r="F582">
        <v>0.17849999999999999</v>
      </c>
      <c r="G582">
        <v>6.4500000000000002E-2</v>
      </c>
      <c r="H582">
        <v>3.6999999999999998E-2</v>
      </c>
      <c r="I582">
        <v>7.4999999999999997E-2</v>
      </c>
      <c r="J582">
        <v>7</v>
      </c>
      <c r="K582">
        <v>9</v>
      </c>
      <c r="L582" t="s">
        <v>34</v>
      </c>
      <c r="M582" t="s">
        <v>35</v>
      </c>
      <c r="N582" t="s">
        <v>36</v>
      </c>
      <c r="O582">
        <v>5</v>
      </c>
      <c r="P582" t="s">
        <v>12</v>
      </c>
      <c r="Q582">
        <v>12.8</v>
      </c>
      <c r="R582" s="1" t="str">
        <f t="shared" si="9"/>
        <v>II</v>
      </c>
    </row>
    <row r="583" spans="1:18">
      <c r="A583">
        <v>3207</v>
      </c>
      <c r="B583" t="s">
        <v>76</v>
      </c>
      <c r="C583">
        <v>0.29499999999999998</v>
      </c>
      <c r="D583">
        <v>0.215</v>
      </c>
      <c r="E583">
        <v>7.4999999999999997E-2</v>
      </c>
      <c r="F583">
        <v>0.11600000000000001</v>
      </c>
      <c r="G583">
        <v>3.6999999999999998E-2</v>
      </c>
      <c r="H583">
        <v>2.9499999999999998E-2</v>
      </c>
      <c r="I583">
        <v>0.04</v>
      </c>
      <c r="J583">
        <v>8</v>
      </c>
      <c r="K583">
        <v>14</v>
      </c>
      <c r="L583" t="s">
        <v>72</v>
      </c>
      <c r="M583" t="s">
        <v>73</v>
      </c>
      <c r="N583" t="s">
        <v>74</v>
      </c>
      <c r="O583">
        <v>3</v>
      </c>
      <c r="P583" t="s">
        <v>10</v>
      </c>
      <c r="Q583">
        <v>3.6</v>
      </c>
      <c r="R583" s="1" t="str">
        <f t="shared" si="9"/>
        <v>II</v>
      </c>
    </row>
    <row r="584" spans="1:18">
      <c r="A584">
        <v>2421</v>
      </c>
      <c r="B584" t="s">
        <v>76</v>
      </c>
      <c r="C584">
        <v>0.35</v>
      </c>
      <c r="D584">
        <v>0.255</v>
      </c>
      <c r="E584">
        <v>8.5000000000000006E-2</v>
      </c>
      <c r="F584">
        <v>0.2145</v>
      </c>
      <c r="G584">
        <v>0.1</v>
      </c>
      <c r="H584">
        <v>4.65E-2</v>
      </c>
      <c r="I584">
        <v>0.06</v>
      </c>
      <c r="J584">
        <v>13</v>
      </c>
      <c r="K584">
        <v>12</v>
      </c>
      <c r="L584" t="s">
        <v>58</v>
      </c>
      <c r="M584" t="s">
        <v>59</v>
      </c>
      <c r="N584" t="s">
        <v>45</v>
      </c>
      <c r="O584">
        <v>6</v>
      </c>
      <c r="P584" t="s">
        <v>7</v>
      </c>
      <c r="Q584">
        <v>14.1</v>
      </c>
      <c r="R584" s="1" t="str">
        <f t="shared" si="9"/>
        <v>II</v>
      </c>
    </row>
    <row r="585" spans="1:18">
      <c r="A585">
        <v>29</v>
      </c>
      <c r="B585" t="s">
        <v>76</v>
      </c>
      <c r="C585">
        <v>0.60499999999999998</v>
      </c>
      <c r="D585">
        <v>0.47499999999999998</v>
      </c>
      <c r="E585">
        <v>0.18</v>
      </c>
      <c r="F585">
        <v>0.9365</v>
      </c>
      <c r="G585">
        <v>0.39400000000000002</v>
      </c>
      <c r="H585">
        <v>0.219</v>
      </c>
      <c r="I585">
        <v>0.29499999999999998</v>
      </c>
      <c r="J585">
        <v>15</v>
      </c>
      <c r="K585">
        <v>5</v>
      </c>
      <c r="L585" t="s">
        <v>67</v>
      </c>
      <c r="M585" t="s">
        <v>68</v>
      </c>
      <c r="N585" t="s">
        <v>69</v>
      </c>
      <c r="O585">
        <v>3</v>
      </c>
      <c r="P585" t="s">
        <v>10</v>
      </c>
      <c r="Q585">
        <v>3.6</v>
      </c>
      <c r="R585" s="1" t="str">
        <f t="shared" si="9"/>
        <v>II</v>
      </c>
    </row>
    <row r="586" spans="1:18">
      <c r="A586">
        <v>474</v>
      </c>
      <c r="B586" t="s">
        <v>76</v>
      </c>
      <c r="C586">
        <v>0.52</v>
      </c>
      <c r="D586">
        <v>0.40500000000000003</v>
      </c>
      <c r="E586">
        <v>0.12</v>
      </c>
      <c r="F586">
        <v>0.627</v>
      </c>
      <c r="G586">
        <v>0.26450000000000001</v>
      </c>
      <c r="H586">
        <v>0.14149999999999999</v>
      </c>
      <c r="I586">
        <v>0.18099999999999999</v>
      </c>
      <c r="J586">
        <v>11</v>
      </c>
      <c r="K586">
        <v>4</v>
      </c>
      <c r="L586" t="s">
        <v>40</v>
      </c>
      <c r="M586" t="s">
        <v>41</v>
      </c>
      <c r="N586" t="s">
        <v>42</v>
      </c>
      <c r="O586">
        <v>9</v>
      </c>
      <c r="P586" t="s">
        <v>9</v>
      </c>
      <c r="Q586">
        <v>1.9</v>
      </c>
      <c r="R586" s="1" t="str">
        <f t="shared" si="9"/>
        <v>II</v>
      </c>
    </row>
    <row r="587" spans="1:18">
      <c r="A587">
        <v>1442</v>
      </c>
      <c r="B587" t="s">
        <v>76</v>
      </c>
      <c r="C587">
        <v>0.40500000000000003</v>
      </c>
      <c r="D587">
        <v>0.3</v>
      </c>
      <c r="E587">
        <v>0.105</v>
      </c>
      <c r="F587">
        <v>0.30399999999999999</v>
      </c>
      <c r="G587">
        <v>0.14549999999999999</v>
      </c>
      <c r="H587">
        <v>6.0999999999999999E-2</v>
      </c>
      <c r="I587">
        <v>8.0500000000000002E-2</v>
      </c>
      <c r="J587">
        <v>6</v>
      </c>
      <c r="K587">
        <v>1</v>
      </c>
      <c r="L587" t="s">
        <v>70</v>
      </c>
      <c r="M587" t="s">
        <v>71</v>
      </c>
      <c r="N587" t="s">
        <v>45</v>
      </c>
      <c r="O587">
        <v>6</v>
      </c>
      <c r="P587" t="s">
        <v>7</v>
      </c>
      <c r="Q587">
        <v>14.1</v>
      </c>
      <c r="R587" s="1" t="str">
        <f t="shared" ref="R587:R650" si="10">IF(OR(AND(J587 &gt; 15, B587 = "Infant"), AND(D587 = "Male", C587 &gt; 0.75),
    OR(I587 &gt; 0.8, G587 &gt; 0.5), G587 &gt; 1.2),
    "I",
    IF(OR(AND(I587 &lt; 0.4, G587 &lt; 0.4), AND(J587 &gt; 15, D587 = "Male"), AND(J587 &gt; 18, D587 = "Female"), C587 &lt; 0.36),
    "II",
    "III"))</f>
        <v>II</v>
      </c>
    </row>
    <row r="588" spans="1:18">
      <c r="A588">
        <v>826</v>
      </c>
      <c r="B588" t="s">
        <v>76</v>
      </c>
      <c r="C588">
        <v>0.39500000000000002</v>
      </c>
      <c r="D588">
        <v>0.28999999999999998</v>
      </c>
      <c r="E588">
        <v>9.5000000000000001E-2</v>
      </c>
      <c r="F588">
        <v>0.31900000000000001</v>
      </c>
      <c r="G588">
        <v>0.13800000000000001</v>
      </c>
      <c r="H588">
        <v>0.08</v>
      </c>
      <c r="I588">
        <v>8.2000000000000003E-2</v>
      </c>
      <c r="J588">
        <v>7</v>
      </c>
      <c r="K588">
        <v>13</v>
      </c>
      <c r="L588" t="s">
        <v>43</v>
      </c>
      <c r="M588" t="s">
        <v>44</v>
      </c>
      <c r="N588" t="s">
        <v>45</v>
      </c>
      <c r="O588">
        <v>3</v>
      </c>
      <c r="P588" t="s">
        <v>10</v>
      </c>
      <c r="Q588">
        <v>3.6</v>
      </c>
      <c r="R588" s="1" t="str">
        <f t="shared" si="10"/>
        <v>II</v>
      </c>
    </row>
    <row r="589" spans="1:18">
      <c r="A589">
        <v>11</v>
      </c>
      <c r="B589" t="s">
        <v>76</v>
      </c>
      <c r="C589">
        <v>0.52500000000000002</v>
      </c>
      <c r="D589">
        <v>0.38</v>
      </c>
      <c r="E589">
        <v>0.14000000000000001</v>
      </c>
      <c r="F589">
        <v>0.60650000000000004</v>
      </c>
      <c r="G589">
        <v>0.19400000000000001</v>
      </c>
      <c r="H589">
        <v>0.14749999999999999</v>
      </c>
      <c r="I589">
        <v>0.21</v>
      </c>
      <c r="J589">
        <v>14</v>
      </c>
      <c r="K589">
        <v>5</v>
      </c>
      <c r="L589" t="s">
        <v>67</v>
      </c>
      <c r="M589" t="s">
        <v>68</v>
      </c>
      <c r="N589" t="s">
        <v>69</v>
      </c>
      <c r="O589">
        <v>9</v>
      </c>
      <c r="P589" t="s">
        <v>9</v>
      </c>
      <c r="Q589">
        <v>1.9</v>
      </c>
      <c r="R589" s="1" t="str">
        <f t="shared" si="10"/>
        <v>II</v>
      </c>
    </row>
    <row r="590" spans="1:18">
      <c r="A590">
        <v>3525</v>
      </c>
      <c r="B590" t="s">
        <v>76</v>
      </c>
      <c r="C590">
        <v>0.32</v>
      </c>
      <c r="D590">
        <v>0.24</v>
      </c>
      <c r="E590">
        <v>8.5000000000000006E-2</v>
      </c>
      <c r="F590">
        <v>0.13100000000000001</v>
      </c>
      <c r="G590">
        <v>6.1499999999999999E-2</v>
      </c>
      <c r="H590">
        <v>2.6499999999999999E-2</v>
      </c>
      <c r="I590">
        <v>3.7999999999999999E-2</v>
      </c>
      <c r="J590">
        <v>6</v>
      </c>
      <c r="K590">
        <v>10</v>
      </c>
      <c r="L590" t="s">
        <v>37</v>
      </c>
      <c r="M590" t="s">
        <v>38</v>
      </c>
      <c r="N590" t="s">
        <v>39</v>
      </c>
      <c r="O590">
        <v>8</v>
      </c>
      <c r="P590" t="s">
        <v>13</v>
      </c>
      <c r="Q590">
        <v>12.3</v>
      </c>
      <c r="R590" s="1" t="str">
        <f t="shared" si="10"/>
        <v>II</v>
      </c>
    </row>
    <row r="591" spans="1:18">
      <c r="A591">
        <v>690</v>
      </c>
      <c r="B591" t="s">
        <v>76</v>
      </c>
      <c r="C591">
        <v>0.59</v>
      </c>
      <c r="D591">
        <v>0.44</v>
      </c>
      <c r="E591">
        <v>0.15</v>
      </c>
      <c r="F591">
        <v>0.95550000000000002</v>
      </c>
      <c r="G591">
        <v>0.36599999999999999</v>
      </c>
      <c r="H591">
        <v>0.24249999999999999</v>
      </c>
      <c r="I591">
        <v>0.29499999999999998</v>
      </c>
      <c r="J591">
        <v>11</v>
      </c>
      <c r="K591">
        <v>1</v>
      </c>
      <c r="L591" t="s">
        <v>70</v>
      </c>
      <c r="M591" t="s">
        <v>71</v>
      </c>
      <c r="N591" t="s">
        <v>45</v>
      </c>
      <c r="O591">
        <v>6</v>
      </c>
      <c r="P591" t="s">
        <v>7</v>
      </c>
      <c r="Q591">
        <v>14.1</v>
      </c>
      <c r="R591" s="1" t="str">
        <f t="shared" si="10"/>
        <v>II</v>
      </c>
    </row>
    <row r="592" spans="1:18">
      <c r="A592">
        <v>3601</v>
      </c>
      <c r="B592" t="s">
        <v>76</v>
      </c>
      <c r="C592">
        <v>0.17499999999999999</v>
      </c>
      <c r="D592">
        <v>0.125</v>
      </c>
      <c r="E592">
        <v>0.04</v>
      </c>
      <c r="F592">
        <v>2.8000000000000001E-2</v>
      </c>
      <c r="G592">
        <v>9.4999999999999998E-3</v>
      </c>
      <c r="H592">
        <v>8.0000000000000002E-3</v>
      </c>
      <c r="I592">
        <v>8.9999999999999993E-3</v>
      </c>
      <c r="J592">
        <v>4</v>
      </c>
      <c r="K592">
        <v>7</v>
      </c>
      <c r="L592" t="s">
        <v>62</v>
      </c>
      <c r="M592" t="s">
        <v>63</v>
      </c>
      <c r="N592" t="s">
        <v>64</v>
      </c>
      <c r="O592">
        <v>2</v>
      </c>
      <c r="P592" t="s">
        <v>5</v>
      </c>
      <c r="Q592">
        <v>18</v>
      </c>
      <c r="R592" s="1" t="str">
        <f t="shared" si="10"/>
        <v>II</v>
      </c>
    </row>
    <row r="593" spans="1:18">
      <c r="A593">
        <v>1279</v>
      </c>
      <c r="B593" t="s">
        <v>76</v>
      </c>
      <c r="C593">
        <v>0.495</v>
      </c>
      <c r="D593">
        <v>0.35499999999999998</v>
      </c>
      <c r="E593">
        <v>0.12</v>
      </c>
      <c r="F593">
        <v>0.4965</v>
      </c>
      <c r="G593">
        <v>0.214</v>
      </c>
      <c r="H593">
        <v>0.1045</v>
      </c>
      <c r="I593">
        <v>0.14949999999999999</v>
      </c>
      <c r="J593">
        <v>8</v>
      </c>
      <c r="K593">
        <v>8</v>
      </c>
      <c r="L593" t="s">
        <v>55</v>
      </c>
      <c r="M593" t="s">
        <v>56</v>
      </c>
      <c r="N593" t="s">
        <v>57</v>
      </c>
      <c r="O593">
        <v>3</v>
      </c>
      <c r="P593" t="s">
        <v>10</v>
      </c>
      <c r="Q593">
        <v>3.6</v>
      </c>
      <c r="R593" s="1" t="str">
        <f t="shared" si="10"/>
        <v>II</v>
      </c>
    </row>
    <row r="594" spans="1:18">
      <c r="A594">
        <v>2933</v>
      </c>
      <c r="B594" t="s">
        <v>76</v>
      </c>
      <c r="C594">
        <v>0.61499999999999999</v>
      </c>
      <c r="D594">
        <v>0.45500000000000002</v>
      </c>
      <c r="E594">
        <v>0.15</v>
      </c>
      <c r="F594">
        <v>0.9335</v>
      </c>
      <c r="G594">
        <v>0.38200000000000001</v>
      </c>
      <c r="H594">
        <v>0.247</v>
      </c>
      <c r="I594">
        <v>0.26150000000000001</v>
      </c>
      <c r="J594">
        <v>10</v>
      </c>
      <c r="K594">
        <v>8</v>
      </c>
      <c r="L594" t="s">
        <v>55</v>
      </c>
      <c r="M594" t="s">
        <v>56</v>
      </c>
      <c r="N594" t="s">
        <v>57</v>
      </c>
      <c r="O594">
        <v>10</v>
      </c>
      <c r="P594" t="s">
        <v>11</v>
      </c>
      <c r="Q594">
        <v>24.1</v>
      </c>
      <c r="R594" s="1" t="str">
        <f t="shared" si="10"/>
        <v>II</v>
      </c>
    </row>
    <row r="595" spans="1:18">
      <c r="A595">
        <v>929</v>
      </c>
      <c r="B595" t="s">
        <v>76</v>
      </c>
      <c r="C595">
        <v>0.435</v>
      </c>
      <c r="D595">
        <v>0.34</v>
      </c>
      <c r="E595">
        <v>0.115</v>
      </c>
      <c r="F595">
        <v>0.39250000000000002</v>
      </c>
      <c r="G595">
        <v>0.1825</v>
      </c>
      <c r="H595">
        <v>7.8E-2</v>
      </c>
      <c r="I595">
        <v>0.1145</v>
      </c>
      <c r="J595">
        <v>6</v>
      </c>
      <c r="K595">
        <v>9</v>
      </c>
      <c r="L595" t="s">
        <v>34</v>
      </c>
      <c r="M595" t="s">
        <v>35</v>
      </c>
      <c r="N595" t="s">
        <v>36</v>
      </c>
      <c r="O595">
        <v>6</v>
      </c>
      <c r="P595" t="s">
        <v>7</v>
      </c>
      <c r="Q595">
        <v>14.1</v>
      </c>
      <c r="R595" s="1" t="str">
        <f t="shared" si="10"/>
        <v>II</v>
      </c>
    </row>
    <row r="596" spans="1:18">
      <c r="A596">
        <v>3199</v>
      </c>
      <c r="B596" t="s">
        <v>76</v>
      </c>
      <c r="C596">
        <v>0.45</v>
      </c>
      <c r="D596">
        <v>0.33500000000000002</v>
      </c>
      <c r="E596">
        <v>0.14000000000000001</v>
      </c>
      <c r="F596">
        <v>0.47799999999999998</v>
      </c>
      <c r="G596">
        <v>0.1865</v>
      </c>
      <c r="H596">
        <v>0.115</v>
      </c>
      <c r="I596">
        <v>0.16</v>
      </c>
      <c r="J596">
        <v>11</v>
      </c>
      <c r="K596">
        <v>13</v>
      </c>
      <c r="L596" t="s">
        <v>43</v>
      </c>
      <c r="M596" t="s">
        <v>44</v>
      </c>
      <c r="N596" t="s">
        <v>45</v>
      </c>
      <c r="O596">
        <v>9</v>
      </c>
      <c r="P596" t="s">
        <v>9</v>
      </c>
      <c r="Q596">
        <v>1.9</v>
      </c>
      <c r="R596" s="1" t="str">
        <f t="shared" si="10"/>
        <v>II</v>
      </c>
    </row>
    <row r="597" spans="1:18">
      <c r="A597">
        <v>3978</v>
      </c>
      <c r="B597" t="s">
        <v>76</v>
      </c>
      <c r="C597">
        <v>0.47499999999999998</v>
      </c>
      <c r="D597">
        <v>0.35</v>
      </c>
      <c r="E597">
        <v>0.12</v>
      </c>
      <c r="F597">
        <v>0.49049999999999999</v>
      </c>
      <c r="G597">
        <v>0.20349999999999999</v>
      </c>
      <c r="H597">
        <v>0.13</v>
      </c>
      <c r="I597">
        <v>0.13500000000000001</v>
      </c>
      <c r="J597">
        <v>7</v>
      </c>
      <c r="K597">
        <v>15</v>
      </c>
      <c r="L597" t="s">
        <v>60</v>
      </c>
      <c r="M597" t="s">
        <v>61</v>
      </c>
      <c r="N597" t="s">
        <v>45</v>
      </c>
      <c r="O597">
        <v>2</v>
      </c>
      <c r="P597" t="s">
        <v>5</v>
      </c>
      <c r="Q597">
        <v>18</v>
      </c>
      <c r="R597" s="1" t="str">
        <f t="shared" si="10"/>
        <v>II</v>
      </c>
    </row>
    <row r="598" spans="1:18">
      <c r="A598">
        <v>1261</v>
      </c>
      <c r="B598" t="s">
        <v>76</v>
      </c>
      <c r="C598">
        <v>0.44</v>
      </c>
      <c r="D598">
        <v>0.34</v>
      </c>
      <c r="E598">
        <v>0.12</v>
      </c>
      <c r="F598">
        <v>0.438</v>
      </c>
      <c r="G598">
        <v>0.21149999999999999</v>
      </c>
      <c r="H598">
        <v>8.3000000000000004E-2</v>
      </c>
      <c r="I598">
        <v>0.12</v>
      </c>
      <c r="J598">
        <v>9</v>
      </c>
      <c r="K598">
        <v>1</v>
      </c>
      <c r="L598" t="s">
        <v>70</v>
      </c>
      <c r="M598" t="s">
        <v>71</v>
      </c>
      <c r="N598" t="s">
        <v>45</v>
      </c>
      <c r="O598">
        <v>6</v>
      </c>
      <c r="P598" t="s">
        <v>7</v>
      </c>
      <c r="Q598">
        <v>14.1</v>
      </c>
      <c r="R598" s="1" t="str">
        <f t="shared" si="10"/>
        <v>II</v>
      </c>
    </row>
    <row r="599" spans="1:18">
      <c r="A599">
        <v>674</v>
      </c>
      <c r="B599" t="s">
        <v>76</v>
      </c>
      <c r="C599">
        <v>0.49</v>
      </c>
      <c r="D599">
        <v>0.39</v>
      </c>
      <c r="E599">
        <v>0.15</v>
      </c>
      <c r="F599">
        <v>0.57299999999999995</v>
      </c>
      <c r="G599">
        <v>0.22500000000000001</v>
      </c>
      <c r="H599">
        <v>0.124</v>
      </c>
      <c r="I599">
        <v>0.17</v>
      </c>
      <c r="J599">
        <v>21</v>
      </c>
      <c r="K599">
        <v>10</v>
      </c>
      <c r="L599" t="s">
        <v>37</v>
      </c>
      <c r="M599" t="s">
        <v>38</v>
      </c>
      <c r="N599" t="s">
        <v>39</v>
      </c>
      <c r="O599">
        <v>7</v>
      </c>
      <c r="P599" t="s">
        <v>6</v>
      </c>
      <c r="Q599">
        <v>2.5</v>
      </c>
      <c r="R599" s="1" t="str">
        <f t="shared" si="10"/>
        <v>II</v>
      </c>
    </row>
    <row r="600" spans="1:18">
      <c r="A600">
        <v>968</v>
      </c>
      <c r="B600" t="s">
        <v>76</v>
      </c>
      <c r="C600">
        <v>0.51</v>
      </c>
      <c r="D600">
        <v>0.40500000000000003</v>
      </c>
      <c r="E600">
        <v>0.13500000000000001</v>
      </c>
      <c r="F600">
        <v>0.76900000000000002</v>
      </c>
      <c r="G600">
        <v>0.36549999999999999</v>
      </c>
      <c r="H600">
        <v>0.1585</v>
      </c>
      <c r="I600">
        <v>0.18</v>
      </c>
      <c r="J600">
        <v>7</v>
      </c>
      <c r="K600">
        <v>15</v>
      </c>
      <c r="L600" t="s">
        <v>60</v>
      </c>
      <c r="M600" t="s">
        <v>61</v>
      </c>
      <c r="N600" t="s">
        <v>45</v>
      </c>
      <c r="O600">
        <v>7</v>
      </c>
      <c r="P600" t="s">
        <v>6</v>
      </c>
      <c r="Q600">
        <v>2.5</v>
      </c>
      <c r="R600" s="1" t="str">
        <f t="shared" si="10"/>
        <v>II</v>
      </c>
    </row>
    <row r="601" spans="1:18">
      <c r="A601">
        <v>533</v>
      </c>
      <c r="B601" t="s">
        <v>76</v>
      </c>
      <c r="C601">
        <v>0.47</v>
      </c>
      <c r="D601">
        <v>0.37</v>
      </c>
      <c r="E601">
        <v>0.12</v>
      </c>
      <c r="F601">
        <v>0.47049999999999997</v>
      </c>
      <c r="G601">
        <v>0.1845</v>
      </c>
      <c r="H601">
        <v>0.1055</v>
      </c>
      <c r="I601">
        <v>0.155</v>
      </c>
      <c r="J601">
        <v>12</v>
      </c>
      <c r="K601">
        <v>12</v>
      </c>
      <c r="L601" t="s">
        <v>58</v>
      </c>
      <c r="M601" t="s">
        <v>59</v>
      </c>
      <c r="N601" t="s">
        <v>45</v>
      </c>
      <c r="O601">
        <v>3</v>
      </c>
      <c r="P601" t="s">
        <v>10</v>
      </c>
      <c r="Q601">
        <v>3.6</v>
      </c>
      <c r="R601" s="1" t="str">
        <f t="shared" si="10"/>
        <v>II</v>
      </c>
    </row>
    <row r="602" spans="1:18">
      <c r="A602">
        <v>898</v>
      </c>
      <c r="B602" t="s">
        <v>76</v>
      </c>
      <c r="C602">
        <v>0.26500000000000001</v>
      </c>
      <c r="D602">
        <v>0.19500000000000001</v>
      </c>
      <c r="E602">
        <v>0.06</v>
      </c>
      <c r="F602">
        <v>9.1999999999999998E-2</v>
      </c>
      <c r="G602">
        <v>3.4500000000000003E-2</v>
      </c>
      <c r="H602">
        <v>2.5000000000000001E-2</v>
      </c>
      <c r="I602">
        <v>2.4500000000000001E-2</v>
      </c>
      <c r="J602">
        <v>6</v>
      </c>
      <c r="K602">
        <v>6</v>
      </c>
      <c r="L602" t="s">
        <v>46</v>
      </c>
      <c r="M602" t="s">
        <v>47</v>
      </c>
      <c r="N602" t="s">
        <v>48</v>
      </c>
      <c r="O602">
        <v>10</v>
      </c>
      <c r="P602" t="s">
        <v>11</v>
      </c>
      <c r="Q602">
        <v>24.1</v>
      </c>
      <c r="R602" s="1" t="str">
        <f t="shared" si="10"/>
        <v>II</v>
      </c>
    </row>
    <row r="603" spans="1:18">
      <c r="A603">
        <v>1884</v>
      </c>
      <c r="B603" t="s">
        <v>76</v>
      </c>
      <c r="C603">
        <v>0.55500000000000005</v>
      </c>
      <c r="D603">
        <v>0.41</v>
      </c>
      <c r="E603">
        <v>0.125</v>
      </c>
      <c r="F603">
        <v>0.59899999999999998</v>
      </c>
      <c r="G603">
        <v>0.23449999999999999</v>
      </c>
      <c r="H603">
        <v>0.14649999999999999</v>
      </c>
      <c r="I603">
        <v>0.19400000000000001</v>
      </c>
      <c r="J603">
        <v>8</v>
      </c>
      <c r="K603">
        <v>12</v>
      </c>
      <c r="L603" t="s">
        <v>58</v>
      </c>
      <c r="M603" t="s">
        <v>59</v>
      </c>
      <c r="N603" t="s">
        <v>45</v>
      </c>
      <c r="O603">
        <v>5</v>
      </c>
      <c r="P603" t="s">
        <v>12</v>
      </c>
      <c r="Q603">
        <v>12.8</v>
      </c>
      <c r="R603" s="1" t="str">
        <f t="shared" si="10"/>
        <v>II</v>
      </c>
    </row>
    <row r="604" spans="1:18">
      <c r="A604">
        <v>687</v>
      </c>
      <c r="B604" t="s">
        <v>76</v>
      </c>
      <c r="C604">
        <v>0.53500000000000003</v>
      </c>
      <c r="D604">
        <v>0.4</v>
      </c>
      <c r="E604">
        <v>0.15</v>
      </c>
      <c r="F604">
        <v>0.80449999999999999</v>
      </c>
      <c r="G604">
        <v>0.33450000000000002</v>
      </c>
      <c r="H604">
        <v>0.21249999999999999</v>
      </c>
      <c r="I604">
        <v>0.21</v>
      </c>
      <c r="J604">
        <v>13</v>
      </c>
      <c r="K604">
        <v>13</v>
      </c>
      <c r="L604" t="s">
        <v>43</v>
      </c>
      <c r="M604" t="s">
        <v>44</v>
      </c>
      <c r="N604" t="s">
        <v>45</v>
      </c>
      <c r="O604">
        <v>7</v>
      </c>
      <c r="P604" t="s">
        <v>6</v>
      </c>
      <c r="Q604">
        <v>2.5</v>
      </c>
      <c r="R604" s="1" t="str">
        <f t="shared" si="10"/>
        <v>II</v>
      </c>
    </row>
    <row r="605" spans="1:18">
      <c r="A605">
        <v>83</v>
      </c>
      <c r="B605" t="s">
        <v>76</v>
      </c>
      <c r="C605">
        <v>0.52</v>
      </c>
      <c r="D605">
        <v>0.42499999999999999</v>
      </c>
      <c r="E605">
        <v>0.16500000000000001</v>
      </c>
      <c r="F605">
        <v>0.98850000000000005</v>
      </c>
      <c r="G605">
        <v>0.39600000000000002</v>
      </c>
      <c r="H605">
        <v>0.22500000000000001</v>
      </c>
      <c r="I605">
        <v>0.32</v>
      </c>
      <c r="J605">
        <v>16</v>
      </c>
      <c r="K605">
        <v>6</v>
      </c>
      <c r="L605" t="s">
        <v>46</v>
      </c>
      <c r="M605" t="s">
        <v>47</v>
      </c>
      <c r="N605" t="s">
        <v>48</v>
      </c>
      <c r="O605">
        <v>2</v>
      </c>
      <c r="P605" t="s">
        <v>5</v>
      </c>
      <c r="Q605">
        <v>18</v>
      </c>
      <c r="R605" s="1" t="str">
        <f t="shared" si="10"/>
        <v>II</v>
      </c>
    </row>
    <row r="606" spans="1:18">
      <c r="A606">
        <v>648</v>
      </c>
      <c r="B606" t="s">
        <v>76</v>
      </c>
      <c r="C606">
        <v>0.48</v>
      </c>
      <c r="D606">
        <v>0.375</v>
      </c>
      <c r="E606">
        <v>0.14499999999999999</v>
      </c>
      <c r="F606">
        <v>0.77700000000000002</v>
      </c>
      <c r="G606">
        <v>0.216</v>
      </c>
      <c r="H606">
        <v>0.13</v>
      </c>
      <c r="I606">
        <v>0.17</v>
      </c>
      <c r="J606">
        <v>9</v>
      </c>
      <c r="K606">
        <v>13</v>
      </c>
      <c r="L606" t="s">
        <v>43</v>
      </c>
      <c r="M606" t="s">
        <v>44</v>
      </c>
      <c r="N606" t="s">
        <v>45</v>
      </c>
      <c r="O606">
        <v>1</v>
      </c>
      <c r="P606" t="s">
        <v>4</v>
      </c>
      <c r="Q606">
        <v>22.1</v>
      </c>
      <c r="R606" s="1" t="str">
        <f t="shared" si="10"/>
        <v>II</v>
      </c>
    </row>
    <row r="607" spans="1:18">
      <c r="A607">
        <v>2287</v>
      </c>
      <c r="B607" t="s">
        <v>76</v>
      </c>
      <c r="C607">
        <v>0.5</v>
      </c>
      <c r="D607">
        <v>0.39500000000000002</v>
      </c>
      <c r="E607">
        <v>0.15</v>
      </c>
      <c r="F607">
        <v>0.71450000000000002</v>
      </c>
      <c r="G607">
        <v>0.32350000000000001</v>
      </c>
      <c r="H607">
        <v>0.17299999999999999</v>
      </c>
      <c r="I607">
        <v>0.19500000000000001</v>
      </c>
      <c r="J607">
        <v>9</v>
      </c>
      <c r="K607">
        <v>9</v>
      </c>
      <c r="L607" t="s">
        <v>34</v>
      </c>
      <c r="M607" t="s">
        <v>35</v>
      </c>
      <c r="N607" t="s">
        <v>36</v>
      </c>
      <c r="O607">
        <v>4</v>
      </c>
      <c r="P607" t="s">
        <v>8</v>
      </c>
      <c r="Q607">
        <v>6.1</v>
      </c>
      <c r="R607" s="1" t="str">
        <f t="shared" si="10"/>
        <v>II</v>
      </c>
    </row>
    <row r="608" spans="1:18">
      <c r="A608">
        <v>2489</v>
      </c>
      <c r="B608" t="s">
        <v>76</v>
      </c>
      <c r="C608">
        <v>0.5</v>
      </c>
      <c r="D608">
        <v>0.38500000000000001</v>
      </c>
      <c r="E608">
        <v>0.14499999999999999</v>
      </c>
      <c r="F608">
        <v>0.76149999999999995</v>
      </c>
      <c r="G608">
        <v>0.246</v>
      </c>
      <c r="H608">
        <v>0.19500000000000001</v>
      </c>
      <c r="I608">
        <v>0.20399999999999999</v>
      </c>
      <c r="J608">
        <v>14</v>
      </c>
      <c r="K608">
        <v>11</v>
      </c>
      <c r="L608" t="s">
        <v>65</v>
      </c>
      <c r="M608" t="s">
        <v>66</v>
      </c>
      <c r="N608" t="s">
        <v>45</v>
      </c>
      <c r="O608">
        <v>10</v>
      </c>
      <c r="P608" t="s">
        <v>11</v>
      </c>
      <c r="Q608">
        <v>24.1</v>
      </c>
      <c r="R608" s="1" t="str">
        <f t="shared" si="10"/>
        <v>II</v>
      </c>
    </row>
    <row r="609" spans="1:18">
      <c r="A609">
        <v>3445</v>
      </c>
      <c r="B609" t="s">
        <v>76</v>
      </c>
      <c r="C609">
        <v>0.49</v>
      </c>
      <c r="D609">
        <v>0.4</v>
      </c>
      <c r="E609">
        <v>0.115</v>
      </c>
      <c r="F609">
        <v>0.56899999999999995</v>
      </c>
      <c r="G609">
        <v>0.25600000000000001</v>
      </c>
      <c r="H609">
        <v>0.13250000000000001</v>
      </c>
      <c r="I609">
        <v>0.14499999999999999</v>
      </c>
      <c r="J609">
        <v>9</v>
      </c>
      <c r="K609">
        <v>10</v>
      </c>
      <c r="L609" t="s">
        <v>37</v>
      </c>
      <c r="M609" t="s">
        <v>38</v>
      </c>
      <c r="N609" t="s">
        <v>39</v>
      </c>
      <c r="O609">
        <v>9</v>
      </c>
      <c r="P609" t="s">
        <v>9</v>
      </c>
      <c r="Q609">
        <v>1.9</v>
      </c>
      <c r="R609" s="1" t="str">
        <f t="shared" si="10"/>
        <v>II</v>
      </c>
    </row>
    <row r="610" spans="1:18">
      <c r="A610">
        <v>923</v>
      </c>
      <c r="B610" t="s">
        <v>76</v>
      </c>
      <c r="C610">
        <v>0.42</v>
      </c>
      <c r="D610">
        <v>0.315</v>
      </c>
      <c r="E610">
        <v>0.1</v>
      </c>
      <c r="F610">
        <v>0.34350000000000003</v>
      </c>
      <c r="G610">
        <v>0.157</v>
      </c>
      <c r="H610">
        <v>7.9500000000000001E-2</v>
      </c>
      <c r="I610">
        <v>0.09</v>
      </c>
      <c r="J610">
        <v>6</v>
      </c>
      <c r="K610">
        <v>3</v>
      </c>
      <c r="L610" t="s">
        <v>52</v>
      </c>
      <c r="M610" t="s">
        <v>53</v>
      </c>
      <c r="N610" t="s">
        <v>54</v>
      </c>
      <c r="O610">
        <v>8</v>
      </c>
      <c r="P610" t="s">
        <v>13</v>
      </c>
      <c r="Q610">
        <v>12.3</v>
      </c>
      <c r="R610" s="1" t="str">
        <f t="shared" si="10"/>
        <v>II</v>
      </c>
    </row>
    <row r="611" spans="1:18">
      <c r="A611">
        <v>3213</v>
      </c>
      <c r="B611" t="s">
        <v>76</v>
      </c>
      <c r="C611">
        <v>0.58499999999999996</v>
      </c>
      <c r="D611">
        <v>0.46</v>
      </c>
      <c r="E611">
        <v>0.17</v>
      </c>
      <c r="F611">
        <v>1.0834999999999999</v>
      </c>
      <c r="G611">
        <v>0.3745</v>
      </c>
      <c r="H611">
        <v>0.32600000000000001</v>
      </c>
      <c r="I611">
        <v>0.32500000000000001</v>
      </c>
      <c r="J611">
        <v>14</v>
      </c>
      <c r="K611">
        <v>3</v>
      </c>
      <c r="L611" t="s">
        <v>52</v>
      </c>
      <c r="M611" t="s">
        <v>53</v>
      </c>
      <c r="N611" t="s">
        <v>54</v>
      </c>
      <c r="O611">
        <v>1</v>
      </c>
      <c r="P611" t="s">
        <v>4</v>
      </c>
      <c r="Q611">
        <v>22.1</v>
      </c>
      <c r="R611" s="1" t="str">
        <f t="shared" si="10"/>
        <v>II</v>
      </c>
    </row>
    <row r="612" spans="1:18">
      <c r="A612">
        <v>2062</v>
      </c>
      <c r="B612" t="s">
        <v>76</v>
      </c>
      <c r="C612">
        <v>0.5</v>
      </c>
      <c r="D612">
        <v>0.38</v>
      </c>
      <c r="E612">
        <v>0.14000000000000001</v>
      </c>
      <c r="F612">
        <v>0.63549999999999995</v>
      </c>
      <c r="G612">
        <v>0.27700000000000002</v>
      </c>
      <c r="H612">
        <v>0.14299999999999999</v>
      </c>
      <c r="I612">
        <v>0.17849999999999999</v>
      </c>
      <c r="J612">
        <v>8</v>
      </c>
      <c r="K612">
        <v>13</v>
      </c>
      <c r="L612" t="s">
        <v>43</v>
      </c>
      <c r="M612" t="s">
        <v>44</v>
      </c>
      <c r="N612" t="s">
        <v>45</v>
      </c>
      <c r="O612">
        <v>1</v>
      </c>
      <c r="P612" t="s">
        <v>4</v>
      </c>
      <c r="Q612">
        <v>22.1</v>
      </c>
      <c r="R612" s="1" t="str">
        <f t="shared" si="10"/>
        <v>II</v>
      </c>
    </row>
    <row r="613" spans="1:18">
      <c r="A613">
        <v>2194</v>
      </c>
      <c r="B613" t="s">
        <v>76</v>
      </c>
      <c r="C613">
        <v>0.215</v>
      </c>
      <c r="D613">
        <v>0.17</v>
      </c>
      <c r="E613">
        <v>5.5E-2</v>
      </c>
      <c r="F613">
        <v>6.0499999999999998E-2</v>
      </c>
      <c r="G613">
        <v>2.0500000000000001E-2</v>
      </c>
      <c r="H613">
        <v>1.4E-2</v>
      </c>
      <c r="I613">
        <v>0.02</v>
      </c>
      <c r="J613">
        <v>6</v>
      </c>
      <c r="K613">
        <v>3</v>
      </c>
      <c r="L613" t="s">
        <v>52</v>
      </c>
      <c r="M613" t="s">
        <v>53</v>
      </c>
      <c r="N613" t="s">
        <v>54</v>
      </c>
      <c r="O613">
        <v>9</v>
      </c>
      <c r="P613" t="s">
        <v>9</v>
      </c>
      <c r="Q613">
        <v>1.9</v>
      </c>
      <c r="R613" s="1" t="str">
        <f t="shared" si="10"/>
        <v>II</v>
      </c>
    </row>
    <row r="614" spans="1:18">
      <c r="A614">
        <v>1860</v>
      </c>
      <c r="B614" t="s">
        <v>76</v>
      </c>
      <c r="C614">
        <v>0.51500000000000001</v>
      </c>
      <c r="D614">
        <v>0.41499999999999998</v>
      </c>
      <c r="E614">
        <v>0.13500000000000001</v>
      </c>
      <c r="F614">
        <v>0.71250000000000002</v>
      </c>
      <c r="G614">
        <v>0.28499999999999998</v>
      </c>
      <c r="H614">
        <v>0.152</v>
      </c>
      <c r="I614">
        <v>0.245</v>
      </c>
      <c r="J614">
        <v>10</v>
      </c>
      <c r="K614">
        <v>11</v>
      </c>
      <c r="L614" t="s">
        <v>65</v>
      </c>
      <c r="M614" t="s">
        <v>66</v>
      </c>
      <c r="N614" t="s">
        <v>45</v>
      </c>
      <c r="O614">
        <v>5</v>
      </c>
      <c r="P614" t="s">
        <v>12</v>
      </c>
      <c r="Q614">
        <v>12.8</v>
      </c>
      <c r="R614" s="1" t="str">
        <f t="shared" si="10"/>
        <v>II</v>
      </c>
    </row>
    <row r="615" spans="1:18">
      <c r="A615">
        <v>938</v>
      </c>
      <c r="B615" t="s">
        <v>76</v>
      </c>
      <c r="C615">
        <v>0.45500000000000002</v>
      </c>
      <c r="D615">
        <v>0.35499999999999998</v>
      </c>
      <c r="E615">
        <v>0.125</v>
      </c>
      <c r="F615">
        <v>0.53249999999999997</v>
      </c>
      <c r="G615">
        <v>0.22500000000000001</v>
      </c>
      <c r="H615">
        <v>0.126</v>
      </c>
      <c r="I615">
        <v>0.14649999999999999</v>
      </c>
      <c r="J615">
        <v>7</v>
      </c>
      <c r="K615">
        <v>14</v>
      </c>
      <c r="L615" t="s">
        <v>72</v>
      </c>
      <c r="M615" t="s">
        <v>73</v>
      </c>
      <c r="N615" t="s">
        <v>74</v>
      </c>
      <c r="O615">
        <v>6</v>
      </c>
      <c r="P615" t="s">
        <v>7</v>
      </c>
      <c r="Q615">
        <v>14.1</v>
      </c>
      <c r="R615" s="1" t="str">
        <f t="shared" si="10"/>
        <v>II</v>
      </c>
    </row>
    <row r="616" spans="1:18">
      <c r="A616">
        <v>3172</v>
      </c>
      <c r="B616" t="s">
        <v>76</v>
      </c>
      <c r="C616">
        <v>0.52500000000000002</v>
      </c>
      <c r="D616">
        <v>0.40500000000000003</v>
      </c>
      <c r="E616">
        <v>0.16</v>
      </c>
      <c r="F616">
        <v>0.79200000000000004</v>
      </c>
      <c r="G616">
        <v>0.316</v>
      </c>
      <c r="H616">
        <v>0.14549999999999999</v>
      </c>
      <c r="I616">
        <v>0.28000000000000003</v>
      </c>
      <c r="J616">
        <v>13</v>
      </c>
      <c r="K616">
        <v>10</v>
      </c>
      <c r="L616" t="s">
        <v>37</v>
      </c>
      <c r="M616" t="s">
        <v>38</v>
      </c>
      <c r="N616" t="s">
        <v>39</v>
      </c>
      <c r="O616">
        <v>8</v>
      </c>
      <c r="P616" t="s">
        <v>13</v>
      </c>
      <c r="Q616">
        <v>12.3</v>
      </c>
      <c r="R616" s="1" t="str">
        <f t="shared" si="10"/>
        <v>II</v>
      </c>
    </row>
    <row r="617" spans="1:18">
      <c r="A617">
        <v>2300</v>
      </c>
      <c r="B617" t="s">
        <v>76</v>
      </c>
      <c r="C617">
        <v>0.495</v>
      </c>
      <c r="D617">
        <v>0.38500000000000001</v>
      </c>
      <c r="E617">
        <v>0.125</v>
      </c>
      <c r="F617">
        <v>0.58499999999999996</v>
      </c>
      <c r="G617">
        <v>0.27550000000000002</v>
      </c>
      <c r="H617">
        <v>0.1235</v>
      </c>
      <c r="I617">
        <v>0.16500000000000001</v>
      </c>
      <c r="J617">
        <v>8</v>
      </c>
      <c r="K617">
        <v>3</v>
      </c>
      <c r="L617" t="s">
        <v>52</v>
      </c>
      <c r="M617" t="s">
        <v>53</v>
      </c>
      <c r="N617" t="s">
        <v>54</v>
      </c>
      <c r="O617">
        <v>8</v>
      </c>
      <c r="P617" t="s">
        <v>13</v>
      </c>
      <c r="Q617">
        <v>12.3</v>
      </c>
      <c r="R617" s="1" t="str">
        <f t="shared" si="10"/>
        <v>II</v>
      </c>
    </row>
    <row r="618" spans="1:18">
      <c r="A618">
        <v>203</v>
      </c>
      <c r="B618" t="s">
        <v>76</v>
      </c>
      <c r="C618">
        <v>0.5</v>
      </c>
      <c r="D618">
        <v>0.4</v>
      </c>
      <c r="E618">
        <v>0.14499999999999999</v>
      </c>
      <c r="F618">
        <v>0.63</v>
      </c>
      <c r="G618">
        <v>0.23400000000000001</v>
      </c>
      <c r="H618">
        <v>0.14649999999999999</v>
      </c>
      <c r="I618">
        <v>0.23</v>
      </c>
      <c r="J618">
        <v>12</v>
      </c>
      <c r="K618">
        <v>12</v>
      </c>
      <c r="L618" t="s">
        <v>58</v>
      </c>
      <c r="M618" t="s">
        <v>59</v>
      </c>
      <c r="N618" t="s">
        <v>45</v>
      </c>
      <c r="O618">
        <v>2</v>
      </c>
      <c r="P618" t="s">
        <v>5</v>
      </c>
      <c r="Q618">
        <v>18</v>
      </c>
      <c r="R618" s="1" t="str">
        <f t="shared" si="10"/>
        <v>II</v>
      </c>
    </row>
    <row r="619" spans="1:18">
      <c r="A619">
        <v>2982</v>
      </c>
      <c r="B619" t="s">
        <v>76</v>
      </c>
      <c r="C619">
        <v>0.505</v>
      </c>
      <c r="D619">
        <v>0.38</v>
      </c>
      <c r="E619">
        <v>0.13</v>
      </c>
      <c r="F619">
        <v>0.69299999999999995</v>
      </c>
      <c r="G619">
        <v>0.39100000000000001</v>
      </c>
      <c r="H619">
        <v>0.1195</v>
      </c>
      <c r="I619">
        <v>0.1515</v>
      </c>
      <c r="J619">
        <v>8</v>
      </c>
      <c r="K619">
        <v>13</v>
      </c>
      <c r="L619" t="s">
        <v>43</v>
      </c>
      <c r="M619" t="s">
        <v>44</v>
      </c>
      <c r="N619" t="s">
        <v>45</v>
      </c>
      <c r="O619">
        <v>2</v>
      </c>
      <c r="P619" t="s">
        <v>5</v>
      </c>
      <c r="Q619">
        <v>18</v>
      </c>
      <c r="R619" s="1" t="str">
        <f t="shared" si="10"/>
        <v>II</v>
      </c>
    </row>
    <row r="620" spans="1:18">
      <c r="A620">
        <v>4034</v>
      </c>
      <c r="B620" t="s">
        <v>76</v>
      </c>
      <c r="C620">
        <v>0.495</v>
      </c>
      <c r="D620">
        <v>0.38500000000000001</v>
      </c>
      <c r="E620">
        <v>0.125</v>
      </c>
      <c r="F620">
        <v>0.51249999999999996</v>
      </c>
      <c r="G620">
        <v>0.20749999999999999</v>
      </c>
      <c r="H620">
        <v>0.11550000000000001</v>
      </c>
      <c r="I620">
        <v>0.17199999999999999</v>
      </c>
      <c r="J620">
        <v>10</v>
      </c>
      <c r="K620">
        <v>7</v>
      </c>
      <c r="L620" t="s">
        <v>62</v>
      </c>
      <c r="M620" t="s">
        <v>63</v>
      </c>
      <c r="N620" t="s">
        <v>64</v>
      </c>
      <c r="O620">
        <v>2</v>
      </c>
      <c r="P620" t="s">
        <v>5</v>
      </c>
      <c r="Q620">
        <v>18</v>
      </c>
      <c r="R620" s="1" t="str">
        <f t="shared" si="10"/>
        <v>II</v>
      </c>
    </row>
    <row r="621" spans="1:18">
      <c r="A621">
        <v>384</v>
      </c>
      <c r="B621" t="s">
        <v>76</v>
      </c>
      <c r="C621">
        <v>0.47</v>
      </c>
      <c r="D621">
        <v>0.375</v>
      </c>
      <c r="E621">
        <v>0.12</v>
      </c>
      <c r="F621">
        <v>0.55649999999999999</v>
      </c>
      <c r="G621">
        <v>0.22600000000000001</v>
      </c>
      <c r="H621">
        <v>0.122</v>
      </c>
      <c r="I621">
        <v>0.19500000000000001</v>
      </c>
      <c r="J621">
        <v>12</v>
      </c>
      <c r="K621">
        <v>15</v>
      </c>
      <c r="L621" t="s">
        <v>60</v>
      </c>
      <c r="M621" t="s">
        <v>61</v>
      </c>
      <c r="N621" t="s">
        <v>45</v>
      </c>
      <c r="O621">
        <v>6</v>
      </c>
      <c r="P621" t="s">
        <v>7</v>
      </c>
      <c r="Q621">
        <v>14.1</v>
      </c>
      <c r="R621" s="1" t="str">
        <f t="shared" si="10"/>
        <v>II</v>
      </c>
    </row>
    <row r="622" spans="1:18">
      <c r="A622">
        <v>1845</v>
      </c>
      <c r="B622" t="s">
        <v>76</v>
      </c>
      <c r="C622">
        <v>0.435</v>
      </c>
      <c r="D622">
        <v>0.34499999999999997</v>
      </c>
      <c r="E622">
        <v>0.12</v>
      </c>
      <c r="F622">
        <v>0.32150000000000001</v>
      </c>
      <c r="G622">
        <v>0.13</v>
      </c>
      <c r="H622">
        <v>5.6000000000000001E-2</v>
      </c>
      <c r="I622">
        <v>0.11849999999999999</v>
      </c>
      <c r="J622">
        <v>7</v>
      </c>
      <c r="K622">
        <v>2</v>
      </c>
      <c r="L622" t="s">
        <v>49</v>
      </c>
      <c r="M622" t="s">
        <v>50</v>
      </c>
      <c r="N622" t="s">
        <v>51</v>
      </c>
      <c r="O622">
        <v>1</v>
      </c>
      <c r="P622" t="s">
        <v>4</v>
      </c>
      <c r="Q622">
        <v>22.1</v>
      </c>
      <c r="R622" s="1" t="str">
        <f t="shared" si="10"/>
        <v>II</v>
      </c>
    </row>
    <row r="623" spans="1:18">
      <c r="A623">
        <v>2760</v>
      </c>
      <c r="B623" t="s">
        <v>76</v>
      </c>
      <c r="C623">
        <v>0.54500000000000004</v>
      </c>
      <c r="D623">
        <v>0.44</v>
      </c>
      <c r="E623">
        <v>0.15</v>
      </c>
      <c r="F623">
        <v>0.94750000000000001</v>
      </c>
      <c r="G623">
        <v>0.36599999999999999</v>
      </c>
      <c r="H623">
        <v>0.23899999999999999</v>
      </c>
      <c r="I623">
        <v>0.27500000000000002</v>
      </c>
      <c r="J623">
        <v>8</v>
      </c>
      <c r="K623">
        <v>3</v>
      </c>
      <c r="L623" t="s">
        <v>52</v>
      </c>
      <c r="M623" t="s">
        <v>53</v>
      </c>
      <c r="N623" t="s">
        <v>54</v>
      </c>
      <c r="O623">
        <v>4</v>
      </c>
      <c r="P623" t="s">
        <v>8</v>
      </c>
      <c r="Q623">
        <v>6.1</v>
      </c>
      <c r="R623" s="1" t="str">
        <f t="shared" si="10"/>
        <v>II</v>
      </c>
    </row>
    <row r="624" spans="1:18">
      <c r="A624">
        <v>550</v>
      </c>
      <c r="B624" t="s">
        <v>76</v>
      </c>
      <c r="C624">
        <v>0.55500000000000005</v>
      </c>
      <c r="D624">
        <v>0.42499999999999999</v>
      </c>
      <c r="E624">
        <v>0.18</v>
      </c>
      <c r="F624">
        <v>0.875</v>
      </c>
      <c r="G624">
        <v>0.3695</v>
      </c>
      <c r="H624">
        <v>0.20050000000000001</v>
      </c>
      <c r="I624">
        <v>0.255</v>
      </c>
      <c r="J624">
        <v>11</v>
      </c>
      <c r="K624">
        <v>5</v>
      </c>
      <c r="L624" t="s">
        <v>67</v>
      </c>
      <c r="M624" t="s">
        <v>68</v>
      </c>
      <c r="N624" t="s">
        <v>69</v>
      </c>
      <c r="O624">
        <v>8</v>
      </c>
      <c r="P624" t="s">
        <v>13</v>
      </c>
      <c r="Q624">
        <v>12.3</v>
      </c>
      <c r="R624" s="1" t="str">
        <f t="shared" si="10"/>
        <v>II</v>
      </c>
    </row>
    <row r="625" spans="1:18">
      <c r="A625">
        <v>269</v>
      </c>
      <c r="B625" t="s">
        <v>76</v>
      </c>
      <c r="C625">
        <v>0.47</v>
      </c>
      <c r="D625">
        <v>0.39</v>
      </c>
      <c r="E625">
        <v>0.15</v>
      </c>
      <c r="F625">
        <v>0.63549999999999995</v>
      </c>
      <c r="G625">
        <v>0.2185</v>
      </c>
      <c r="H625">
        <v>8.8499999999999995E-2</v>
      </c>
      <c r="I625">
        <v>0.255</v>
      </c>
      <c r="J625">
        <v>9</v>
      </c>
      <c r="K625">
        <v>11</v>
      </c>
      <c r="L625" t="s">
        <v>65</v>
      </c>
      <c r="M625" t="s">
        <v>66</v>
      </c>
      <c r="N625" t="s">
        <v>45</v>
      </c>
      <c r="O625">
        <v>5</v>
      </c>
      <c r="P625" t="s">
        <v>12</v>
      </c>
      <c r="Q625">
        <v>12.8</v>
      </c>
      <c r="R625" s="1" t="str">
        <f t="shared" si="10"/>
        <v>II</v>
      </c>
    </row>
    <row r="626" spans="1:18">
      <c r="A626">
        <v>3906</v>
      </c>
      <c r="B626" t="s">
        <v>76</v>
      </c>
      <c r="C626">
        <v>0.38</v>
      </c>
      <c r="D626">
        <v>0.27</v>
      </c>
      <c r="E626">
        <v>9.5000000000000001E-2</v>
      </c>
      <c r="F626">
        <v>0.219</v>
      </c>
      <c r="G626">
        <v>8.3500000000000005E-2</v>
      </c>
      <c r="H626">
        <v>5.1499999999999997E-2</v>
      </c>
      <c r="I626">
        <v>7.0000000000000007E-2</v>
      </c>
      <c r="J626">
        <v>6</v>
      </c>
      <c r="K626">
        <v>8</v>
      </c>
      <c r="L626" t="s">
        <v>55</v>
      </c>
      <c r="M626" t="s">
        <v>56</v>
      </c>
      <c r="N626" t="s">
        <v>57</v>
      </c>
      <c r="O626">
        <v>4</v>
      </c>
      <c r="P626" t="s">
        <v>8</v>
      </c>
      <c r="Q626">
        <v>6.1</v>
      </c>
      <c r="R626" s="1" t="str">
        <f t="shared" si="10"/>
        <v>II</v>
      </c>
    </row>
    <row r="627" spans="1:18">
      <c r="A627">
        <v>429</v>
      </c>
      <c r="B627" t="s">
        <v>76</v>
      </c>
      <c r="C627">
        <v>0.56000000000000005</v>
      </c>
      <c r="D627">
        <v>0.45500000000000002</v>
      </c>
      <c r="E627">
        <v>0.125</v>
      </c>
      <c r="F627">
        <v>0.94299999999999995</v>
      </c>
      <c r="G627">
        <v>0.34399999999999997</v>
      </c>
      <c r="H627">
        <v>0.129</v>
      </c>
      <c r="I627">
        <v>0.375</v>
      </c>
      <c r="J627">
        <v>21</v>
      </c>
      <c r="K627">
        <v>12</v>
      </c>
      <c r="L627" t="s">
        <v>58</v>
      </c>
      <c r="M627" t="s">
        <v>59</v>
      </c>
      <c r="N627" t="s">
        <v>45</v>
      </c>
      <c r="O627">
        <v>9</v>
      </c>
      <c r="P627" t="s">
        <v>9</v>
      </c>
      <c r="Q627">
        <v>1.9</v>
      </c>
      <c r="R627" s="1" t="str">
        <f t="shared" si="10"/>
        <v>II</v>
      </c>
    </row>
    <row r="628" spans="1:18">
      <c r="A628">
        <v>3997</v>
      </c>
      <c r="B628" t="s">
        <v>76</v>
      </c>
      <c r="C628">
        <v>0.315</v>
      </c>
      <c r="D628">
        <v>0.23</v>
      </c>
      <c r="E628">
        <v>0</v>
      </c>
      <c r="F628">
        <v>0.13400000000000001</v>
      </c>
      <c r="G628">
        <v>5.7500000000000002E-2</v>
      </c>
      <c r="H628">
        <v>2.8500000000000001E-2</v>
      </c>
      <c r="I628">
        <v>0.35049999999999998</v>
      </c>
      <c r="J628">
        <v>6</v>
      </c>
      <c r="K628">
        <v>9</v>
      </c>
      <c r="L628" t="s">
        <v>34</v>
      </c>
      <c r="M628" t="s">
        <v>35</v>
      </c>
      <c r="N628" t="s">
        <v>36</v>
      </c>
      <c r="O628">
        <v>5</v>
      </c>
      <c r="P628" t="s">
        <v>12</v>
      </c>
      <c r="Q628">
        <v>12.8</v>
      </c>
      <c r="R628" s="1" t="str">
        <f t="shared" si="10"/>
        <v>II</v>
      </c>
    </row>
    <row r="629" spans="1:18">
      <c r="A629">
        <v>962</v>
      </c>
      <c r="B629" t="s">
        <v>76</v>
      </c>
      <c r="C629">
        <v>0.505</v>
      </c>
      <c r="D629">
        <v>0.39</v>
      </c>
      <c r="E629">
        <v>0.13</v>
      </c>
      <c r="F629">
        <v>0.67400000000000004</v>
      </c>
      <c r="G629">
        <v>0.3165</v>
      </c>
      <c r="H629">
        <v>0.14099999999999999</v>
      </c>
      <c r="I629">
        <v>0.17849999999999999</v>
      </c>
      <c r="J629">
        <v>9</v>
      </c>
      <c r="K629">
        <v>6</v>
      </c>
      <c r="L629" t="s">
        <v>46</v>
      </c>
      <c r="M629" t="s">
        <v>47</v>
      </c>
      <c r="N629" t="s">
        <v>48</v>
      </c>
      <c r="O629">
        <v>10</v>
      </c>
      <c r="P629" t="s">
        <v>11</v>
      </c>
      <c r="Q629">
        <v>24.1</v>
      </c>
      <c r="R629" s="1" t="str">
        <f t="shared" si="10"/>
        <v>II</v>
      </c>
    </row>
    <row r="630" spans="1:18">
      <c r="A630">
        <v>3803</v>
      </c>
      <c r="B630" t="s">
        <v>76</v>
      </c>
      <c r="C630">
        <v>0.30499999999999999</v>
      </c>
      <c r="D630">
        <v>0.23</v>
      </c>
      <c r="E630">
        <v>7.4999999999999997E-2</v>
      </c>
      <c r="F630">
        <v>0.14549999999999999</v>
      </c>
      <c r="G630">
        <v>5.9499999999999997E-2</v>
      </c>
      <c r="H630">
        <v>3.0499999999999999E-2</v>
      </c>
      <c r="I630">
        <v>0.05</v>
      </c>
      <c r="J630">
        <v>6</v>
      </c>
      <c r="K630">
        <v>5</v>
      </c>
      <c r="L630" t="s">
        <v>67</v>
      </c>
      <c r="M630" t="s">
        <v>68</v>
      </c>
      <c r="N630" t="s">
        <v>69</v>
      </c>
      <c r="O630">
        <v>1</v>
      </c>
      <c r="P630" t="s">
        <v>4</v>
      </c>
      <c r="Q630">
        <v>22.1</v>
      </c>
      <c r="R630" s="1" t="str">
        <f t="shared" si="10"/>
        <v>II</v>
      </c>
    </row>
    <row r="631" spans="1:18">
      <c r="A631">
        <v>300</v>
      </c>
      <c r="B631" t="s">
        <v>76</v>
      </c>
      <c r="C631">
        <v>0.37</v>
      </c>
      <c r="D631">
        <v>0.28000000000000003</v>
      </c>
      <c r="E631">
        <v>0.105</v>
      </c>
      <c r="F631">
        <v>0.23400000000000001</v>
      </c>
      <c r="G631">
        <v>9.0499999999999997E-2</v>
      </c>
      <c r="H631">
        <v>5.8500000000000003E-2</v>
      </c>
      <c r="I631">
        <v>7.4999999999999997E-2</v>
      </c>
      <c r="J631">
        <v>9</v>
      </c>
      <c r="K631">
        <v>9</v>
      </c>
      <c r="L631" t="s">
        <v>34</v>
      </c>
      <c r="M631" t="s">
        <v>35</v>
      </c>
      <c r="N631" t="s">
        <v>36</v>
      </c>
      <c r="O631">
        <v>9</v>
      </c>
      <c r="P631" t="s">
        <v>9</v>
      </c>
      <c r="Q631">
        <v>1.9</v>
      </c>
      <c r="R631" s="1" t="str">
        <f t="shared" si="10"/>
        <v>II</v>
      </c>
    </row>
    <row r="632" spans="1:18">
      <c r="A632">
        <v>3019</v>
      </c>
      <c r="B632" t="s">
        <v>76</v>
      </c>
      <c r="C632">
        <v>0.44</v>
      </c>
      <c r="D632">
        <v>0.32</v>
      </c>
      <c r="E632">
        <v>0.105</v>
      </c>
      <c r="F632">
        <v>0.38750000000000001</v>
      </c>
      <c r="G632">
        <v>0.17549999999999999</v>
      </c>
      <c r="H632">
        <v>7.3999999999999996E-2</v>
      </c>
      <c r="I632">
        <v>0.12</v>
      </c>
      <c r="J632">
        <v>9</v>
      </c>
      <c r="K632">
        <v>1</v>
      </c>
      <c r="L632" t="s">
        <v>70</v>
      </c>
      <c r="M632" t="s">
        <v>71</v>
      </c>
      <c r="N632" t="s">
        <v>45</v>
      </c>
      <c r="O632">
        <v>3</v>
      </c>
      <c r="P632" t="s">
        <v>10</v>
      </c>
      <c r="Q632">
        <v>3.6</v>
      </c>
      <c r="R632" s="1" t="str">
        <f t="shared" si="10"/>
        <v>II</v>
      </c>
    </row>
    <row r="633" spans="1:18">
      <c r="A633">
        <v>2225</v>
      </c>
      <c r="B633" t="s">
        <v>76</v>
      </c>
      <c r="C633">
        <v>0.55000000000000004</v>
      </c>
      <c r="D633">
        <v>0.42499999999999999</v>
      </c>
      <c r="E633">
        <v>0.14499999999999999</v>
      </c>
      <c r="F633">
        <v>0.79700000000000004</v>
      </c>
      <c r="G633">
        <v>0.29699999999999999</v>
      </c>
      <c r="H633">
        <v>0.15</v>
      </c>
      <c r="I633">
        <v>0.26500000000000001</v>
      </c>
      <c r="J633">
        <v>9</v>
      </c>
      <c r="K633">
        <v>5</v>
      </c>
      <c r="L633" t="s">
        <v>67</v>
      </c>
      <c r="M633" t="s">
        <v>68</v>
      </c>
      <c r="N633" t="s">
        <v>69</v>
      </c>
      <c r="O633">
        <v>2</v>
      </c>
      <c r="P633" t="s">
        <v>5</v>
      </c>
      <c r="Q633">
        <v>18</v>
      </c>
      <c r="R633" s="1" t="str">
        <f t="shared" si="10"/>
        <v>II</v>
      </c>
    </row>
    <row r="634" spans="1:18">
      <c r="A634">
        <v>3491</v>
      </c>
      <c r="B634" t="s">
        <v>76</v>
      </c>
      <c r="C634">
        <v>0.53500000000000003</v>
      </c>
      <c r="D634">
        <v>0.42</v>
      </c>
      <c r="E634">
        <v>0.16</v>
      </c>
      <c r="F634">
        <v>0.74650000000000005</v>
      </c>
      <c r="G634">
        <v>0.34799999999999998</v>
      </c>
      <c r="H634">
        <v>0.1515</v>
      </c>
      <c r="I634">
        <v>0.2185</v>
      </c>
      <c r="J634">
        <v>10</v>
      </c>
      <c r="K634">
        <v>10</v>
      </c>
      <c r="L634" t="s">
        <v>37</v>
      </c>
      <c r="M634" t="s">
        <v>38</v>
      </c>
      <c r="N634" t="s">
        <v>39</v>
      </c>
      <c r="O634">
        <v>2</v>
      </c>
      <c r="P634" t="s">
        <v>5</v>
      </c>
      <c r="Q634">
        <v>18</v>
      </c>
      <c r="R634" s="1" t="str">
        <f t="shared" si="10"/>
        <v>II</v>
      </c>
    </row>
    <row r="635" spans="1:18">
      <c r="A635">
        <v>1243</v>
      </c>
      <c r="B635" t="s">
        <v>76</v>
      </c>
      <c r="C635">
        <v>0.38500000000000001</v>
      </c>
      <c r="D635">
        <v>0.28999999999999998</v>
      </c>
      <c r="E635">
        <v>0.09</v>
      </c>
      <c r="F635">
        <v>0.26150000000000001</v>
      </c>
      <c r="G635">
        <v>0.111</v>
      </c>
      <c r="H635">
        <v>5.9499999999999997E-2</v>
      </c>
      <c r="I635">
        <v>7.4499999999999997E-2</v>
      </c>
      <c r="J635">
        <v>9</v>
      </c>
      <c r="K635">
        <v>8</v>
      </c>
      <c r="L635" t="s">
        <v>55</v>
      </c>
      <c r="M635" t="s">
        <v>56</v>
      </c>
      <c r="N635" t="s">
        <v>57</v>
      </c>
      <c r="O635">
        <v>10</v>
      </c>
      <c r="P635" t="s">
        <v>11</v>
      </c>
      <c r="Q635">
        <v>24.1</v>
      </c>
      <c r="R635" s="1" t="str">
        <f t="shared" si="10"/>
        <v>II</v>
      </c>
    </row>
    <row r="636" spans="1:18">
      <c r="A636">
        <v>304</v>
      </c>
      <c r="B636" t="s">
        <v>76</v>
      </c>
      <c r="C636">
        <v>0.36</v>
      </c>
      <c r="D636">
        <v>0.27</v>
      </c>
      <c r="E636">
        <v>0.1</v>
      </c>
      <c r="F636">
        <v>0.217</v>
      </c>
      <c r="G636">
        <v>8.8499999999999995E-2</v>
      </c>
      <c r="H636">
        <v>4.9500000000000002E-2</v>
      </c>
      <c r="I636">
        <v>7.1499999999999994E-2</v>
      </c>
      <c r="J636">
        <v>6</v>
      </c>
      <c r="K636">
        <v>7</v>
      </c>
      <c r="L636" t="s">
        <v>62</v>
      </c>
      <c r="M636" t="s">
        <v>63</v>
      </c>
      <c r="N636" t="s">
        <v>64</v>
      </c>
      <c r="O636">
        <v>5</v>
      </c>
      <c r="P636" t="s">
        <v>12</v>
      </c>
      <c r="Q636">
        <v>12.8</v>
      </c>
      <c r="R636" s="1" t="str">
        <f t="shared" si="10"/>
        <v>II</v>
      </c>
    </row>
    <row r="637" spans="1:18">
      <c r="A637">
        <v>3316</v>
      </c>
      <c r="B637" t="s">
        <v>76</v>
      </c>
      <c r="C637">
        <v>0.35</v>
      </c>
      <c r="D637">
        <v>0.26</v>
      </c>
      <c r="E637">
        <v>0.09</v>
      </c>
      <c r="F637">
        <v>0.19500000000000001</v>
      </c>
      <c r="G637">
        <v>7.4499999999999997E-2</v>
      </c>
      <c r="H637">
        <v>4.1000000000000002E-2</v>
      </c>
      <c r="I637">
        <v>6.5500000000000003E-2</v>
      </c>
      <c r="J637">
        <v>9</v>
      </c>
      <c r="K637">
        <v>10</v>
      </c>
      <c r="L637" t="s">
        <v>37</v>
      </c>
      <c r="M637" t="s">
        <v>38</v>
      </c>
      <c r="N637" t="s">
        <v>39</v>
      </c>
      <c r="O637">
        <v>10</v>
      </c>
      <c r="P637" t="s">
        <v>11</v>
      </c>
      <c r="Q637">
        <v>24.1</v>
      </c>
      <c r="R637" s="1" t="str">
        <f t="shared" si="10"/>
        <v>II</v>
      </c>
    </row>
    <row r="638" spans="1:18">
      <c r="A638">
        <v>3869</v>
      </c>
      <c r="B638" t="s">
        <v>76</v>
      </c>
      <c r="C638">
        <v>0.44</v>
      </c>
      <c r="D638">
        <v>0.34</v>
      </c>
      <c r="E638">
        <v>0.13500000000000001</v>
      </c>
      <c r="F638">
        <v>0.39750000000000002</v>
      </c>
      <c r="G638">
        <v>0.15049999999999999</v>
      </c>
      <c r="H638">
        <v>9.4500000000000001E-2</v>
      </c>
      <c r="I638">
        <v>0.13500000000000001</v>
      </c>
      <c r="J638">
        <v>8</v>
      </c>
      <c r="K638">
        <v>4</v>
      </c>
      <c r="L638" t="s">
        <v>40</v>
      </c>
      <c r="M638" t="s">
        <v>41</v>
      </c>
      <c r="N638" t="s">
        <v>42</v>
      </c>
      <c r="O638">
        <v>8</v>
      </c>
      <c r="P638" t="s">
        <v>13</v>
      </c>
      <c r="Q638">
        <v>12.3</v>
      </c>
      <c r="R638" s="1" t="str">
        <f t="shared" si="10"/>
        <v>II</v>
      </c>
    </row>
    <row r="639" spans="1:18">
      <c r="A639">
        <v>818</v>
      </c>
      <c r="B639" t="s">
        <v>76</v>
      </c>
      <c r="C639">
        <v>0.35</v>
      </c>
      <c r="D639">
        <v>0.27</v>
      </c>
      <c r="E639">
        <v>0.09</v>
      </c>
      <c r="F639">
        <v>0.20549999999999999</v>
      </c>
      <c r="G639">
        <v>7.4999999999999997E-2</v>
      </c>
      <c r="H639">
        <v>5.7500000000000002E-2</v>
      </c>
      <c r="I639">
        <v>6.2E-2</v>
      </c>
      <c r="J639">
        <v>6</v>
      </c>
      <c r="K639">
        <v>7</v>
      </c>
      <c r="L639" t="s">
        <v>62</v>
      </c>
      <c r="M639" t="s">
        <v>63</v>
      </c>
      <c r="N639" t="s">
        <v>64</v>
      </c>
      <c r="O639">
        <v>1</v>
      </c>
      <c r="P639" t="s">
        <v>4</v>
      </c>
      <c r="Q639">
        <v>22.1</v>
      </c>
      <c r="R639" s="1" t="str">
        <f t="shared" si="10"/>
        <v>II</v>
      </c>
    </row>
    <row r="640" spans="1:18">
      <c r="A640">
        <v>3728</v>
      </c>
      <c r="B640" t="s">
        <v>76</v>
      </c>
      <c r="C640">
        <v>0.505</v>
      </c>
      <c r="D640">
        <v>0.4</v>
      </c>
      <c r="E640">
        <v>0.15</v>
      </c>
      <c r="F640">
        <v>0.77500000000000002</v>
      </c>
      <c r="G640">
        <v>0.34449999999999997</v>
      </c>
      <c r="H640">
        <v>0.157</v>
      </c>
      <c r="I640">
        <v>0.185</v>
      </c>
      <c r="J640">
        <v>7</v>
      </c>
      <c r="K640">
        <v>13</v>
      </c>
      <c r="L640" t="s">
        <v>43</v>
      </c>
      <c r="M640" t="s">
        <v>44</v>
      </c>
      <c r="N640" t="s">
        <v>45</v>
      </c>
      <c r="O640">
        <v>6</v>
      </c>
      <c r="P640" t="s">
        <v>7</v>
      </c>
      <c r="Q640">
        <v>14.1</v>
      </c>
      <c r="R640" s="1" t="str">
        <f t="shared" si="10"/>
        <v>II</v>
      </c>
    </row>
    <row r="641" spans="1:18">
      <c r="A641">
        <v>641</v>
      </c>
      <c r="B641" t="s">
        <v>76</v>
      </c>
      <c r="C641">
        <v>0.32500000000000001</v>
      </c>
      <c r="D641">
        <v>0.24</v>
      </c>
      <c r="E641">
        <v>8.5000000000000006E-2</v>
      </c>
      <c r="F641">
        <v>0.17299999999999999</v>
      </c>
      <c r="G641">
        <v>7.9500000000000001E-2</v>
      </c>
      <c r="H641">
        <v>3.7999999999999999E-2</v>
      </c>
      <c r="I641">
        <v>0.05</v>
      </c>
      <c r="J641">
        <v>7</v>
      </c>
      <c r="K641">
        <v>14</v>
      </c>
      <c r="L641" t="s">
        <v>72</v>
      </c>
      <c r="M641" t="s">
        <v>73</v>
      </c>
      <c r="N641" t="s">
        <v>74</v>
      </c>
      <c r="O641">
        <v>7</v>
      </c>
      <c r="P641" t="s">
        <v>6</v>
      </c>
      <c r="Q641">
        <v>2.5</v>
      </c>
      <c r="R641" s="1" t="str">
        <f t="shared" si="10"/>
        <v>II</v>
      </c>
    </row>
    <row r="642" spans="1:18">
      <c r="A642">
        <v>1255</v>
      </c>
      <c r="B642" t="s">
        <v>76</v>
      </c>
      <c r="C642">
        <v>0.42499999999999999</v>
      </c>
      <c r="D642">
        <v>0.32500000000000001</v>
      </c>
      <c r="E642">
        <v>0.11</v>
      </c>
      <c r="F642">
        <v>0.33350000000000002</v>
      </c>
      <c r="G642">
        <v>0.17299999999999999</v>
      </c>
      <c r="H642">
        <v>4.4999999999999998E-2</v>
      </c>
      <c r="I642">
        <v>0.1</v>
      </c>
      <c r="J642">
        <v>7</v>
      </c>
      <c r="K642">
        <v>14</v>
      </c>
      <c r="L642" t="s">
        <v>72</v>
      </c>
      <c r="M642" t="s">
        <v>73</v>
      </c>
      <c r="N642" t="s">
        <v>74</v>
      </c>
      <c r="O642">
        <v>8</v>
      </c>
      <c r="P642" t="s">
        <v>13</v>
      </c>
      <c r="Q642">
        <v>12.3</v>
      </c>
      <c r="R642" s="1" t="str">
        <f t="shared" si="10"/>
        <v>II</v>
      </c>
    </row>
    <row r="643" spans="1:18">
      <c r="A643">
        <v>132</v>
      </c>
      <c r="B643" t="s">
        <v>76</v>
      </c>
      <c r="C643">
        <v>0.44</v>
      </c>
      <c r="D643">
        <v>0.35</v>
      </c>
      <c r="E643">
        <v>0.125</v>
      </c>
      <c r="F643">
        <v>0.40350000000000003</v>
      </c>
      <c r="G643">
        <v>0.17499999999999999</v>
      </c>
      <c r="H643">
        <v>6.3E-2</v>
      </c>
      <c r="I643">
        <v>0.129</v>
      </c>
      <c r="J643">
        <v>9</v>
      </c>
      <c r="K643">
        <v>8</v>
      </c>
      <c r="L643" t="s">
        <v>55</v>
      </c>
      <c r="M643" t="s">
        <v>56</v>
      </c>
      <c r="N643" t="s">
        <v>57</v>
      </c>
      <c r="O643">
        <v>8</v>
      </c>
      <c r="P643" t="s">
        <v>13</v>
      </c>
      <c r="Q643">
        <v>12.3</v>
      </c>
      <c r="R643" s="1" t="str">
        <f t="shared" si="10"/>
        <v>II</v>
      </c>
    </row>
    <row r="644" spans="1:18">
      <c r="A644">
        <v>501</v>
      </c>
      <c r="B644" t="s">
        <v>76</v>
      </c>
      <c r="C644">
        <v>0.57999999999999996</v>
      </c>
      <c r="D644">
        <v>0.44</v>
      </c>
      <c r="E644">
        <v>0.18</v>
      </c>
      <c r="F644">
        <v>0.85399999999999998</v>
      </c>
      <c r="G644">
        <v>0.36649999999999999</v>
      </c>
      <c r="H644">
        <v>0.16350000000000001</v>
      </c>
      <c r="I644">
        <v>0.245</v>
      </c>
      <c r="J644">
        <v>12</v>
      </c>
      <c r="K644">
        <v>3</v>
      </c>
      <c r="L644" t="s">
        <v>52</v>
      </c>
      <c r="M644" t="s">
        <v>53</v>
      </c>
      <c r="N644" t="s">
        <v>54</v>
      </c>
      <c r="O644">
        <v>2</v>
      </c>
      <c r="P644" t="s">
        <v>5</v>
      </c>
      <c r="Q644">
        <v>18</v>
      </c>
      <c r="R644" s="1" t="str">
        <f t="shared" si="10"/>
        <v>II</v>
      </c>
    </row>
    <row r="645" spans="1:18">
      <c r="A645">
        <v>223</v>
      </c>
      <c r="B645" t="s">
        <v>76</v>
      </c>
      <c r="C645">
        <v>0.49</v>
      </c>
      <c r="D645">
        <v>0.375</v>
      </c>
      <c r="E645">
        <v>0.15</v>
      </c>
      <c r="F645">
        <v>0.57550000000000001</v>
      </c>
      <c r="G645">
        <v>0.22</v>
      </c>
      <c r="H645">
        <v>0.14399999999999999</v>
      </c>
      <c r="I645">
        <v>0.19</v>
      </c>
      <c r="J645">
        <v>9</v>
      </c>
      <c r="K645">
        <v>12</v>
      </c>
      <c r="L645" t="s">
        <v>58</v>
      </c>
      <c r="M645" t="s">
        <v>59</v>
      </c>
      <c r="N645" t="s">
        <v>45</v>
      </c>
      <c r="O645">
        <v>8</v>
      </c>
      <c r="P645" t="s">
        <v>13</v>
      </c>
      <c r="Q645">
        <v>12.3</v>
      </c>
      <c r="R645" s="1" t="str">
        <f t="shared" si="10"/>
        <v>II</v>
      </c>
    </row>
    <row r="646" spans="1:18">
      <c r="A646">
        <v>2912</v>
      </c>
      <c r="B646" t="s">
        <v>76</v>
      </c>
      <c r="C646">
        <v>0.57999999999999996</v>
      </c>
      <c r="D646">
        <v>0.44</v>
      </c>
      <c r="E646">
        <v>0.125</v>
      </c>
      <c r="F646">
        <v>0.78549999999999998</v>
      </c>
      <c r="G646">
        <v>0.36299999999999999</v>
      </c>
      <c r="H646">
        <v>0.19550000000000001</v>
      </c>
      <c r="I646">
        <v>0.19500000000000001</v>
      </c>
      <c r="J646">
        <v>11</v>
      </c>
      <c r="K646">
        <v>10</v>
      </c>
      <c r="L646" t="s">
        <v>37</v>
      </c>
      <c r="M646" t="s">
        <v>38</v>
      </c>
      <c r="N646" t="s">
        <v>39</v>
      </c>
      <c r="O646">
        <v>9</v>
      </c>
      <c r="P646" t="s">
        <v>9</v>
      </c>
      <c r="Q646">
        <v>1.9</v>
      </c>
      <c r="R646" s="1" t="str">
        <f t="shared" si="10"/>
        <v>II</v>
      </c>
    </row>
    <row r="647" spans="1:18">
      <c r="A647">
        <v>1990</v>
      </c>
      <c r="B647" t="s">
        <v>76</v>
      </c>
      <c r="C647">
        <v>0.28000000000000003</v>
      </c>
      <c r="D647">
        <v>0.21</v>
      </c>
      <c r="E647">
        <v>7.4999999999999997E-2</v>
      </c>
      <c r="F647">
        <v>0.1195</v>
      </c>
      <c r="G647">
        <v>5.2999999999999999E-2</v>
      </c>
      <c r="H647">
        <v>2.6499999999999999E-2</v>
      </c>
      <c r="I647">
        <v>0.03</v>
      </c>
      <c r="J647">
        <v>6</v>
      </c>
      <c r="K647">
        <v>2</v>
      </c>
      <c r="L647" t="s">
        <v>49</v>
      </c>
      <c r="M647" t="s">
        <v>50</v>
      </c>
      <c r="N647" t="s">
        <v>51</v>
      </c>
      <c r="O647">
        <v>6</v>
      </c>
      <c r="P647" t="s">
        <v>7</v>
      </c>
      <c r="Q647">
        <v>14.1</v>
      </c>
      <c r="R647" s="1" t="str">
        <f t="shared" si="10"/>
        <v>II</v>
      </c>
    </row>
    <row r="648" spans="1:18">
      <c r="A648">
        <v>2342</v>
      </c>
      <c r="B648" t="s">
        <v>76</v>
      </c>
      <c r="C648">
        <v>0.31</v>
      </c>
      <c r="D648">
        <v>0.24</v>
      </c>
      <c r="E648">
        <v>0.09</v>
      </c>
      <c r="F648">
        <v>0.14549999999999999</v>
      </c>
      <c r="G648">
        <v>6.0499999999999998E-2</v>
      </c>
      <c r="H648">
        <v>3.15E-2</v>
      </c>
      <c r="I648">
        <v>4.4999999999999998E-2</v>
      </c>
      <c r="J648">
        <v>7</v>
      </c>
      <c r="K648">
        <v>15</v>
      </c>
      <c r="L648" t="s">
        <v>60</v>
      </c>
      <c r="M648" t="s">
        <v>61</v>
      </c>
      <c r="N648" t="s">
        <v>45</v>
      </c>
      <c r="O648">
        <v>3</v>
      </c>
      <c r="P648" t="s">
        <v>10</v>
      </c>
      <c r="Q648">
        <v>3.6</v>
      </c>
      <c r="R648" s="1" t="str">
        <f t="shared" si="10"/>
        <v>II</v>
      </c>
    </row>
    <row r="649" spans="1:18">
      <c r="A649">
        <v>2739</v>
      </c>
      <c r="B649" t="s">
        <v>76</v>
      </c>
      <c r="C649">
        <v>0.45</v>
      </c>
      <c r="D649">
        <v>0.32500000000000001</v>
      </c>
      <c r="E649">
        <v>0.115</v>
      </c>
      <c r="F649">
        <v>0.43049999999999999</v>
      </c>
      <c r="G649">
        <v>0.2235</v>
      </c>
      <c r="H649">
        <v>7.85E-2</v>
      </c>
      <c r="I649">
        <v>0.11550000000000001</v>
      </c>
      <c r="J649">
        <v>8</v>
      </c>
      <c r="K649">
        <v>1</v>
      </c>
      <c r="L649" t="s">
        <v>70</v>
      </c>
      <c r="M649" t="s">
        <v>71</v>
      </c>
      <c r="N649" t="s">
        <v>45</v>
      </c>
      <c r="O649">
        <v>2</v>
      </c>
      <c r="P649" t="s">
        <v>5</v>
      </c>
      <c r="Q649">
        <v>18</v>
      </c>
      <c r="R649" s="1" t="str">
        <f t="shared" si="10"/>
        <v>II</v>
      </c>
    </row>
    <row r="650" spans="1:18">
      <c r="A650">
        <v>2347</v>
      </c>
      <c r="B650" t="s">
        <v>76</v>
      </c>
      <c r="C650">
        <v>0.56000000000000005</v>
      </c>
      <c r="D650">
        <v>0.43</v>
      </c>
      <c r="E650">
        <v>0.125</v>
      </c>
      <c r="F650">
        <v>0.80249999999999999</v>
      </c>
      <c r="G650">
        <v>0.313</v>
      </c>
      <c r="H650">
        <v>0.17150000000000001</v>
      </c>
      <c r="I650">
        <v>0.26300000000000001</v>
      </c>
      <c r="J650">
        <v>13</v>
      </c>
      <c r="K650">
        <v>9</v>
      </c>
      <c r="L650" t="s">
        <v>34</v>
      </c>
      <c r="M650" t="s">
        <v>35</v>
      </c>
      <c r="N650" t="s">
        <v>36</v>
      </c>
      <c r="O650">
        <v>10</v>
      </c>
      <c r="P650" t="s">
        <v>11</v>
      </c>
      <c r="Q650">
        <v>24.1</v>
      </c>
      <c r="R650" s="1" t="str">
        <f t="shared" si="10"/>
        <v>II</v>
      </c>
    </row>
    <row r="651" spans="1:18">
      <c r="A651">
        <v>3966</v>
      </c>
      <c r="B651" t="s">
        <v>76</v>
      </c>
      <c r="C651">
        <v>0.29499999999999998</v>
      </c>
      <c r="D651">
        <v>0.22</v>
      </c>
      <c r="E651">
        <v>7.0000000000000007E-2</v>
      </c>
      <c r="F651">
        <v>0.13650000000000001</v>
      </c>
      <c r="G651">
        <v>5.7500000000000002E-2</v>
      </c>
      <c r="H651">
        <v>2.9499999999999998E-2</v>
      </c>
      <c r="I651">
        <v>3.5000000000000003E-2</v>
      </c>
      <c r="J651">
        <v>6</v>
      </c>
      <c r="K651">
        <v>13</v>
      </c>
      <c r="L651" t="s">
        <v>43</v>
      </c>
      <c r="M651" t="s">
        <v>44</v>
      </c>
      <c r="N651" t="s">
        <v>45</v>
      </c>
      <c r="O651">
        <v>4</v>
      </c>
      <c r="P651" t="s">
        <v>8</v>
      </c>
      <c r="Q651">
        <v>6.1</v>
      </c>
      <c r="R651" s="1" t="str">
        <f t="shared" ref="R651:R714" si="11">IF(OR(AND(J651 &gt; 15, B651 = "Infant"), AND(D651 = "Male", C651 &gt; 0.75),
    OR(I651 &gt; 0.8, G651 &gt; 0.5), G651 &gt; 1.2),
    "I",
    IF(OR(AND(I651 &lt; 0.4, G651 &lt; 0.4), AND(J651 &gt; 15, D651 = "Male"), AND(J651 &gt; 18, D651 = "Female"), C651 &lt; 0.36),
    "II",
    "III"))</f>
        <v>II</v>
      </c>
    </row>
    <row r="652" spans="1:18">
      <c r="A652">
        <v>738</v>
      </c>
      <c r="B652" t="s">
        <v>76</v>
      </c>
      <c r="C652">
        <v>0.52</v>
      </c>
      <c r="D652">
        <v>0.40500000000000003</v>
      </c>
      <c r="E652">
        <v>0.125</v>
      </c>
      <c r="F652">
        <v>0.64349999999999996</v>
      </c>
      <c r="G652">
        <v>0.24149999999999999</v>
      </c>
      <c r="H652">
        <v>0.17349999999999999</v>
      </c>
      <c r="I652">
        <v>0.21</v>
      </c>
      <c r="J652">
        <v>12</v>
      </c>
      <c r="K652">
        <v>8</v>
      </c>
      <c r="L652" t="s">
        <v>55</v>
      </c>
      <c r="M652" t="s">
        <v>56</v>
      </c>
      <c r="N652" t="s">
        <v>57</v>
      </c>
      <c r="O652">
        <v>6</v>
      </c>
      <c r="P652" t="s">
        <v>7</v>
      </c>
      <c r="Q652">
        <v>14.1</v>
      </c>
      <c r="R652" s="1" t="str">
        <f t="shared" si="11"/>
        <v>II</v>
      </c>
    </row>
    <row r="653" spans="1:18">
      <c r="A653">
        <v>437</v>
      </c>
      <c r="B653" t="s">
        <v>76</v>
      </c>
      <c r="C653">
        <v>0.36</v>
      </c>
      <c r="D653">
        <v>0.27500000000000002</v>
      </c>
      <c r="E653">
        <v>9.5000000000000001E-2</v>
      </c>
      <c r="F653">
        <v>0.217</v>
      </c>
      <c r="G653">
        <v>8.4000000000000005E-2</v>
      </c>
      <c r="H653">
        <v>4.3499999999999997E-2</v>
      </c>
      <c r="I653">
        <v>0.09</v>
      </c>
      <c r="J653">
        <v>7</v>
      </c>
      <c r="K653">
        <v>15</v>
      </c>
      <c r="L653" t="s">
        <v>60</v>
      </c>
      <c r="M653" t="s">
        <v>61</v>
      </c>
      <c r="N653" t="s">
        <v>45</v>
      </c>
      <c r="O653">
        <v>2</v>
      </c>
      <c r="P653" t="s">
        <v>5</v>
      </c>
      <c r="Q653">
        <v>18</v>
      </c>
      <c r="R653" s="1" t="str">
        <f t="shared" si="11"/>
        <v>II</v>
      </c>
    </row>
    <row r="654" spans="1:18">
      <c r="A654">
        <v>150</v>
      </c>
      <c r="B654" t="s">
        <v>76</v>
      </c>
      <c r="C654">
        <v>0.17</v>
      </c>
      <c r="D654">
        <v>0.13</v>
      </c>
      <c r="E654">
        <v>9.5000000000000001E-2</v>
      </c>
      <c r="F654">
        <v>0.03</v>
      </c>
      <c r="G654">
        <v>1.2999999999999999E-2</v>
      </c>
      <c r="H654">
        <v>8.0000000000000002E-3</v>
      </c>
      <c r="I654">
        <v>0.01</v>
      </c>
      <c r="J654">
        <v>4</v>
      </c>
      <c r="K654">
        <v>7</v>
      </c>
      <c r="L654" t="s">
        <v>62</v>
      </c>
      <c r="M654" t="s">
        <v>63</v>
      </c>
      <c r="N654" t="s">
        <v>64</v>
      </c>
      <c r="O654">
        <v>6</v>
      </c>
      <c r="P654" t="s">
        <v>7</v>
      </c>
      <c r="Q654">
        <v>14.1</v>
      </c>
      <c r="R654" s="1" t="str">
        <f t="shared" si="11"/>
        <v>II</v>
      </c>
    </row>
    <row r="655" spans="1:18">
      <c r="A655">
        <v>1256</v>
      </c>
      <c r="B655" t="s">
        <v>76</v>
      </c>
      <c r="C655">
        <v>0.42499999999999999</v>
      </c>
      <c r="D655">
        <v>0.32</v>
      </c>
      <c r="E655">
        <v>0.1</v>
      </c>
      <c r="F655">
        <v>0.30549999999999999</v>
      </c>
      <c r="G655">
        <v>0.126</v>
      </c>
      <c r="H655">
        <v>0.06</v>
      </c>
      <c r="I655">
        <v>0.106</v>
      </c>
      <c r="J655">
        <v>7</v>
      </c>
      <c r="K655">
        <v>4</v>
      </c>
      <c r="L655" t="s">
        <v>40</v>
      </c>
      <c r="M655" t="s">
        <v>41</v>
      </c>
      <c r="N655" t="s">
        <v>42</v>
      </c>
      <c r="O655">
        <v>3</v>
      </c>
      <c r="P655" t="s">
        <v>10</v>
      </c>
      <c r="Q655">
        <v>3.6</v>
      </c>
      <c r="R655" s="1" t="str">
        <f t="shared" si="11"/>
        <v>II</v>
      </c>
    </row>
    <row r="656" spans="1:18">
      <c r="A656">
        <v>751</v>
      </c>
      <c r="B656" t="s">
        <v>76</v>
      </c>
      <c r="C656">
        <v>0.51</v>
      </c>
      <c r="D656">
        <v>0.39</v>
      </c>
      <c r="E656">
        <v>0.105</v>
      </c>
      <c r="F656">
        <v>0.61199999999999999</v>
      </c>
      <c r="G656">
        <v>0.187</v>
      </c>
      <c r="H656">
        <v>0.15</v>
      </c>
      <c r="I656">
        <v>0.19500000000000001</v>
      </c>
      <c r="J656">
        <v>13</v>
      </c>
      <c r="K656">
        <v>5</v>
      </c>
      <c r="L656" t="s">
        <v>67</v>
      </c>
      <c r="M656" t="s">
        <v>68</v>
      </c>
      <c r="N656" t="s">
        <v>69</v>
      </c>
      <c r="O656">
        <v>5</v>
      </c>
      <c r="P656" t="s">
        <v>12</v>
      </c>
      <c r="Q656">
        <v>12.8</v>
      </c>
      <c r="R656" s="1" t="str">
        <f t="shared" si="11"/>
        <v>II</v>
      </c>
    </row>
    <row r="657" spans="1:18">
      <c r="A657">
        <v>2637</v>
      </c>
      <c r="B657" t="s">
        <v>76</v>
      </c>
      <c r="C657">
        <v>0.44</v>
      </c>
      <c r="D657">
        <v>0.34</v>
      </c>
      <c r="E657">
        <v>0.1</v>
      </c>
      <c r="F657">
        <v>0.40699999999999997</v>
      </c>
      <c r="G657">
        <v>0.20899999999999999</v>
      </c>
      <c r="H657">
        <v>7.3499999999999996E-2</v>
      </c>
      <c r="I657">
        <v>0.10299999999999999</v>
      </c>
      <c r="J657">
        <v>7</v>
      </c>
      <c r="K657">
        <v>6</v>
      </c>
      <c r="L657" t="s">
        <v>46</v>
      </c>
      <c r="M657" t="s">
        <v>47</v>
      </c>
      <c r="N657" t="s">
        <v>48</v>
      </c>
      <c r="O657">
        <v>9</v>
      </c>
      <c r="P657" t="s">
        <v>9</v>
      </c>
      <c r="Q657">
        <v>1.9</v>
      </c>
      <c r="R657" s="1" t="str">
        <f t="shared" si="11"/>
        <v>II</v>
      </c>
    </row>
    <row r="658" spans="1:18">
      <c r="A658">
        <v>2901</v>
      </c>
      <c r="B658" t="s">
        <v>76</v>
      </c>
      <c r="C658">
        <v>0.55000000000000004</v>
      </c>
      <c r="D658">
        <v>0.435</v>
      </c>
      <c r="E658">
        <v>0.14000000000000001</v>
      </c>
      <c r="F658">
        <v>0.745</v>
      </c>
      <c r="G658">
        <v>0.34699999999999998</v>
      </c>
      <c r="H658">
        <v>0.17399999999999999</v>
      </c>
      <c r="I658">
        <v>0.22650000000000001</v>
      </c>
      <c r="J658">
        <v>9</v>
      </c>
      <c r="K658">
        <v>7</v>
      </c>
      <c r="L658" t="s">
        <v>62</v>
      </c>
      <c r="M658" t="s">
        <v>63</v>
      </c>
      <c r="N658" t="s">
        <v>64</v>
      </c>
      <c r="O658">
        <v>5</v>
      </c>
      <c r="P658" t="s">
        <v>12</v>
      </c>
      <c r="Q658">
        <v>12.8</v>
      </c>
      <c r="R658" s="1" t="str">
        <f t="shared" si="11"/>
        <v>II</v>
      </c>
    </row>
    <row r="659" spans="1:18">
      <c r="A659">
        <v>256</v>
      </c>
      <c r="B659" t="s">
        <v>76</v>
      </c>
      <c r="C659">
        <v>0.56000000000000005</v>
      </c>
      <c r="D659">
        <v>0.45</v>
      </c>
      <c r="E659">
        <v>0.17499999999999999</v>
      </c>
      <c r="F659">
        <v>1.0109999999999999</v>
      </c>
      <c r="G659">
        <v>0.38350000000000001</v>
      </c>
      <c r="H659">
        <v>0.20649999999999999</v>
      </c>
      <c r="I659">
        <v>0.37</v>
      </c>
      <c r="J659">
        <v>15</v>
      </c>
      <c r="K659">
        <v>12</v>
      </c>
      <c r="L659" t="s">
        <v>58</v>
      </c>
      <c r="M659" t="s">
        <v>59</v>
      </c>
      <c r="N659" t="s">
        <v>45</v>
      </c>
      <c r="O659">
        <v>7</v>
      </c>
      <c r="P659" t="s">
        <v>6</v>
      </c>
      <c r="Q659">
        <v>2.5</v>
      </c>
      <c r="R659" s="1" t="str">
        <f t="shared" si="11"/>
        <v>II</v>
      </c>
    </row>
    <row r="660" spans="1:18">
      <c r="A660">
        <v>608</v>
      </c>
      <c r="B660" t="s">
        <v>76</v>
      </c>
      <c r="C660">
        <v>0.48499999999999999</v>
      </c>
      <c r="D660">
        <v>0.37</v>
      </c>
      <c r="E660">
        <v>0.13</v>
      </c>
      <c r="F660">
        <v>0.45800000000000002</v>
      </c>
      <c r="G660">
        <v>0.18099999999999999</v>
      </c>
      <c r="H660">
        <v>0.113</v>
      </c>
      <c r="I660">
        <v>0.13600000000000001</v>
      </c>
      <c r="J660">
        <v>10</v>
      </c>
      <c r="K660">
        <v>13</v>
      </c>
      <c r="L660" t="s">
        <v>43</v>
      </c>
      <c r="M660" t="s">
        <v>44</v>
      </c>
      <c r="N660" t="s">
        <v>45</v>
      </c>
      <c r="O660">
        <v>7</v>
      </c>
      <c r="P660" t="s">
        <v>6</v>
      </c>
      <c r="Q660">
        <v>2.5</v>
      </c>
      <c r="R660" s="1" t="str">
        <f t="shared" si="11"/>
        <v>II</v>
      </c>
    </row>
    <row r="661" spans="1:18">
      <c r="A661">
        <v>3413</v>
      </c>
      <c r="B661" t="s">
        <v>76</v>
      </c>
      <c r="C661">
        <v>0.48</v>
      </c>
      <c r="D661">
        <v>0.35499999999999998</v>
      </c>
      <c r="E661">
        <v>0.115</v>
      </c>
      <c r="F661">
        <v>0.57850000000000001</v>
      </c>
      <c r="G661">
        <v>0.25</v>
      </c>
      <c r="H661">
        <v>0.106</v>
      </c>
      <c r="I661">
        <v>0.184</v>
      </c>
      <c r="J661">
        <v>8</v>
      </c>
      <c r="K661">
        <v>9</v>
      </c>
      <c r="L661" t="s">
        <v>34</v>
      </c>
      <c r="M661" t="s">
        <v>35</v>
      </c>
      <c r="N661" t="s">
        <v>36</v>
      </c>
      <c r="O661">
        <v>6</v>
      </c>
      <c r="P661" t="s">
        <v>7</v>
      </c>
      <c r="Q661">
        <v>14.1</v>
      </c>
      <c r="R661" s="1" t="str">
        <f t="shared" si="11"/>
        <v>II</v>
      </c>
    </row>
    <row r="662" spans="1:18">
      <c r="A662">
        <v>2143</v>
      </c>
      <c r="B662" t="s">
        <v>76</v>
      </c>
      <c r="C662">
        <v>0.46</v>
      </c>
      <c r="D662">
        <v>0.35</v>
      </c>
      <c r="E662">
        <v>0.11</v>
      </c>
      <c r="F662">
        <v>0.39450000000000002</v>
      </c>
      <c r="G662">
        <v>0.16850000000000001</v>
      </c>
      <c r="H662">
        <v>8.6499999999999994E-2</v>
      </c>
      <c r="I662">
        <v>0.125</v>
      </c>
      <c r="J662">
        <v>9</v>
      </c>
      <c r="K662">
        <v>2</v>
      </c>
      <c r="L662" t="s">
        <v>49</v>
      </c>
      <c r="M662" t="s">
        <v>50</v>
      </c>
      <c r="N662" t="s">
        <v>51</v>
      </c>
      <c r="O662">
        <v>6</v>
      </c>
      <c r="P662" t="s">
        <v>7</v>
      </c>
      <c r="Q662">
        <v>14.1</v>
      </c>
      <c r="R662" s="1" t="str">
        <f t="shared" si="11"/>
        <v>II</v>
      </c>
    </row>
    <row r="663" spans="1:18">
      <c r="A663">
        <v>1310</v>
      </c>
      <c r="B663" t="s">
        <v>76</v>
      </c>
      <c r="C663">
        <v>0.54500000000000004</v>
      </c>
      <c r="D663">
        <v>0.43</v>
      </c>
      <c r="E663">
        <v>0.15</v>
      </c>
      <c r="F663">
        <v>0.72850000000000004</v>
      </c>
      <c r="G663">
        <v>0.30199999999999999</v>
      </c>
      <c r="H663">
        <v>0.13150000000000001</v>
      </c>
      <c r="I663">
        <v>0.2545</v>
      </c>
      <c r="J663">
        <v>10</v>
      </c>
      <c r="K663">
        <v>8</v>
      </c>
      <c r="L663" t="s">
        <v>55</v>
      </c>
      <c r="M663" t="s">
        <v>56</v>
      </c>
      <c r="N663" t="s">
        <v>57</v>
      </c>
      <c r="O663">
        <v>4</v>
      </c>
      <c r="P663" t="s">
        <v>8</v>
      </c>
      <c r="Q663">
        <v>6.1</v>
      </c>
      <c r="R663" s="1" t="str">
        <f t="shared" si="11"/>
        <v>II</v>
      </c>
    </row>
    <row r="664" spans="1:18">
      <c r="A664">
        <v>682</v>
      </c>
      <c r="B664" t="s">
        <v>76</v>
      </c>
      <c r="C664">
        <v>0.48499999999999999</v>
      </c>
      <c r="D664">
        <v>0.37</v>
      </c>
      <c r="E664">
        <v>0.14000000000000001</v>
      </c>
      <c r="F664">
        <v>0.57250000000000001</v>
      </c>
      <c r="G664">
        <v>0.20399999999999999</v>
      </c>
      <c r="H664">
        <v>0.14149999999999999</v>
      </c>
      <c r="I664">
        <v>0.17499999999999999</v>
      </c>
      <c r="J664">
        <v>10</v>
      </c>
      <c r="K664">
        <v>12</v>
      </c>
      <c r="L664" t="s">
        <v>58</v>
      </c>
      <c r="M664" t="s">
        <v>59</v>
      </c>
      <c r="N664" t="s">
        <v>45</v>
      </c>
      <c r="O664">
        <v>2</v>
      </c>
      <c r="P664" t="s">
        <v>5</v>
      </c>
      <c r="Q664">
        <v>18</v>
      </c>
      <c r="R664" s="1" t="str">
        <f t="shared" si="11"/>
        <v>II</v>
      </c>
    </row>
    <row r="665" spans="1:18">
      <c r="A665">
        <v>746</v>
      </c>
      <c r="B665" t="s">
        <v>76</v>
      </c>
      <c r="C665">
        <v>0.53</v>
      </c>
      <c r="D665">
        <v>0.42</v>
      </c>
      <c r="E665">
        <v>0.13</v>
      </c>
      <c r="F665">
        <v>1.0009999999999999</v>
      </c>
      <c r="G665">
        <v>0.34</v>
      </c>
      <c r="H665">
        <v>0.22600000000000001</v>
      </c>
      <c r="I665">
        <v>0.26500000000000001</v>
      </c>
      <c r="J665">
        <v>17</v>
      </c>
      <c r="K665">
        <v>2</v>
      </c>
      <c r="L665" t="s">
        <v>49</v>
      </c>
      <c r="M665" t="s">
        <v>50</v>
      </c>
      <c r="N665" t="s">
        <v>51</v>
      </c>
      <c r="O665">
        <v>3</v>
      </c>
      <c r="P665" t="s">
        <v>10</v>
      </c>
      <c r="Q665">
        <v>3.6</v>
      </c>
      <c r="R665" s="1" t="str">
        <f t="shared" si="11"/>
        <v>II</v>
      </c>
    </row>
    <row r="666" spans="1:18">
      <c r="A666">
        <v>3526</v>
      </c>
      <c r="B666" t="s">
        <v>76</v>
      </c>
      <c r="C666">
        <v>0.33</v>
      </c>
      <c r="D666">
        <v>0.23</v>
      </c>
      <c r="E666">
        <v>8.5000000000000006E-2</v>
      </c>
      <c r="F666">
        <v>0.16950000000000001</v>
      </c>
      <c r="G666">
        <v>7.9000000000000001E-2</v>
      </c>
      <c r="H666">
        <v>2.5999999999999999E-2</v>
      </c>
      <c r="I666">
        <v>5.0500000000000003E-2</v>
      </c>
      <c r="J666">
        <v>6</v>
      </c>
      <c r="K666">
        <v>5</v>
      </c>
      <c r="L666" t="s">
        <v>67</v>
      </c>
      <c r="M666" t="s">
        <v>68</v>
      </c>
      <c r="N666" t="s">
        <v>69</v>
      </c>
      <c r="O666">
        <v>3</v>
      </c>
      <c r="P666" t="s">
        <v>10</v>
      </c>
      <c r="Q666">
        <v>3.6</v>
      </c>
      <c r="R666" s="1" t="str">
        <f t="shared" si="11"/>
        <v>II</v>
      </c>
    </row>
    <row r="667" spans="1:18">
      <c r="A667">
        <v>615</v>
      </c>
      <c r="B667" t="s">
        <v>76</v>
      </c>
      <c r="C667">
        <v>0.45</v>
      </c>
      <c r="D667">
        <v>0.35</v>
      </c>
      <c r="E667">
        <v>0.14499999999999999</v>
      </c>
      <c r="F667">
        <v>0.52500000000000002</v>
      </c>
      <c r="G667">
        <v>0.20849999999999999</v>
      </c>
      <c r="H667">
        <v>0.1</v>
      </c>
      <c r="I667">
        <v>0.16550000000000001</v>
      </c>
      <c r="J667">
        <v>15</v>
      </c>
      <c r="K667">
        <v>8</v>
      </c>
      <c r="L667" t="s">
        <v>55</v>
      </c>
      <c r="M667" t="s">
        <v>56</v>
      </c>
      <c r="N667" t="s">
        <v>57</v>
      </c>
      <c r="O667">
        <v>5</v>
      </c>
      <c r="P667" t="s">
        <v>12</v>
      </c>
      <c r="Q667">
        <v>12.8</v>
      </c>
      <c r="R667" s="1" t="str">
        <f t="shared" si="11"/>
        <v>II</v>
      </c>
    </row>
    <row r="668" spans="1:18">
      <c r="A668">
        <v>3112</v>
      </c>
      <c r="B668" t="s">
        <v>76</v>
      </c>
      <c r="C668">
        <v>0.41</v>
      </c>
      <c r="D668">
        <v>0.32500000000000001</v>
      </c>
      <c r="E668">
        <v>0.105</v>
      </c>
      <c r="F668">
        <v>0.36099999999999999</v>
      </c>
      <c r="G668">
        <v>0.1605</v>
      </c>
      <c r="H668">
        <v>6.6500000000000004E-2</v>
      </c>
      <c r="I668">
        <v>0.10299999999999999</v>
      </c>
      <c r="J668">
        <v>8</v>
      </c>
      <c r="K668">
        <v>11</v>
      </c>
      <c r="L668" t="s">
        <v>65</v>
      </c>
      <c r="M668" t="s">
        <v>66</v>
      </c>
      <c r="N668" t="s">
        <v>45</v>
      </c>
      <c r="O668">
        <v>5</v>
      </c>
      <c r="P668" t="s">
        <v>12</v>
      </c>
      <c r="Q668">
        <v>12.8</v>
      </c>
      <c r="R668" s="1" t="str">
        <f t="shared" si="11"/>
        <v>II</v>
      </c>
    </row>
    <row r="669" spans="1:18">
      <c r="A669">
        <v>483</v>
      </c>
      <c r="B669" t="s">
        <v>76</v>
      </c>
      <c r="C669">
        <v>0.56999999999999995</v>
      </c>
      <c r="D669">
        <v>0.46500000000000002</v>
      </c>
      <c r="E669">
        <v>0.125</v>
      </c>
      <c r="F669">
        <v>0.84899999999999998</v>
      </c>
      <c r="G669">
        <v>0.3785</v>
      </c>
      <c r="H669">
        <v>0.17649999999999999</v>
      </c>
      <c r="I669">
        <v>0.24</v>
      </c>
      <c r="J669">
        <v>15</v>
      </c>
      <c r="K669">
        <v>15</v>
      </c>
      <c r="L669" t="s">
        <v>60</v>
      </c>
      <c r="M669" t="s">
        <v>61</v>
      </c>
      <c r="N669" t="s">
        <v>45</v>
      </c>
      <c r="O669">
        <v>7</v>
      </c>
      <c r="P669" t="s">
        <v>6</v>
      </c>
      <c r="Q669">
        <v>2.5</v>
      </c>
      <c r="R669" s="1" t="str">
        <f t="shared" si="11"/>
        <v>II</v>
      </c>
    </row>
    <row r="670" spans="1:18">
      <c r="A670">
        <v>3155</v>
      </c>
      <c r="B670" t="s">
        <v>76</v>
      </c>
      <c r="C670">
        <v>0.54</v>
      </c>
      <c r="D670">
        <v>0.41</v>
      </c>
      <c r="E670">
        <v>0.13</v>
      </c>
      <c r="F670">
        <v>0.56000000000000005</v>
      </c>
      <c r="G670">
        <v>0.23749999999999999</v>
      </c>
      <c r="H670">
        <v>0.1065</v>
      </c>
      <c r="I670">
        <v>0.17499999999999999</v>
      </c>
      <c r="J670">
        <v>7</v>
      </c>
      <c r="K670">
        <v>11</v>
      </c>
      <c r="L670" t="s">
        <v>65</v>
      </c>
      <c r="M670" t="s">
        <v>66</v>
      </c>
      <c r="N670" t="s">
        <v>45</v>
      </c>
      <c r="O670">
        <v>10</v>
      </c>
      <c r="P670" t="s">
        <v>11</v>
      </c>
      <c r="Q670">
        <v>24.1</v>
      </c>
      <c r="R670" s="1" t="str">
        <f t="shared" si="11"/>
        <v>II</v>
      </c>
    </row>
    <row r="671" spans="1:18">
      <c r="A671">
        <v>385</v>
      </c>
      <c r="B671" t="s">
        <v>76</v>
      </c>
      <c r="C671">
        <v>0.54500000000000004</v>
      </c>
      <c r="D671">
        <v>0.42499999999999999</v>
      </c>
      <c r="E671">
        <v>0.13500000000000001</v>
      </c>
      <c r="F671">
        <v>0.84450000000000003</v>
      </c>
      <c r="G671">
        <v>0.373</v>
      </c>
      <c r="H671">
        <v>0.21</v>
      </c>
      <c r="I671">
        <v>0.23499999999999999</v>
      </c>
      <c r="J671">
        <v>10</v>
      </c>
      <c r="K671">
        <v>11</v>
      </c>
      <c r="L671" t="s">
        <v>65</v>
      </c>
      <c r="M671" t="s">
        <v>66</v>
      </c>
      <c r="N671" t="s">
        <v>45</v>
      </c>
      <c r="O671">
        <v>6</v>
      </c>
      <c r="P671" t="s">
        <v>7</v>
      </c>
      <c r="Q671">
        <v>14.1</v>
      </c>
      <c r="R671" s="1" t="str">
        <f t="shared" si="11"/>
        <v>II</v>
      </c>
    </row>
    <row r="672" spans="1:18">
      <c r="A672">
        <v>3188</v>
      </c>
      <c r="B672" t="s">
        <v>76</v>
      </c>
      <c r="C672">
        <v>0.51</v>
      </c>
      <c r="D672">
        <v>0.38500000000000001</v>
      </c>
      <c r="E672">
        <v>0.13500000000000001</v>
      </c>
      <c r="F672">
        <v>0.63200000000000001</v>
      </c>
      <c r="G672">
        <v>0.28199999999999997</v>
      </c>
      <c r="H672">
        <v>0.14499999999999999</v>
      </c>
      <c r="I672">
        <v>0.17</v>
      </c>
      <c r="J672">
        <v>8</v>
      </c>
      <c r="K672">
        <v>15</v>
      </c>
      <c r="L672" t="s">
        <v>60</v>
      </c>
      <c r="M672" t="s">
        <v>61</v>
      </c>
      <c r="N672" t="s">
        <v>45</v>
      </c>
      <c r="O672">
        <v>10</v>
      </c>
      <c r="P672" t="s">
        <v>11</v>
      </c>
      <c r="Q672">
        <v>24.1</v>
      </c>
      <c r="R672" s="1" t="str">
        <f t="shared" si="11"/>
        <v>II</v>
      </c>
    </row>
    <row r="673" spans="1:18">
      <c r="A673">
        <v>118</v>
      </c>
      <c r="B673" t="s">
        <v>76</v>
      </c>
      <c r="C673">
        <v>0.44</v>
      </c>
      <c r="D673">
        <v>0.34</v>
      </c>
      <c r="E673">
        <v>0.105</v>
      </c>
      <c r="F673">
        <v>0.40200000000000002</v>
      </c>
      <c r="G673">
        <v>0.1305</v>
      </c>
      <c r="H673">
        <v>9.5500000000000002E-2</v>
      </c>
      <c r="I673">
        <v>0.16500000000000001</v>
      </c>
      <c r="J673">
        <v>10</v>
      </c>
      <c r="K673">
        <v>4</v>
      </c>
      <c r="L673" t="s">
        <v>40</v>
      </c>
      <c r="M673" t="s">
        <v>41</v>
      </c>
      <c r="N673" t="s">
        <v>42</v>
      </c>
      <c r="O673">
        <v>1</v>
      </c>
      <c r="P673" t="s">
        <v>4</v>
      </c>
      <c r="Q673">
        <v>22.1</v>
      </c>
      <c r="R673" s="1" t="str">
        <f t="shared" si="11"/>
        <v>II</v>
      </c>
    </row>
    <row r="674" spans="1:18">
      <c r="A674">
        <v>2449</v>
      </c>
      <c r="B674" t="s">
        <v>76</v>
      </c>
      <c r="C674">
        <v>0.35</v>
      </c>
      <c r="D674">
        <v>0.26500000000000001</v>
      </c>
      <c r="E674">
        <v>0.09</v>
      </c>
      <c r="F674">
        <v>0.1855</v>
      </c>
      <c r="G674">
        <v>7.4499999999999997E-2</v>
      </c>
      <c r="H674">
        <v>4.1500000000000002E-2</v>
      </c>
      <c r="I674">
        <v>0.06</v>
      </c>
      <c r="J674">
        <v>7</v>
      </c>
      <c r="K674">
        <v>14</v>
      </c>
      <c r="L674" t="s">
        <v>72</v>
      </c>
      <c r="M674" t="s">
        <v>73</v>
      </c>
      <c r="N674" t="s">
        <v>74</v>
      </c>
      <c r="O674">
        <v>3</v>
      </c>
      <c r="P674" t="s">
        <v>10</v>
      </c>
      <c r="Q674">
        <v>3.6</v>
      </c>
      <c r="R674" s="1" t="str">
        <f t="shared" si="11"/>
        <v>II</v>
      </c>
    </row>
    <row r="675" spans="1:18">
      <c r="A675">
        <v>4155</v>
      </c>
      <c r="B675" t="s">
        <v>76</v>
      </c>
      <c r="C675">
        <v>0.435</v>
      </c>
      <c r="D675">
        <v>0.33</v>
      </c>
      <c r="E675">
        <v>9.5000000000000001E-2</v>
      </c>
      <c r="F675">
        <v>0.39300000000000002</v>
      </c>
      <c r="G675">
        <v>0.219</v>
      </c>
      <c r="H675">
        <v>7.4999999999999997E-2</v>
      </c>
      <c r="I675">
        <v>8.8499999999999995E-2</v>
      </c>
      <c r="J675">
        <v>6</v>
      </c>
      <c r="K675">
        <v>1</v>
      </c>
      <c r="L675" t="s">
        <v>70</v>
      </c>
      <c r="M675" t="s">
        <v>71</v>
      </c>
      <c r="N675" t="s">
        <v>45</v>
      </c>
      <c r="O675">
        <v>2</v>
      </c>
      <c r="P675" t="s">
        <v>5</v>
      </c>
      <c r="Q675">
        <v>18</v>
      </c>
      <c r="R675" s="1" t="str">
        <f t="shared" si="11"/>
        <v>II</v>
      </c>
    </row>
    <row r="676" spans="1:18">
      <c r="A676">
        <v>2116</v>
      </c>
      <c r="B676" t="s">
        <v>76</v>
      </c>
      <c r="C676">
        <v>0.18</v>
      </c>
      <c r="D676">
        <v>0.13</v>
      </c>
      <c r="E676">
        <v>4.4999999999999998E-2</v>
      </c>
      <c r="F676">
        <v>2.75E-2</v>
      </c>
      <c r="G676">
        <v>1.2500000000000001E-2</v>
      </c>
      <c r="H676">
        <v>0.01</v>
      </c>
      <c r="I676">
        <v>8.9999999999999993E-3</v>
      </c>
      <c r="J676">
        <v>3</v>
      </c>
      <c r="K676">
        <v>5</v>
      </c>
      <c r="L676" t="s">
        <v>67</v>
      </c>
      <c r="M676" t="s">
        <v>68</v>
      </c>
      <c r="N676" t="s">
        <v>69</v>
      </c>
      <c r="O676">
        <v>6</v>
      </c>
      <c r="P676" t="s">
        <v>7</v>
      </c>
      <c r="Q676">
        <v>14.1</v>
      </c>
      <c r="R676" s="1" t="str">
        <f t="shared" si="11"/>
        <v>II</v>
      </c>
    </row>
    <row r="677" spans="1:18">
      <c r="A677">
        <v>3569</v>
      </c>
      <c r="B677" t="s">
        <v>76</v>
      </c>
      <c r="C677">
        <v>0.57999999999999996</v>
      </c>
      <c r="D677">
        <v>0.46</v>
      </c>
      <c r="E677">
        <v>0.14000000000000001</v>
      </c>
      <c r="F677">
        <v>0.82950000000000002</v>
      </c>
      <c r="G677">
        <v>0.39150000000000001</v>
      </c>
      <c r="H677">
        <v>0.16500000000000001</v>
      </c>
      <c r="I677">
        <v>0.23799999999999999</v>
      </c>
      <c r="J677">
        <v>10</v>
      </c>
      <c r="K677">
        <v>8</v>
      </c>
      <c r="L677" t="s">
        <v>55</v>
      </c>
      <c r="M677" t="s">
        <v>56</v>
      </c>
      <c r="N677" t="s">
        <v>57</v>
      </c>
      <c r="O677">
        <v>9</v>
      </c>
      <c r="P677" t="s">
        <v>9</v>
      </c>
      <c r="Q677">
        <v>1.9</v>
      </c>
      <c r="R677" s="1" t="str">
        <f t="shared" si="11"/>
        <v>II</v>
      </c>
    </row>
    <row r="678" spans="1:18">
      <c r="A678">
        <v>3949</v>
      </c>
      <c r="B678" t="s">
        <v>76</v>
      </c>
      <c r="C678">
        <v>0.53</v>
      </c>
      <c r="D678">
        <v>0.4</v>
      </c>
      <c r="E678">
        <v>0.16500000000000001</v>
      </c>
      <c r="F678">
        <v>0.77200000000000002</v>
      </c>
      <c r="G678">
        <v>0.28549999999999998</v>
      </c>
      <c r="H678">
        <v>0.19750000000000001</v>
      </c>
      <c r="I678">
        <v>0.23</v>
      </c>
      <c r="J678">
        <v>12</v>
      </c>
      <c r="K678">
        <v>12</v>
      </c>
      <c r="L678" t="s">
        <v>58</v>
      </c>
      <c r="M678" t="s">
        <v>59</v>
      </c>
      <c r="N678" t="s">
        <v>45</v>
      </c>
      <c r="O678">
        <v>9</v>
      </c>
      <c r="P678" t="s">
        <v>9</v>
      </c>
      <c r="Q678">
        <v>1.9</v>
      </c>
      <c r="R678" s="1" t="str">
        <f t="shared" si="11"/>
        <v>II</v>
      </c>
    </row>
    <row r="679" spans="1:18">
      <c r="A679">
        <v>3282</v>
      </c>
      <c r="B679" t="s">
        <v>76</v>
      </c>
      <c r="C679">
        <v>0.55000000000000004</v>
      </c>
      <c r="D679">
        <v>0.45</v>
      </c>
      <c r="E679">
        <v>0.17</v>
      </c>
      <c r="F679">
        <v>0.81</v>
      </c>
      <c r="G679">
        <v>0.317</v>
      </c>
      <c r="H679">
        <v>0.157</v>
      </c>
      <c r="I679">
        <v>0.22</v>
      </c>
      <c r="J679">
        <v>11</v>
      </c>
      <c r="K679">
        <v>5</v>
      </c>
      <c r="L679" t="s">
        <v>67</v>
      </c>
      <c r="M679" t="s">
        <v>68</v>
      </c>
      <c r="N679" t="s">
        <v>69</v>
      </c>
      <c r="O679">
        <v>6</v>
      </c>
      <c r="P679" t="s">
        <v>7</v>
      </c>
      <c r="Q679">
        <v>14.1</v>
      </c>
      <c r="R679" s="1" t="str">
        <f t="shared" si="11"/>
        <v>II</v>
      </c>
    </row>
    <row r="680" spans="1:18">
      <c r="A680">
        <v>1225</v>
      </c>
      <c r="B680" t="s">
        <v>76</v>
      </c>
      <c r="C680">
        <v>0.34499999999999997</v>
      </c>
      <c r="D680">
        <v>0.255</v>
      </c>
      <c r="E680">
        <v>9.5000000000000001E-2</v>
      </c>
      <c r="F680">
        <v>0.19450000000000001</v>
      </c>
      <c r="G680">
        <v>9.2499999999999999E-2</v>
      </c>
      <c r="H680">
        <v>3.6999999999999998E-2</v>
      </c>
      <c r="I680">
        <v>5.5E-2</v>
      </c>
      <c r="J680">
        <v>6</v>
      </c>
      <c r="K680">
        <v>7</v>
      </c>
      <c r="L680" t="s">
        <v>62</v>
      </c>
      <c r="M680" t="s">
        <v>63</v>
      </c>
      <c r="N680" t="s">
        <v>64</v>
      </c>
      <c r="O680">
        <v>10</v>
      </c>
      <c r="P680" t="s">
        <v>11</v>
      </c>
      <c r="Q680">
        <v>24.1</v>
      </c>
      <c r="R680" s="1" t="str">
        <f t="shared" si="11"/>
        <v>II</v>
      </c>
    </row>
    <row r="681" spans="1:18">
      <c r="A681">
        <v>2010</v>
      </c>
      <c r="B681" t="s">
        <v>76</v>
      </c>
      <c r="C681">
        <v>0.43</v>
      </c>
      <c r="D681">
        <v>0.32</v>
      </c>
      <c r="E681">
        <v>0.11</v>
      </c>
      <c r="F681">
        <v>0.36749999999999999</v>
      </c>
      <c r="G681">
        <v>0.16750000000000001</v>
      </c>
      <c r="H681">
        <v>0.10199999999999999</v>
      </c>
      <c r="I681">
        <v>0.105</v>
      </c>
      <c r="J681">
        <v>8</v>
      </c>
      <c r="K681">
        <v>1</v>
      </c>
      <c r="L681" t="s">
        <v>70</v>
      </c>
      <c r="M681" t="s">
        <v>71</v>
      </c>
      <c r="N681" t="s">
        <v>45</v>
      </c>
      <c r="O681">
        <v>7</v>
      </c>
      <c r="P681" t="s">
        <v>6</v>
      </c>
      <c r="Q681">
        <v>2.5</v>
      </c>
      <c r="R681" s="1" t="str">
        <f t="shared" si="11"/>
        <v>II</v>
      </c>
    </row>
    <row r="682" spans="1:18">
      <c r="A682">
        <v>4</v>
      </c>
      <c r="B682" t="s">
        <v>76</v>
      </c>
      <c r="C682">
        <v>0.44</v>
      </c>
      <c r="D682">
        <v>0.36499999999999999</v>
      </c>
      <c r="E682">
        <v>0.125</v>
      </c>
      <c r="F682">
        <v>0.51600000000000001</v>
      </c>
      <c r="G682">
        <v>0.2155</v>
      </c>
      <c r="H682">
        <v>0.114</v>
      </c>
      <c r="I682">
        <v>0.155</v>
      </c>
      <c r="J682">
        <v>10</v>
      </c>
      <c r="K682">
        <v>8</v>
      </c>
      <c r="L682" t="s">
        <v>55</v>
      </c>
      <c r="M682" t="s">
        <v>56</v>
      </c>
      <c r="N682" t="s">
        <v>57</v>
      </c>
      <c r="O682">
        <v>6</v>
      </c>
      <c r="P682" t="s">
        <v>7</v>
      </c>
      <c r="Q682">
        <v>14.1</v>
      </c>
      <c r="R682" s="1" t="str">
        <f t="shared" si="11"/>
        <v>II</v>
      </c>
    </row>
    <row r="683" spans="1:18">
      <c r="A683">
        <v>1589</v>
      </c>
      <c r="B683" t="s">
        <v>76</v>
      </c>
      <c r="C683">
        <v>0.51500000000000001</v>
      </c>
      <c r="D683">
        <v>0.39</v>
      </c>
      <c r="E683">
        <v>0.125</v>
      </c>
      <c r="F683">
        <v>0.57050000000000001</v>
      </c>
      <c r="G683">
        <v>0.23799999999999999</v>
      </c>
      <c r="H683">
        <v>0.1265</v>
      </c>
      <c r="I683">
        <v>0.185</v>
      </c>
      <c r="J683">
        <v>8</v>
      </c>
      <c r="K683">
        <v>6</v>
      </c>
      <c r="L683" t="s">
        <v>46</v>
      </c>
      <c r="M683" t="s">
        <v>47</v>
      </c>
      <c r="N683" t="s">
        <v>48</v>
      </c>
      <c r="O683">
        <v>3</v>
      </c>
      <c r="P683" t="s">
        <v>10</v>
      </c>
      <c r="Q683">
        <v>3.6</v>
      </c>
      <c r="R683" s="1" t="str">
        <f t="shared" si="11"/>
        <v>II</v>
      </c>
    </row>
    <row r="684" spans="1:18">
      <c r="A684">
        <v>477</v>
      </c>
      <c r="B684" t="s">
        <v>76</v>
      </c>
      <c r="C684">
        <v>0.46500000000000002</v>
      </c>
      <c r="D684">
        <v>0.35</v>
      </c>
      <c r="E684">
        <v>0.115</v>
      </c>
      <c r="F684">
        <v>0.42099999999999999</v>
      </c>
      <c r="G684">
        <v>0.1565</v>
      </c>
      <c r="H684">
        <v>9.0999999999999998E-2</v>
      </c>
      <c r="I684">
        <v>0.13450000000000001</v>
      </c>
      <c r="J684">
        <v>9</v>
      </c>
      <c r="K684">
        <v>1</v>
      </c>
      <c r="L684" t="s">
        <v>70</v>
      </c>
      <c r="M684" t="s">
        <v>71</v>
      </c>
      <c r="N684" t="s">
        <v>45</v>
      </c>
      <c r="O684">
        <v>9</v>
      </c>
      <c r="P684" t="s">
        <v>9</v>
      </c>
      <c r="Q684">
        <v>1.9</v>
      </c>
      <c r="R684" s="1" t="str">
        <f t="shared" si="11"/>
        <v>II</v>
      </c>
    </row>
    <row r="685" spans="1:18">
      <c r="A685">
        <v>663</v>
      </c>
      <c r="B685" t="s">
        <v>76</v>
      </c>
      <c r="C685">
        <v>0.41499999999999998</v>
      </c>
      <c r="D685">
        <v>0.34</v>
      </c>
      <c r="E685">
        <v>0.13</v>
      </c>
      <c r="F685">
        <v>0.36749999999999999</v>
      </c>
      <c r="G685">
        <v>0.14599999999999999</v>
      </c>
      <c r="H685">
        <v>8.8499999999999995E-2</v>
      </c>
      <c r="I685">
        <v>0.12</v>
      </c>
      <c r="J685">
        <v>10</v>
      </c>
      <c r="K685">
        <v>1</v>
      </c>
      <c r="L685" t="s">
        <v>70</v>
      </c>
      <c r="M685" t="s">
        <v>71</v>
      </c>
      <c r="N685" t="s">
        <v>45</v>
      </c>
      <c r="O685">
        <v>5</v>
      </c>
      <c r="P685" t="s">
        <v>12</v>
      </c>
      <c r="Q685">
        <v>12.8</v>
      </c>
      <c r="R685" s="1" t="str">
        <f t="shared" si="11"/>
        <v>II</v>
      </c>
    </row>
    <row r="686" spans="1:18">
      <c r="A686">
        <v>1064</v>
      </c>
      <c r="B686" t="s">
        <v>76</v>
      </c>
      <c r="C686">
        <v>0.28499999999999998</v>
      </c>
      <c r="D686">
        <v>0.22</v>
      </c>
      <c r="E686">
        <v>6.5000000000000002E-2</v>
      </c>
      <c r="F686">
        <v>9.6000000000000002E-2</v>
      </c>
      <c r="G686">
        <v>4.0500000000000001E-2</v>
      </c>
      <c r="H686">
        <v>2.0500000000000001E-2</v>
      </c>
      <c r="I686">
        <v>0.03</v>
      </c>
      <c r="J686">
        <v>5</v>
      </c>
      <c r="K686">
        <v>5</v>
      </c>
      <c r="L686" t="s">
        <v>67</v>
      </c>
      <c r="M686" t="s">
        <v>68</v>
      </c>
      <c r="N686" t="s">
        <v>69</v>
      </c>
      <c r="O686">
        <v>6</v>
      </c>
      <c r="P686" t="s">
        <v>7</v>
      </c>
      <c r="Q686">
        <v>14.1</v>
      </c>
      <c r="R686" s="1" t="str">
        <f t="shared" si="11"/>
        <v>II</v>
      </c>
    </row>
    <row r="687" spans="1:18">
      <c r="A687">
        <v>3771</v>
      </c>
      <c r="B687" t="s">
        <v>76</v>
      </c>
      <c r="C687">
        <v>0.56499999999999995</v>
      </c>
      <c r="D687">
        <v>0.43</v>
      </c>
      <c r="E687">
        <v>0.125</v>
      </c>
      <c r="F687">
        <v>0.65449999999999997</v>
      </c>
      <c r="G687">
        <v>0.28149999999999997</v>
      </c>
      <c r="H687">
        <v>0.13900000000000001</v>
      </c>
      <c r="I687">
        <v>0.21</v>
      </c>
      <c r="J687">
        <v>9</v>
      </c>
      <c r="K687">
        <v>3</v>
      </c>
      <c r="L687" t="s">
        <v>52</v>
      </c>
      <c r="M687" t="s">
        <v>53</v>
      </c>
      <c r="N687" t="s">
        <v>54</v>
      </c>
      <c r="O687">
        <v>4</v>
      </c>
      <c r="P687" t="s">
        <v>8</v>
      </c>
      <c r="Q687">
        <v>6.1</v>
      </c>
      <c r="R687" s="1" t="str">
        <f t="shared" si="11"/>
        <v>II</v>
      </c>
    </row>
    <row r="688" spans="1:18">
      <c r="A688">
        <v>2240</v>
      </c>
      <c r="B688" t="s">
        <v>76</v>
      </c>
      <c r="C688">
        <v>0.46</v>
      </c>
      <c r="D688">
        <v>0.36</v>
      </c>
      <c r="E688">
        <v>0.115</v>
      </c>
      <c r="F688">
        <v>0.47549999999999998</v>
      </c>
      <c r="G688">
        <v>0.21049999999999999</v>
      </c>
      <c r="H688">
        <v>0.105</v>
      </c>
      <c r="I688">
        <v>0.16</v>
      </c>
      <c r="J688">
        <v>8</v>
      </c>
      <c r="K688">
        <v>2</v>
      </c>
      <c r="L688" t="s">
        <v>49</v>
      </c>
      <c r="M688" t="s">
        <v>50</v>
      </c>
      <c r="N688" t="s">
        <v>51</v>
      </c>
      <c r="O688">
        <v>10</v>
      </c>
      <c r="P688" t="s">
        <v>11</v>
      </c>
      <c r="Q688">
        <v>24.1</v>
      </c>
      <c r="R688" s="1" t="str">
        <f t="shared" si="11"/>
        <v>II</v>
      </c>
    </row>
    <row r="689" spans="1:18">
      <c r="A689">
        <v>3545</v>
      </c>
      <c r="B689" t="s">
        <v>76</v>
      </c>
      <c r="C689">
        <v>0.47499999999999998</v>
      </c>
      <c r="D689">
        <v>0.35499999999999998</v>
      </c>
      <c r="E689">
        <v>0.125</v>
      </c>
      <c r="F689">
        <v>0.48649999999999999</v>
      </c>
      <c r="G689">
        <v>0.2155</v>
      </c>
      <c r="H689">
        <v>0.1105</v>
      </c>
      <c r="I689">
        <v>0.14199999999999999</v>
      </c>
      <c r="J689">
        <v>9</v>
      </c>
      <c r="K689">
        <v>1</v>
      </c>
      <c r="L689" t="s">
        <v>70</v>
      </c>
      <c r="M689" t="s">
        <v>71</v>
      </c>
      <c r="N689" t="s">
        <v>45</v>
      </c>
      <c r="O689">
        <v>2</v>
      </c>
      <c r="P689" t="s">
        <v>5</v>
      </c>
      <c r="Q689">
        <v>18</v>
      </c>
      <c r="R689" s="1" t="str">
        <f t="shared" si="11"/>
        <v>II</v>
      </c>
    </row>
    <row r="690" spans="1:18">
      <c r="A690">
        <v>901</v>
      </c>
      <c r="B690" t="s">
        <v>76</v>
      </c>
      <c r="C690">
        <v>0.3</v>
      </c>
      <c r="D690">
        <v>0.23499999999999999</v>
      </c>
      <c r="E690">
        <v>0.08</v>
      </c>
      <c r="F690">
        <v>0.13100000000000001</v>
      </c>
      <c r="G690">
        <v>0.05</v>
      </c>
      <c r="H690">
        <v>2.6499999999999999E-2</v>
      </c>
      <c r="I690">
        <v>4.2999999999999997E-2</v>
      </c>
      <c r="J690">
        <v>4</v>
      </c>
      <c r="K690">
        <v>4</v>
      </c>
      <c r="L690" t="s">
        <v>40</v>
      </c>
      <c r="M690" t="s">
        <v>41</v>
      </c>
      <c r="N690" t="s">
        <v>42</v>
      </c>
      <c r="O690">
        <v>8</v>
      </c>
      <c r="P690" t="s">
        <v>13</v>
      </c>
      <c r="Q690">
        <v>12.3</v>
      </c>
      <c r="R690" s="1" t="str">
        <f t="shared" si="11"/>
        <v>II</v>
      </c>
    </row>
    <row r="691" spans="1:18">
      <c r="A691">
        <v>249</v>
      </c>
      <c r="B691" t="s">
        <v>76</v>
      </c>
      <c r="C691">
        <v>0.30499999999999999</v>
      </c>
      <c r="D691">
        <v>0.245</v>
      </c>
      <c r="E691">
        <v>7.4999999999999997E-2</v>
      </c>
      <c r="F691">
        <v>0.156</v>
      </c>
      <c r="G691">
        <v>6.7500000000000004E-2</v>
      </c>
      <c r="H691">
        <v>3.7999999999999999E-2</v>
      </c>
      <c r="I691">
        <v>4.4999999999999998E-2</v>
      </c>
      <c r="J691">
        <v>7</v>
      </c>
      <c r="K691">
        <v>7</v>
      </c>
      <c r="L691" t="s">
        <v>62</v>
      </c>
      <c r="M691" t="s">
        <v>63</v>
      </c>
      <c r="N691" t="s">
        <v>64</v>
      </c>
      <c r="O691">
        <v>9</v>
      </c>
      <c r="P691" t="s">
        <v>9</v>
      </c>
      <c r="Q691">
        <v>1.9</v>
      </c>
      <c r="R691" s="1" t="str">
        <f t="shared" si="11"/>
        <v>II</v>
      </c>
    </row>
    <row r="692" spans="1:18">
      <c r="A692">
        <v>135</v>
      </c>
      <c r="B692" t="s">
        <v>76</v>
      </c>
      <c r="C692">
        <v>0.26500000000000001</v>
      </c>
      <c r="D692">
        <v>0.2</v>
      </c>
      <c r="E692">
        <v>6.5000000000000002E-2</v>
      </c>
      <c r="F692">
        <v>9.7500000000000003E-2</v>
      </c>
      <c r="G692">
        <v>0.04</v>
      </c>
      <c r="H692">
        <v>2.0500000000000001E-2</v>
      </c>
      <c r="I692">
        <v>2.8000000000000001E-2</v>
      </c>
      <c r="J692">
        <v>7</v>
      </c>
      <c r="K692">
        <v>12</v>
      </c>
      <c r="L692" t="s">
        <v>58</v>
      </c>
      <c r="M692" t="s">
        <v>59</v>
      </c>
      <c r="N692" t="s">
        <v>45</v>
      </c>
      <c r="O692">
        <v>9</v>
      </c>
      <c r="P692" t="s">
        <v>9</v>
      </c>
      <c r="Q692">
        <v>1.9</v>
      </c>
      <c r="R692" s="1" t="str">
        <f t="shared" si="11"/>
        <v>II</v>
      </c>
    </row>
    <row r="693" spans="1:18">
      <c r="A693">
        <v>3746</v>
      </c>
      <c r="B693" t="s">
        <v>76</v>
      </c>
      <c r="C693">
        <v>0.28499999999999998</v>
      </c>
      <c r="D693">
        <v>0.20499999999999999</v>
      </c>
      <c r="E693">
        <v>7.0000000000000007E-2</v>
      </c>
      <c r="F693">
        <v>0.106</v>
      </c>
      <c r="G693">
        <v>3.9E-2</v>
      </c>
      <c r="H693">
        <v>2.8500000000000001E-2</v>
      </c>
      <c r="I693">
        <v>3.4000000000000002E-2</v>
      </c>
      <c r="J693">
        <v>5</v>
      </c>
      <c r="K693">
        <v>11</v>
      </c>
      <c r="L693" t="s">
        <v>65</v>
      </c>
      <c r="M693" t="s">
        <v>66</v>
      </c>
      <c r="N693" t="s">
        <v>45</v>
      </c>
      <c r="O693">
        <v>10</v>
      </c>
      <c r="P693" t="s">
        <v>11</v>
      </c>
      <c r="Q693">
        <v>24.1</v>
      </c>
      <c r="R693" s="1" t="str">
        <f t="shared" si="11"/>
        <v>II</v>
      </c>
    </row>
    <row r="694" spans="1:18">
      <c r="A694">
        <v>4026</v>
      </c>
      <c r="B694" t="s">
        <v>76</v>
      </c>
      <c r="C694">
        <v>0.33</v>
      </c>
      <c r="D694">
        <v>0.26</v>
      </c>
      <c r="E694">
        <v>8.5000000000000006E-2</v>
      </c>
      <c r="F694">
        <v>0.19650000000000001</v>
      </c>
      <c r="G694">
        <v>9.1499999999999998E-2</v>
      </c>
      <c r="H694">
        <v>4.2500000000000003E-2</v>
      </c>
      <c r="I694">
        <v>5.5E-2</v>
      </c>
      <c r="J694">
        <v>7</v>
      </c>
      <c r="K694">
        <v>3</v>
      </c>
      <c r="L694" t="s">
        <v>52</v>
      </c>
      <c r="M694" t="s">
        <v>53</v>
      </c>
      <c r="N694" t="s">
        <v>54</v>
      </c>
      <c r="O694">
        <v>1</v>
      </c>
      <c r="P694" t="s">
        <v>4</v>
      </c>
      <c r="Q694">
        <v>22.1</v>
      </c>
      <c r="R694" s="1" t="str">
        <f t="shared" si="11"/>
        <v>II</v>
      </c>
    </row>
    <row r="695" spans="1:18">
      <c r="A695">
        <v>3974</v>
      </c>
      <c r="B695" t="s">
        <v>76</v>
      </c>
      <c r="C695">
        <v>0.41499999999999998</v>
      </c>
      <c r="D695">
        <v>0.33</v>
      </c>
      <c r="E695">
        <v>0.1</v>
      </c>
      <c r="F695">
        <v>0.39050000000000001</v>
      </c>
      <c r="G695">
        <v>0.1925</v>
      </c>
      <c r="H695">
        <v>7.5499999999999998E-2</v>
      </c>
      <c r="I695">
        <v>0.10249999999999999</v>
      </c>
      <c r="J695">
        <v>7</v>
      </c>
      <c r="K695">
        <v>6</v>
      </c>
      <c r="L695" t="s">
        <v>46</v>
      </c>
      <c r="M695" t="s">
        <v>47</v>
      </c>
      <c r="N695" t="s">
        <v>48</v>
      </c>
      <c r="O695">
        <v>8</v>
      </c>
      <c r="P695" t="s">
        <v>13</v>
      </c>
      <c r="Q695">
        <v>12.3</v>
      </c>
      <c r="R695" s="1" t="str">
        <f t="shared" si="11"/>
        <v>II</v>
      </c>
    </row>
    <row r="696" spans="1:18">
      <c r="A696">
        <v>175</v>
      </c>
      <c r="B696" t="s">
        <v>76</v>
      </c>
      <c r="C696">
        <v>0.23499999999999999</v>
      </c>
      <c r="D696">
        <v>0.16</v>
      </c>
      <c r="E696">
        <v>0.04</v>
      </c>
      <c r="F696">
        <v>4.8000000000000001E-2</v>
      </c>
      <c r="G696">
        <v>1.8499999999999999E-2</v>
      </c>
      <c r="H696">
        <v>1.7999999999999999E-2</v>
      </c>
      <c r="I696">
        <v>1.4999999999999999E-2</v>
      </c>
      <c r="J696">
        <v>5</v>
      </c>
      <c r="K696">
        <v>11</v>
      </c>
      <c r="L696" t="s">
        <v>65</v>
      </c>
      <c r="M696" t="s">
        <v>66</v>
      </c>
      <c r="N696" t="s">
        <v>45</v>
      </c>
      <c r="O696">
        <v>10</v>
      </c>
      <c r="P696" t="s">
        <v>11</v>
      </c>
      <c r="Q696">
        <v>24.1</v>
      </c>
      <c r="R696" s="1" t="str">
        <f t="shared" si="11"/>
        <v>II</v>
      </c>
    </row>
    <row r="697" spans="1:18">
      <c r="A697">
        <v>522</v>
      </c>
      <c r="B697" t="s">
        <v>76</v>
      </c>
      <c r="C697">
        <v>0.36</v>
      </c>
      <c r="D697">
        <v>0.27</v>
      </c>
      <c r="E697">
        <v>0.09</v>
      </c>
      <c r="F697">
        <v>0.1885</v>
      </c>
      <c r="G697">
        <v>8.4500000000000006E-2</v>
      </c>
      <c r="H697">
        <v>3.85E-2</v>
      </c>
      <c r="I697">
        <v>5.5E-2</v>
      </c>
      <c r="J697">
        <v>5</v>
      </c>
      <c r="K697">
        <v>13</v>
      </c>
      <c r="L697" t="s">
        <v>43</v>
      </c>
      <c r="M697" t="s">
        <v>44</v>
      </c>
      <c r="N697" t="s">
        <v>45</v>
      </c>
      <c r="O697">
        <v>5</v>
      </c>
      <c r="P697" t="s">
        <v>12</v>
      </c>
      <c r="Q697">
        <v>12.8</v>
      </c>
      <c r="R697" s="1" t="str">
        <f t="shared" si="11"/>
        <v>II</v>
      </c>
    </row>
    <row r="698" spans="1:18">
      <c r="A698">
        <v>3412</v>
      </c>
      <c r="B698" t="s">
        <v>76</v>
      </c>
      <c r="C698">
        <v>0.43</v>
      </c>
      <c r="D698">
        <v>0.32</v>
      </c>
      <c r="E698">
        <v>0.1</v>
      </c>
      <c r="F698">
        <v>0.38550000000000001</v>
      </c>
      <c r="G698">
        <v>0.192</v>
      </c>
      <c r="H698">
        <v>7.4499999999999997E-2</v>
      </c>
      <c r="I698">
        <v>0.1</v>
      </c>
      <c r="J698">
        <v>7</v>
      </c>
      <c r="K698">
        <v>11</v>
      </c>
      <c r="L698" t="s">
        <v>65</v>
      </c>
      <c r="M698" t="s">
        <v>66</v>
      </c>
      <c r="N698" t="s">
        <v>45</v>
      </c>
      <c r="O698">
        <v>6</v>
      </c>
      <c r="P698" t="s">
        <v>7</v>
      </c>
      <c r="Q698">
        <v>14.1</v>
      </c>
      <c r="R698" s="1" t="str">
        <f t="shared" si="11"/>
        <v>II</v>
      </c>
    </row>
    <row r="699" spans="1:18">
      <c r="A699">
        <v>1245</v>
      </c>
      <c r="B699" t="s">
        <v>76</v>
      </c>
      <c r="C699">
        <v>0.38500000000000001</v>
      </c>
      <c r="D699">
        <v>0.3</v>
      </c>
      <c r="E699">
        <v>9.5000000000000001E-2</v>
      </c>
      <c r="F699">
        <v>0.30199999999999999</v>
      </c>
      <c r="G699">
        <v>0.152</v>
      </c>
      <c r="H699">
        <v>6.1499999999999999E-2</v>
      </c>
      <c r="I699">
        <v>7.3499999999999996E-2</v>
      </c>
      <c r="J699">
        <v>7</v>
      </c>
      <c r="K699">
        <v>13</v>
      </c>
      <c r="L699" t="s">
        <v>43</v>
      </c>
      <c r="M699" t="s">
        <v>44</v>
      </c>
      <c r="N699" t="s">
        <v>45</v>
      </c>
      <c r="O699">
        <v>7</v>
      </c>
      <c r="P699" t="s">
        <v>6</v>
      </c>
      <c r="Q699">
        <v>2.5</v>
      </c>
      <c r="R699" s="1" t="str">
        <f t="shared" si="11"/>
        <v>II</v>
      </c>
    </row>
    <row r="700" spans="1:18">
      <c r="A700">
        <v>2365</v>
      </c>
      <c r="B700" t="s">
        <v>76</v>
      </c>
      <c r="C700">
        <v>0.6</v>
      </c>
      <c r="D700">
        <v>0.47</v>
      </c>
      <c r="E700">
        <v>0.2</v>
      </c>
      <c r="F700">
        <v>1.0309999999999999</v>
      </c>
      <c r="G700">
        <v>0.39200000000000002</v>
      </c>
      <c r="H700">
        <v>0.20349999999999999</v>
      </c>
      <c r="I700">
        <v>0.28999999999999998</v>
      </c>
      <c r="J700">
        <v>15</v>
      </c>
      <c r="K700">
        <v>14</v>
      </c>
      <c r="L700" t="s">
        <v>72</v>
      </c>
      <c r="M700" t="s">
        <v>73</v>
      </c>
      <c r="N700" t="s">
        <v>74</v>
      </c>
      <c r="O700">
        <v>10</v>
      </c>
      <c r="P700" t="s">
        <v>11</v>
      </c>
      <c r="Q700">
        <v>24.1</v>
      </c>
      <c r="R700" s="1" t="str">
        <f t="shared" si="11"/>
        <v>II</v>
      </c>
    </row>
    <row r="701" spans="1:18">
      <c r="A701">
        <v>148</v>
      </c>
      <c r="B701" t="s">
        <v>76</v>
      </c>
      <c r="C701">
        <v>0.28000000000000003</v>
      </c>
      <c r="D701">
        <v>0.20499999999999999</v>
      </c>
      <c r="E701">
        <v>0.08</v>
      </c>
      <c r="F701">
        <v>0.127</v>
      </c>
      <c r="G701">
        <v>5.1999999999999998E-2</v>
      </c>
      <c r="H701">
        <v>3.9E-2</v>
      </c>
      <c r="I701">
        <v>4.2000000000000003E-2</v>
      </c>
      <c r="J701">
        <v>9</v>
      </c>
      <c r="K701">
        <v>7</v>
      </c>
      <c r="L701" t="s">
        <v>62</v>
      </c>
      <c r="M701" t="s">
        <v>63</v>
      </c>
      <c r="N701" t="s">
        <v>64</v>
      </c>
      <c r="O701">
        <v>5</v>
      </c>
      <c r="P701" t="s">
        <v>12</v>
      </c>
      <c r="Q701">
        <v>12.8</v>
      </c>
      <c r="R701" s="1" t="str">
        <f t="shared" si="11"/>
        <v>II</v>
      </c>
    </row>
    <row r="702" spans="1:18">
      <c r="A702">
        <v>250</v>
      </c>
      <c r="B702" t="s">
        <v>76</v>
      </c>
      <c r="C702">
        <v>0.34499999999999997</v>
      </c>
      <c r="D702">
        <v>0.27</v>
      </c>
      <c r="E702">
        <v>0.11</v>
      </c>
      <c r="F702">
        <v>0.2135</v>
      </c>
      <c r="G702">
        <v>8.2000000000000003E-2</v>
      </c>
      <c r="H702">
        <v>5.45E-2</v>
      </c>
      <c r="I702">
        <v>7.0000000000000007E-2</v>
      </c>
      <c r="J702">
        <v>7</v>
      </c>
      <c r="K702">
        <v>14</v>
      </c>
      <c r="L702" t="s">
        <v>72</v>
      </c>
      <c r="M702" t="s">
        <v>73</v>
      </c>
      <c r="N702" t="s">
        <v>74</v>
      </c>
      <c r="O702">
        <v>7</v>
      </c>
      <c r="P702" t="s">
        <v>6</v>
      </c>
      <c r="Q702">
        <v>2.5</v>
      </c>
      <c r="R702" s="1" t="str">
        <f t="shared" si="11"/>
        <v>II</v>
      </c>
    </row>
    <row r="703" spans="1:18">
      <c r="A703">
        <v>4069</v>
      </c>
      <c r="B703" t="s">
        <v>76</v>
      </c>
      <c r="C703">
        <v>0.41</v>
      </c>
      <c r="D703">
        <v>0.30499999999999999</v>
      </c>
      <c r="E703">
        <v>0.1</v>
      </c>
      <c r="F703">
        <v>0.26450000000000001</v>
      </c>
      <c r="G703">
        <v>0.1</v>
      </c>
      <c r="H703">
        <v>6.5500000000000003E-2</v>
      </c>
      <c r="I703">
        <v>8.5000000000000006E-2</v>
      </c>
      <c r="J703">
        <v>7</v>
      </c>
      <c r="K703">
        <v>1</v>
      </c>
      <c r="L703" t="s">
        <v>70</v>
      </c>
      <c r="M703" t="s">
        <v>71</v>
      </c>
      <c r="N703" t="s">
        <v>45</v>
      </c>
      <c r="O703">
        <v>7</v>
      </c>
      <c r="P703" t="s">
        <v>6</v>
      </c>
      <c r="Q703">
        <v>2.5</v>
      </c>
      <c r="R703" s="1" t="str">
        <f t="shared" si="11"/>
        <v>II</v>
      </c>
    </row>
    <row r="704" spans="1:18">
      <c r="A704">
        <v>3867</v>
      </c>
      <c r="B704" t="s">
        <v>76</v>
      </c>
      <c r="C704">
        <v>0.52500000000000002</v>
      </c>
      <c r="D704">
        <v>0.43</v>
      </c>
      <c r="E704">
        <v>0.16500000000000001</v>
      </c>
      <c r="F704">
        <v>0.71699999999999997</v>
      </c>
      <c r="G704">
        <v>0.28899999999999998</v>
      </c>
      <c r="H704">
        <v>0.17449999999999999</v>
      </c>
      <c r="I704">
        <v>0.19500000000000001</v>
      </c>
      <c r="J704">
        <v>10</v>
      </c>
      <c r="K704">
        <v>2</v>
      </c>
      <c r="L704" t="s">
        <v>49</v>
      </c>
      <c r="M704" t="s">
        <v>50</v>
      </c>
      <c r="N704" t="s">
        <v>51</v>
      </c>
      <c r="O704">
        <v>1</v>
      </c>
      <c r="P704" t="s">
        <v>4</v>
      </c>
      <c r="Q704">
        <v>22.1</v>
      </c>
      <c r="R704" s="1" t="str">
        <f t="shared" si="11"/>
        <v>II</v>
      </c>
    </row>
    <row r="705" spans="1:18">
      <c r="A705">
        <v>3729</v>
      </c>
      <c r="B705" t="s">
        <v>76</v>
      </c>
      <c r="C705">
        <v>0.51</v>
      </c>
      <c r="D705">
        <v>0.375</v>
      </c>
      <c r="E705">
        <v>0.15</v>
      </c>
      <c r="F705">
        <v>0.84150000000000003</v>
      </c>
      <c r="G705">
        <v>0.38450000000000001</v>
      </c>
      <c r="H705">
        <v>0.156</v>
      </c>
      <c r="I705">
        <v>0.255</v>
      </c>
      <c r="J705">
        <v>10</v>
      </c>
      <c r="K705">
        <v>4</v>
      </c>
      <c r="L705" t="s">
        <v>40</v>
      </c>
      <c r="M705" t="s">
        <v>41</v>
      </c>
      <c r="N705" t="s">
        <v>42</v>
      </c>
      <c r="O705">
        <v>10</v>
      </c>
      <c r="P705" t="s">
        <v>11</v>
      </c>
      <c r="Q705">
        <v>24.1</v>
      </c>
      <c r="R705" s="1" t="str">
        <f t="shared" si="11"/>
        <v>II</v>
      </c>
    </row>
    <row r="706" spans="1:18">
      <c r="A706">
        <v>265</v>
      </c>
      <c r="B706" t="s">
        <v>76</v>
      </c>
      <c r="C706">
        <v>0.27</v>
      </c>
      <c r="D706">
        <v>0.2</v>
      </c>
      <c r="E706">
        <v>0.08</v>
      </c>
      <c r="F706">
        <v>0.1205</v>
      </c>
      <c r="G706">
        <v>4.65E-2</v>
      </c>
      <c r="H706">
        <v>2.8000000000000001E-2</v>
      </c>
      <c r="I706">
        <v>0.04</v>
      </c>
      <c r="J706">
        <v>6</v>
      </c>
      <c r="K706">
        <v>8</v>
      </c>
      <c r="L706" t="s">
        <v>55</v>
      </c>
      <c r="M706" t="s">
        <v>56</v>
      </c>
      <c r="N706" t="s">
        <v>57</v>
      </c>
      <c r="O706">
        <v>4</v>
      </c>
      <c r="P706" t="s">
        <v>8</v>
      </c>
      <c r="Q706">
        <v>6.1</v>
      </c>
      <c r="R706" s="1" t="str">
        <f t="shared" si="11"/>
        <v>II</v>
      </c>
    </row>
    <row r="707" spans="1:18">
      <c r="A707">
        <v>1840</v>
      </c>
      <c r="B707" t="s">
        <v>76</v>
      </c>
      <c r="C707">
        <v>0.42</v>
      </c>
      <c r="D707">
        <v>0.32500000000000001</v>
      </c>
      <c r="E707">
        <v>0.1</v>
      </c>
      <c r="F707">
        <v>0.36799999999999999</v>
      </c>
      <c r="G707">
        <v>0.16750000000000001</v>
      </c>
      <c r="H707">
        <v>6.25E-2</v>
      </c>
      <c r="I707">
        <v>0.1135</v>
      </c>
      <c r="J707">
        <v>11</v>
      </c>
      <c r="K707">
        <v>13</v>
      </c>
      <c r="L707" t="s">
        <v>43</v>
      </c>
      <c r="M707" t="s">
        <v>44</v>
      </c>
      <c r="N707" t="s">
        <v>45</v>
      </c>
      <c r="O707">
        <v>4</v>
      </c>
      <c r="P707" t="s">
        <v>8</v>
      </c>
      <c r="Q707">
        <v>6.1</v>
      </c>
      <c r="R707" s="1" t="str">
        <f t="shared" si="11"/>
        <v>II</v>
      </c>
    </row>
    <row r="708" spans="1:18">
      <c r="A708">
        <v>3164</v>
      </c>
      <c r="B708" t="s">
        <v>76</v>
      </c>
      <c r="C708">
        <v>0.55000000000000004</v>
      </c>
      <c r="D708">
        <v>0.44</v>
      </c>
      <c r="E708">
        <v>0.125</v>
      </c>
      <c r="F708">
        <v>0.76500000000000001</v>
      </c>
      <c r="G708">
        <v>0.33</v>
      </c>
      <c r="H708">
        <v>0.21249999999999999</v>
      </c>
      <c r="I708">
        <v>0.245</v>
      </c>
      <c r="J708">
        <v>9</v>
      </c>
      <c r="K708">
        <v>1</v>
      </c>
      <c r="L708" t="s">
        <v>70</v>
      </c>
      <c r="M708" t="s">
        <v>71</v>
      </c>
      <c r="N708" t="s">
        <v>45</v>
      </c>
      <c r="O708">
        <v>1</v>
      </c>
      <c r="P708" t="s">
        <v>4</v>
      </c>
      <c r="Q708">
        <v>22.1</v>
      </c>
      <c r="R708" s="1" t="str">
        <f t="shared" si="11"/>
        <v>II</v>
      </c>
    </row>
    <row r="709" spans="1:18">
      <c r="A709">
        <v>2294</v>
      </c>
      <c r="B709" t="s">
        <v>76</v>
      </c>
      <c r="C709">
        <v>0.34</v>
      </c>
      <c r="D709">
        <v>0.26</v>
      </c>
      <c r="E709">
        <v>0.09</v>
      </c>
      <c r="F709">
        <v>0.17899999999999999</v>
      </c>
      <c r="G709">
        <v>7.5999999999999998E-2</v>
      </c>
      <c r="H709">
        <v>5.2499999999999998E-2</v>
      </c>
      <c r="I709">
        <v>5.5E-2</v>
      </c>
      <c r="J709">
        <v>6</v>
      </c>
      <c r="K709">
        <v>11</v>
      </c>
      <c r="L709" t="s">
        <v>65</v>
      </c>
      <c r="M709" t="s">
        <v>66</v>
      </c>
      <c r="N709" t="s">
        <v>45</v>
      </c>
      <c r="O709">
        <v>9</v>
      </c>
      <c r="P709" t="s">
        <v>9</v>
      </c>
      <c r="Q709">
        <v>1.9</v>
      </c>
      <c r="R709" s="1" t="str">
        <f t="shared" si="11"/>
        <v>II</v>
      </c>
    </row>
    <row r="710" spans="1:18">
      <c r="A710">
        <v>3322</v>
      </c>
      <c r="B710" t="s">
        <v>76</v>
      </c>
      <c r="C710">
        <v>0.49</v>
      </c>
      <c r="D710">
        <v>0.38500000000000001</v>
      </c>
      <c r="E710">
        <v>0.14000000000000001</v>
      </c>
      <c r="F710">
        <v>0.54249999999999998</v>
      </c>
      <c r="G710">
        <v>0.19800000000000001</v>
      </c>
      <c r="H710">
        <v>0.127</v>
      </c>
      <c r="I710">
        <v>0.17499999999999999</v>
      </c>
      <c r="J710">
        <v>11</v>
      </c>
      <c r="K710">
        <v>2</v>
      </c>
      <c r="L710" t="s">
        <v>49</v>
      </c>
      <c r="M710" t="s">
        <v>50</v>
      </c>
      <c r="N710" t="s">
        <v>51</v>
      </c>
      <c r="O710">
        <v>1</v>
      </c>
      <c r="P710" t="s">
        <v>4</v>
      </c>
      <c r="Q710">
        <v>22.1</v>
      </c>
      <c r="R710" s="1" t="str">
        <f t="shared" si="11"/>
        <v>II</v>
      </c>
    </row>
    <row r="711" spans="1:18">
      <c r="A711">
        <v>3330</v>
      </c>
      <c r="B711" t="s">
        <v>76</v>
      </c>
      <c r="C711">
        <v>0.54500000000000004</v>
      </c>
      <c r="D711">
        <v>0.435</v>
      </c>
      <c r="E711">
        <v>0.15</v>
      </c>
      <c r="F711">
        <v>0.6855</v>
      </c>
      <c r="G711">
        <v>0.29049999999999998</v>
      </c>
      <c r="H711">
        <v>0.14499999999999999</v>
      </c>
      <c r="I711">
        <v>0.22500000000000001</v>
      </c>
      <c r="J711">
        <v>10</v>
      </c>
      <c r="K711">
        <v>12</v>
      </c>
      <c r="L711" t="s">
        <v>58</v>
      </c>
      <c r="M711" t="s">
        <v>59</v>
      </c>
      <c r="N711" t="s">
        <v>45</v>
      </c>
      <c r="O711">
        <v>4</v>
      </c>
      <c r="P711" t="s">
        <v>8</v>
      </c>
      <c r="Q711">
        <v>6.1</v>
      </c>
      <c r="R711" s="1" t="str">
        <f t="shared" si="11"/>
        <v>II</v>
      </c>
    </row>
    <row r="712" spans="1:18">
      <c r="A712">
        <v>177</v>
      </c>
      <c r="B712" t="s">
        <v>76</v>
      </c>
      <c r="C712">
        <v>0.315</v>
      </c>
      <c r="D712">
        <v>0.21</v>
      </c>
      <c r="E712">
        <v>0.06</v>
      </c>
      <c r="F712">
        <v>0.125</v>
      </c>
      <c r="G712">
        <v>0.06</v>
      </c>
      <c r="H712">
        <v>3.7499999999999999E-2</v>
      </c>
      <c r="I712">
        <v>3.5000000000000003E-2</v>
      </c>
      <c r="J712">
        <v>5</v>
      </c>
      <c r="K712">
        <v>8</v>
      </c>
      <c r="L712" t="s">
        <v>55</v>
      </c>
      <c r="M712" t="s">
        <v>56</v>
      </c>
      <c r="N712" t="s">
        <v>57</v>
      </c>
      <c r="O712">
        <v>8</v>
      </c>
      <c r="P712" t="s">
        <v>13</v>
      </c>
      <c r="Q712">
        <v>12.3</v>
      </c>
      <c r="R712" s="1" t="str">
        <f t="shared" si="11"/>
        <v>II</v>
      </c>
    </row>
    <row r="713" spans="1:18">
      <c r="A713">
        <v>1770</v>
      </c>
      <c r="B713" t="s">
        <v>76</v>
      </c>
      <c r="C713">
        <v>0.44500000000000001</v>
      </c>
      <c r="D713">
        <v>0.32</v>
      </c>
      <c r="E713">
        <v>0.12</v>
      </c>
      <c r="F713">
        <v>0.41399999999999998</v>
      </c>
      <c r="G713">
        <v>0.19900000000000001</v>
      </c>
      <c r="H713">
        <v>0.09</v>
      </c>
      <c r="I713">
        <v>0.11700000000000001</v>
      </c>
      <c r="J713">
        <v>7</v>
      </c>
      <c r="K713">
        <v>10</v>
      </c>
      <c r="L713" t="s">
        <v>37</v>
      </c>
      <c r="M713" t="s">
        <v>38</v>
      </c>
      <c r="N713" t="s">
        <v>39</v>
      </c>
      <c r="O713">
        <v>6</v>
      </c>
      <c r="P713" t="s">
        <v>7</v>
      </c>
      <c r="Q713">
        <v>14.1</v>
      </c>
      <c r="R713" s="1" t="str">
        <f t="shared" si="11"/>
        <v>II</v>
      </c>
    </row>
    <row r="714" spans="1:18">
      <c r="A714">
        <v>982</v>
      </c>
      <c r="B714" t="s">
        <v>76</v>
      </c>
      <c r="C714">
        <v>0.55000000000000004</v>
      </c>
      <c r="D714">
        <v>0.43</v>
      </c>
      <c r="E714">
        <v>0.14000000000000001</v>
      </c>
      <c r="F714">
        <v>0.8105</v>
      </c>
      <c r="G714">
        <v>0.36799999999999999</v>
      </c>
      <c r="H714">
        <v>0.161</v>
      </c>
      <c r="I714">
        <v>0.27500000000000002</v>
      </c>
      <c r="J714">
        <v>9</v>
      </c>
      <c r="K714">
        <v>13</v>
      </c>
      <c r="L714" t="s">
        <v>43</v>
      </c>
      <c r="M714" t="s">
        <v>44</v>
      </c>
      <c r="N714" t="s">
        <v>45</v>
      </c>
      <c r="O714">
        <v>2</v>
      </c>
      <c r="P714" t="s">
        <v>5</v>
      </c>
      <c r="Q714">
        <v>18</v>
      </c>
      <c r="R714" s="1" t="str">
        <f t="shared" si="11"/>
        <v>II</v>
      </c>
    </row>
    <row r="715" spans="1:18">
      <c r="A715">
        <v>4062</v>
      </c>
      <c r="B715" t="s">
        <v>76</v>
      </c>
      <c r="C715">
        <v>0.62</v>
      </c>
      <c r="D715">
        <v>0.46500000000000002</v>
      </c>
      <c r="E715">
        <v>0.14499999999999999</v>
      </c>
      <c r="F715">
        <v>0.91100000000000003</v>
      </c>
      <c r="G715">
        <v>0.375</v>
      </c>
      <c r="H715">
        <v>0.2145</v>
      </c>
      <c r="I715">
        <v>0.27800000000000002</v>
      </c>
      <c r="J715">
        <v>10</v>
      </c>
      <c r="K715">
        <v>9</v>
      </c>
      <c r="L715" t="s">
        <v>34</v>
      </c>
      <c r="M715" t="s">
        <v>35</v>
      </c>
      <c r="N715" t="s">
        <v>36</v>
      </c>
      <c r="O715">
        <v>7</v>
      </c>
      <c r="P715" t="s">
        <v>6</v>
      </c>
      <c r="Q715">
        <v>2.5</v>
      </c>
      <c r="R715" s="1" t="str">
        <f t="shared" ref="R715:R778" si="12">IF(OR(AND(J715 &gt; 15, B715 = "Infant"), AND(D715 = "Male", C715 &gt; 0.75),
    OR(I715 &gt; 0.8, G715 &gt; 0.5), G715 &gt; 1.2),
    "I",
    IF(OR(AND(I715 &lt; 0.4, G715 &lt; 0.4), AND(J715 &gt; 15, D715 = "Male"), AND(J715 &gt; 18, D715 = "Female"), C715 &lt; 0.36),
    "II",
    "III"))</f>
        <v>II</v>
      </c>
    </row>
    <row r="716" spans="1:18">
      <c r="A716">
        <v>3907</v>
      </c>
      <c r="B716" t="s">
        <v>76</v>
      </c>
      <c r="C716">
        <v>0.245</v>
      </c>
      <c r="D716">
        <v>0.18</v>
      </c>
      <c r="E716">
        <v>6.5000000000000002E-2</v>
      </c>
      <c r="F716">
        <v>6.3500000000000001E-2</v>
      </c>
      <c r="G716">
        <v>2.4500000000000001E-2</v>
      </c>
      <c r="H716">
        <v>1.35E-2</v>
      </c>
      <c r="I716">
        <v>0.02</v>
      </c>
      <c r="J716">
        <v>4</v>
      </c>
      <c r="K716">
        <v>12</v>
      </c>
      <c r="L716" t="s">
        <v>58</v>
      </c>
      <c r="M716" t="s">
        <v>59</v>
      </c>
      <c r="N716" t="s">
        <v>45</v>
      </c>
      <c r="O716">
        <v>3</v>
      </c>
      <c r="P716" t="s">
        <v>10</v>
      </c>
      <c r="Q716">
        <v>3.6</v>
      </c>
      <c r="R716" s="1" t="str">
        <f t="shared" si="12"/>
        <v>II</v>
      </c>
    </row>
    <row r="717" spans="1:18">
      <c r="A717">
        <v>2331</v>
      </c>
      <c r="B717" t="s">
        <v>76</v>
      </c>
      <c r="C717">
        <v>0.42</v>
      </c>
      <c r="D717">
        <v>0.34499999999999997</v>
      </c>
      <c r="E717">
        <v>0.115</v>
      </c>
      <c r="F717">
        <v>0.34350000000000003</v>
      </c>
      <c r="G717">
        <v>0.1515</v>
      </c>
      <c r="H717">
        <v>7.9500000000000001E-2</v>
      </c>
      <c r="I717">
        <v>0.115</v>
      </c>
      <c r="J717">
        <v>9</v>
      </c>
      <c r="K717">
        <v>3</v>
      </c>
      <c r="L717" t="s">
        <v>52</v>
      </c>
      <c r="M717" t="s">
        <v>53</v>
      </c>
      <c r="N717" t="s">
        <v>54</v>
      </c>
      <c r="O717">
        <v>2</v>
      </c>
      <c r="P717" t="s">
        <v>5</v>
      </c>
      <c r="Q717">
        <v>18</v>
      </c>
      <c r="R717" s="1" t="str">
        <f t="shared" si="12"/>
        <v>II</v>
      </c>
    </row>
    <row r="718" spans="1:18">
      <c r="A718">
        <v>1562</v>
      </c>
      <c r="B718" t="s">
        <v>76</v>
      </c>
      <c r="C718">
        <v>0.45</v>
      </c>
      <c r="D718">
        <v>0.34</v>
      </c>
      <c r="E718">
        <v>9.5000000000000001E-2</v>
      </c>
      <c r="F718">
        <v>0.32450000000000001</v>
      </c>
      <c r="G718">
        <v>0.13850000000000001</v>
      </c>
      <c r="H718">
        <v>6.4000000000000001E-2</v>
      </c>
      <c r="I718">
        <v>0.105</v>
      </c>
      <c r="J718">
        <v>8</v>
      </c>
      <c r="K718">
        <v>7</v>
      </c>
      <c r="L718" t="s">
        <v>62</v>
      </c>
      <c r="M718" t="s">
        <v>63</v>
      </c>
      <c r="N718" t="s">
        <v>64</v>
      </c>
      <c r="O718">
        <v>7</v>
      </c>
      <c r="P718" t="s">
        <v>6</v>
      </c>
      <c r="Q718">
        <v>2.5</v>
      </c>
      <c r="R718" s="1" t="str">
        <f t="shared" si="12"/>
        <v>II</v>
      </c>
    </row>
    <row r="719" spans="1:18">
      <c r="A719">
        <v>65</v>
      </c>
      <c r="B719" t="s">
        <v>76</v>
      </c>
      <c r="C719">
        <v>0.52</v>
      </c>
      <c r="D719">
        <v>0.4</v>
      </c>
      <c r="E719">
        <v>0.12</v>
      </c>
      <c r="F719">
        <v>0.57999999999999996</v>
      </c>
      <c r="G719">
        <v>0.23400000000000001</v>
      </c>
      <c r="H719">
        <v>0.13150000000000001</v>
      </c>
      <c r="I719">
        <v>0.185</v>
      </c>
      <c r="J719">
        <v>8</v>
      </c>
      <c r="K719">
        <v>4</v>
      </c>
      <c r="L719" t="s">
        <v>40</v>
      </c>
      <c r="M719" t="s">
        <v>41</v>
      </c>
      <c r="N719" t="s">
        <v>42</v>
      </c>
      <c r="O719">
        <v>7</v>
      </c>
      <c r="P719" t="s">
        <v>6</v>
      </c>
      <c r="Q719">
        <v>2.5</v>
      </c>
      <c r="R719" s="1" t="str">
        <f t="shared" si="12"/>
        <v>II</v>
      </c>
    </row>
    <row r="720" spans="1:18">
      <c r="A720">
        <v>942</v>
      </c>
      <c r="B720" t="s">
        <v>76</v>
      </c>
      <c r="C720">
        <v>0.46500000000000002</v>
      </c>
      <c r="D720">
        <v>0.36499999999999999</v>
      </c>
      <c r="E720">
        <v>0.115</v>
      </c>
      <c r="F720">
        <v>0.46700000000000003</v>
      </c>
      <c r="G720">
        <v>0.23150000000000001</v>
      </c>
      <c r="H720">
        <v>9.2499999999999999E-2</v>
      </c>
      <c r="I720">
        <v>0.113</v>
      </c>
      <c r="J720">
        <v>7</v>
      </c>
      <c r="K720">
        <v>8</v>
      </c>
      <c r="L720" t="s">
        <v>55</v>
      </c>
      <c r="M720" t="s">
        <v>56</v>
      </c>
      <c r="N720" t="s">
        <v>57</v>
      </c>
      <c r="O720">
        <v>5</v>
      </c>
      <c r="P720" t="s">
        <v>12</v>
      </c>
      <c r="Q720">
        <v>12.8</v>
      </c>
      <c r="R720" s="1" t="str">
        <f t="shared" si="12"/>
        <v>II</v>
      </c>
    </row>
    <row r="721" spans="1:18">
      <c r="A721">
        <v>3524</v>
      </c>
      <c r="B721" t="s">
        <v>76</v>
      </c>
      <c r="C721">
        <v>0.26</v>
      </c>
      <c r="D721">
        <v>0.20499999999999999</v>
      </c>
      <c r="E721">
        <v>7.0000000000000007E-2</v>
      </c>
      <c r="F721">
        <v>9.7000000000000003E-2</v>
      </c>
      <c r="G721">
        <v>4.1500000000000002E-2</v>
      </c>
      <c r="H721">
        <v>1.9E-2</v>
      </c>
      <c r="I721">
        <v>3.0499999999999999E-2</v>
      </c>
      <c r="J721">
        <v>4</v>
      </c>
      <c r="K721">
        <v>6</v>
      </c>
      <c r="L721" t="s">
        <v>46</v>
      </c>
      <c r="M721" t="s">
        <v>47</v>
      </c>
      <c r="N721" t="s">
        <v>48</v>
      </c>
      <c r="O721">
        <v>10</v>
      </c>
      <c r="P721" t="s">
        <v>11</v>
      </c>
      <c r="Q721">
        <v>24.1</v>
      </c>
      <c r="R721" s="1" t="str">
        <f t="shared" si="12"/>
        <v>II</v>
      </c>
    </row>
    <row r="722" spans="1:18">
      <c r="A722">
        <v>3332</v>
      </c>
      <c r="B722" t="s">
        <v>76</v>
      </c>
      <c r="C722">
        <v>0.51</v>
      </c>
      <c r="D722">
        <v>0.34</v>
      </c>
      <c r="E722">
        <v>0.18</v>
      </c>
      <c r="F722">
        <v>0.70050000000000001</v>
      </c>
      <c r="G722">
        <v>0.312</v>
      </c>
      <c r="H722">
        <v>0.16500000000000001</v>
      </c>
      <c r="I722">
        <v>0.2</v>
      </c>
      <c r="J722">
        <v>11</v>
      </c>
      <c r="K722">
        <v>5</v>
      </c>
      <c r="L722" t="s">
        <v>67</v>
      </c>
      <c r="M722" t="s">
        <v>68</v>
      </c>
      <c r="N722" t="s">
        <v>69</v>
      </c>
      <c r="O722">
        <v>1</v>
      </c>
      <c r="P722" t="s">
        <v>4</v>
      </c>
      <c r="Q722">
        <v>22.1</v>
      </c>
      <c r="R722" s="1" t="str">
        <f t="shared" si="12"/>
        <v>II</v>
      </c>
    </row>
    <row r="723" spans="1:18">
      <c r="A723">
        <v>27</v>
      </c>
      <c r="B723" t="s">
        <v>76</v>
      </c>
      <c r="C723">
        <v>0.57999999999999996</v>
      </c>
      <c r="D723">
        <v>0.45</v>
      </c>
      <c r="E723">
        <v>0.185</v>
      </c>
      <c r="F723">
        <v>0.99550000000000005</v>
      </c>
      <c r="G723">
        <v>0.39450000000000002</v>
      </c>
      <c r="H723">
        <v>0.27200000000000002</v>
      </c>
      <c r="I723">
        <v>0.28499999999999998</v>
      </c>
      <c r="J723">
        <v>11</v>
      </c>
      <c r="K723">
        <v>14</v>
      </c>
      <c r="L723" t="s">
        <v>72</v>
      </c>
      <c r="M723" t="s">
        <v>73</v>
      </c>
      <c r="N723" t="s">
        <v>74</v>
      </c>
      <c r="O723">
        <v>8</v>
      </c>
      <c r="P723" t="s">
        <v>13</v>
      </c>
      <c r="Q723">
        <v>12.3</v>
      </c>
      <c r="R723" s="1" t="str">
        <f t="shared" si="12"/>
        <v>II</v>
      </c>
    </row>
    <row r="724" spans="1:18">
      <c r="A724">
        <v>2402</v>
      </c>
      <c r="B724" t="s">
        <v>76</v>
      </c>
      <c r="C724">
        <v>0.58499999999999996</v>
      </c>
      <c r="D724">
        <v>0.41499999999999998</v>
      </c>
      <c r="E724">
        <v>0.155</v>
      </c>
      <c r="F724">
        <v>0.69850000000000001</v>
      </c>
      <c r="G724">
        <v>0.3</v>
      </c>
      <c r="H724">
        <v>0.14599999999999999</v>
      </c>
      <c r="I724">
        <v>0.19500000000000001</v>
      </c>
      <c r="J724">
        <v>12</v>
      </c>
      <c r="K724">
        <v>4</v>
      </c>
      <c r="L724" t="s">
        <v>40</v>
      </c>
      <c r="M724" t="s">
        <v>41</v>
      </c>
      <c r="N724" t="s">
        <v>42</v>
      </c>
      <c r="O724">
        <v>4</v>
      </c>
      <c r="P724" t="s">
        <v>8</v>
      </c>
      <c r="Q724">
        <v>6.1</v>
      </c>
      <c r="R724" s="1" t="str">
        <f t="shared" si="12"/>
        <v>II</v>
      </c>
    </row>
    <row r="725" spans="1:18">
      <c r="A725">
        <v>24</v>
      </c>
      <c r="B725" t="s">
        <v>76</v>
      </c>
      <c r="C725">
        <v>0.55000000000000004</v>
      </c>
      <c r="D725">
        <v>0.41499999999999998</v>
      </c>
      <c r="E725">
        <v>0.13500000000000001</v>
      </c>
      <c r="F725">
        <v>0.76349999999999996</v>
      </c>
      <c r="G725">
        <v>0.318</v>
      </c>
      <c r="H725">
        <v>0.21</v>
      </c>
      <c r="I725">
        <v>0.2</v>
      </c>
      <c r="J725">
        <v>9</v>
      </c>
      <c r="K725">
        <v>7</v>
      </c>
      <c r="L725" t="s">
        <v>62</v>
      </c>
      <c r="M725" t="s">
        <v>63</v>
      </c>
      <c r="N725" t="s">
        <v>64</v>
      </c>
      <c r="O725">
        <v>8</v>
      </c>
      <c r="P725" t="s">
        <v>13</v>
      </c>
      <c r="Q725">
        <v>12.3</v>
      </c>
      <c r="R725" s="1" t="str">
        <f t="shared" si="12"/>
        <v>II</v>
      </c>
    </row>
    <row r="726" spans="1:18">
      <c r="A726">
        <v>2118</v>
      </c>
      <c r="B726" t="s">
        <v>76</v>
      </c>
      <c r="C726">
        <v>0.375</v>
      </c>
      <c r="D726">
        <v>0.28999999999999998</v>
      </c>
      <c r="E726">
        <v>0.08</v>
      </c>
      <c r="F726">
        <v>0.28199999999999997</v>
      </c>
      <c r="G726">
        <v>0.14050000000000001</v>
      </c>
      <c r="H726">
        <v>7.2499999999999995E-2</v>
      </c>
      <c r="I726">
        <v>0.08</v>
      </c>
      <c r="J726">
        <v>7</v>
      </c>
      <c r="K726">
        <v>10</v>
      </c>
      <c r="L726" t="s">
        <v>37</v>
      </c>
      <c r="M726" t="s">
        <v>38</v>
      </c>
      <c r="N726" t="s">
        <v>39</v>
      </c>
      <c r="O726">
        <v>4</v>
      </c>
      <c r="P726" t="s">
        <v>8</v>
      </c>
      <c r="Q726">
        <v>6.1</v>
      </c>
      <c r="R726" s="1" t="str">
        <f t="shared" si="12"/>
        <v>II</v>
      </c>
    </row>
    <row r="727" spans="1:18">
      <c r="A727">
        <v>737</v>
      </c>
      <c r="B727" t="s">
        <v>76</v>
      </c>
      <c r="C727">
        <v>0.52</v>
      </c>
      <c r="D727">
        <v>0.38500000000000001</v>
      </c>
      <c r="E727">
        <v>0.115</v>
      </c>
      <c r="F727">
        <v>0.66900000000000004</v>
      </c>
      <c r="G727">
        <v>0.23849999999999999</v>
      </c>
      <c r="H727">
        <v>0.17199999999999999</v>
      </c>
      <c r="I727">
        <v>0.20499999999999999</v>
      </c>
      <c r="J727">
        <v>12</v>
      </c>
      <c r="K727">
        <v>7</v>
      </c>
      <c r="L727" t="s">
        <v>62</v>
      </c>
      <c r="M727" t="s">
        <v>63</v>
      </c>
      <c r="N727" t="s">
        <v>64</v>
      </c>
      <c r="O727">
        <v>2</v>
      </c>
      <c r="P727" t="s">
        <v>5</v>
      </c>
      <c r="Q727">
        <v>18</v>
      </c>
      <c r="R727" s="1" t="str">
        <f t="shared" si="12"/>
        <v>II</v>
      </c>
    </row>
    <row r="728" spans="1:18">
      <c r="A728">
        <v>4169</v>
      </c>
      <c r="B728" t="s">
        <v>76</v>
      </c>
      <c r="C728">
        <v>0.51500000000000001</v>
      </c>
      <c r="D728">
        <v>0.4</v>
      </c>
      <c r="E728">
        <v>0.125</v>
      </c>
      <c r="F728">
        <v>0.61499999999999999</v>
      </c>
      <c r="G728">
        <v>0.28649999999999998</v>
      </c>
      <c r="H728">
        <v>0.123</v>
      </c>
      <c r="I728">
        <v>0.17649999999999999</v>
      </c>
      <c r="J728">
        <v>8</v>
      </c>
      <c r="K728">
        <v>5</v>
      </c>
      <c r="L728" t="s">
        <v>67</v>
      </c>
      <c r="M728" t="s">
        <v>68</v>
      </c>
      <c r="N728" t="s">
        <v>69</v>
      </c>
      <c r="O728">
        <v>10</v>
      </c>
      <c r="P728" t="s">
        <v>11</v>
      </c>
      <c r="Q728">
        <v>24.1</v>
      </c>
      <c r="R728" s="1" t="str">
        <f t="shared" si="12"/>
        <v>II</v>
      </c>
    </row>
    <row r="729" spans="1:18">
      <c r="A729">
        <v>2788</v>
      </c>
      <c r="B729" t="s">
        <v>76</v>
      </c>
      <c r="C729">
        <v>0.61</v>
      </c>
      <c r="D729">
        <v>0.45</v>
      </c>
      <c r="E729">
        <v>0.13</v>
      </c>
      <c r="F729">
        <v>0.87250000000000005</v>
      </c>
      <c r="G729">
        <v>0.38900000000000001</v>
      </c>
      <c r="H729">
        <v>0.17150000000000001</v>
      </c>
      <c r="I729">
        <v>0.27200000000000002</v>
      </c>
      <c r="J729">
        <v>11</v>
      </c>
      <c r="K729">
        <v>5</v>
      </c>
      <c r="L729" t="s">
        <v>67</v>
      </c>
      <c r="M729" t="s">
        <v>68</v>
      </c>
      <c r="N729" t="s">
        <v>69</v>
      </c>
      <c r="O729">
        <v>5</v>
      </c>
      <c r="P729" t="s">
        <v>12</v>
      </c>
      <c r="Q729">
        <v>12.8</v>
      </c>
      <c r="R729" s="1" t="str">
        <f t="shared" si="12"/>
        <v>II</v>
      </c>
    </row>
    <row r="730" spans="1:18">
      <c r="A730">
        <v>306</v>
      </c>
      <c r="B730" t="s">
        <v>76</v>
      </c>
      <c r="C730">
        <v>0.2</v>
      </c>
      <c r="D730">
        <v>0.14499999999999999</v>
      </c>
      <c r="E730">
        <v>0.06</v>
      </c>
      <c r="F730">
        <v>3.6999999999999998E-2</v>
      </c>
      <c r="G730">
        <v>1.2500000000000001E-2</v>
      </c>
      <c r="H730">
        <v>9.4999999999999998E-3</v>
      </c>
      <c r="I730">
        <v>1.0999999999999999E-2</v>
      </c>
      <c r="J730">
        <v>4</v>
      </c>
      <c r="K730">
        <v>6</v>
      </c>
      <c r="L730" t="s">
        <v>46</v>
      </c>
      <c r="M730" t="s">
        <v>47</v>
      </c>
      <c r="N730" t="s">
        <v>48</v>
      </c>
      <c r="O730">
        <v>1</v>
      </c>
      <c r="P730" t="s">
        <v>4</v>
      </c>
      <c r="Q730">
        <v>22.1</v>
      </c>
      <c r="R730" s="1" t="str">
        <f t="shared" si="12"/>
        <v>II</v>
      </c>
    </row>
    <row r="731" spans="1:18">
      <c r="A731">
        <v>3399</v>
      </c>
      <c r="B731" t="s">
        <v>76</v>
      </c>
      <c r="C731">
        <v>0.36499999999999999</v>
      </c>
      <c r="D731">
        <v>0.28499999999999998</v>
      </c>
      <c r="E731">
        <v>8.5000000000000006E-2</v>
      </c>
      <c r="F731">
        <v>0.2205</v>
      </c>
      <c r="G731">
        <v>8.5500000000000007E-2</v>
      </c>
      <c r="H731">
        <v>5.1499999999999997E-2</v>
      </c>
      <c r="I731">
        <v>7.0000000000000007E-2</v>
      </c>
      <c r="J731">
        <v>9</v>
      </c>
      <c r="K731">
        <v>5</v>
      </c>
      <c r="L731" t="s">
        <v>67</v>
      </c>
      <c r="M731" t="s">
        <v>68</v>
      </c>
      <c r="N731" t="s">
        <v>69</v>
      </c>
      <c r="O731">
        <v>2</v>
      </c>
      <c r="P731" t="s">
        <v>5</v>
      </c>
      <c r="Q731">
        <v>18</v>
      </c>
      <c r="R731" s="1" t="str">
        <f t="shared" si="12"/>
        <v>II</v>
      </c>
    </row>
    <row r="732" spans="1:18">
      <c r="A732">
        <v>2453</v>
      </c>
      <c r="B732" t="s">
        <v>76</v>
      </c>
      <c r="C732">
        <v>0.39500000000000002</v>
      </c>
      <c r="D732">
        <v>0.30499999999999999</v>
      </c>
      <c r="E732">
        <v>0.105</v>
      </c>
      <c r="F732">
        <v>0.28199999999999997</v>
      </c>
      <c r="G732">
        <v>9.7500000000000003E-2</v>
      </c>
      <c r="H732">
        <v>6.5000000000000002E-2</v>
      </c>
      <c r="I732">
        <v>9.6000000000000002E-2</v>
      </c>
      <c r="J732">
        <v>9</v>
      </c>
      <c r="K732">
        <v>2</v>
      </c>
      <c r="L732" t="s">
        <v>49</v>
      </c>
      <c r="M732" t="s">
        <v>50</v>
      </c>
      <c r="N732" t="s">
        <v>51</v>
      </c>
      <c r="O732">
        <v>1</v>
      </c>
      <c r="P732" t="s">
        <v>4</v>
      </c>
      <c r="Q732">
        <v>22.1</v>
      </c>
      <c r="R732" s="1" t="str">
        <f t="shared" si="12"/>
        <v>II</v>
      </c>
    </row>
    <row r="733" spans="1:18">
      <c r="A733">
        <v>508</v>
      </c>
      <c r="B733" t="s">
        <v>76</v>
      </c>
      <c r="C733">
        <v>0.58499999999999996</v>
      </c>
      <c r="D733">
        <v>0.45500000000000002</v>
      </c>
      <c r="E733">
        <v>0.22500000000000001</v>
      </c>
      <c r="F733">
        <v>1.0549999999999999</v>
      </c>
      <c r="G733">
        <v>0.38150000000000001</v>
      </c>
      <c r="H733">
        <v>0.221</v>
      </c>
      <c r="I733">
        <v>0.36499999999999999</v>
      </c>
      <c r="J733">
        <v>15</v>
      </c>
      <c r="K733">
        <v>4</v>
      </c>
      <c r="L733" t="s">
        <v>40</v>
      </c>
      <c r="M733" t="s">
        <v>41</v>
      </c>
      <c r="N733" t="s">
        <v>42</v>
      </c>
      <c r="O733">
        <v>4</v>
      </c>
      <c r="P733" t="s">
        <v>8</v>
      </c>
      <c r="Q733">
        <v>6.1</v>
      </c>
      <c r="R733" s="1" t="str">
        <f t="shared" si="12"/>
        <v>II</v>
      </c>
    </row>
    <row r="734" spans="1:18">
      <c r="A734">
        <v>3566</v>
      </c>
      <c r="B734" t="s">
        <v>76</v>
      </c>
      <c r="C734">
        <v>0.57499999999999996</v>
      </c>
      <c r="D734">
        <v>0.47499999999999998</v>
      </c>
      <c r="E734">
        <v>0.16</v>
      </c>
      <c r="F734">
        <v>0.89500000000000002</v>
      </c>
      <c r="G734">
        <v>0.36049999999999999</v>
      </c>
      <c r="H734">
        <v>0.221</v>
      </c>
      <c r="I734">
        <v>0.27100000000000002</v>
      </c>
      <c r="J734">
        <v>9</v>
      </c>
      <c r="K734">
        <v>13</v>
      </c>
      <c r="L734" t="s">
        <v>43</v>
      </c>
      <c r="M734" t="s">
        <v>44</v>
      </c>
      <c r="N734" t="s">
        <v>45</v>
      </c>
      <c r="O734">
        <v>5</v>
      </c>
      <c r="P734" t="s">
        <v>12</v>
      </c>
      <c r="Q734">
        <v>12.8</v>
      </c>
      <c r="R734" s="1" t="str">
        <f t="shared" si="12"/>
        <v>II</v>
      </c>
    </row>
    <row r="735" spans="1:18">
      <c r="A735">
        <v>2555</v>
      </c>
      <c r="B735" t="s">
        <v>76</v>
      </c>
      <c r="C735">
        <v>0.34</v>
      </c>
      <c r="D735">
        <v>0.26500000000000001</v>
      </c>
      <c r="E735">
        <v>7.0000000000000007E-2</v>
      </c>
      <c r="F735">
        <v>0.185</v>
      </c>
      <c r="G735">
        <v>6.25E-2</v>
      </c>
      <c r="H735">
        <v>3.95E-2</v>
      </c>
      <c r="I735">
        <v>7.0000000000000007E-2</v>
      </c>
      <c r="J735">
        <v>7</v>
      </c>
      <c r="K735">
        <v>1</v>
      </c>
      <c r="L735" t="s">
        <v>70</v>
      </c>
      <c r="M735" t="s">
        <v>71</v>
      </c>
      <c r="N735" t="s">
        <v>45</v>
      </c>
      <c r="O735">
        <v>10</v>
      </c>
      <c r="P735" t="s">
        <v>11</v>
      </c>
      <c r="Q735">
        <v>24.1</v>
      </c>
      <c r="R735" s="1" t="str">
        <f t="shared" si="12"/>
        <v>II</v>
      </c>
    </row>
    <row r="736" spans="1:18">
      <c r="A736">
        <v>1632</v>
      </c>
      <c r="B736" t="s">
        <v>76</v>
      </c>
      <c r="C736">
        <v>0.56999999999999995</v>
      </c>
      <c r="D736">
        <v>0.44500000000000001</v>
      </c>
      <c r="E736">
        <v>0.14499999999999999</v>
      </c>
      <c r="F736">
        <v>0.74050000000000005</v>
      </c>
      <c r="G736">
        <v>0.30599999999999999</v>
      </c>
      <c r="H736">
        <v>0.17199999999999999</v>
      </c>
      <c r="I736">
        <v>0.1825</v>
      </c>
      <c r="J736">
        <v>12</v>
      </c>
      <c r="K736">
        <v>9</v>
      </c>
      <c r="L736" t="s">
        <v>34</v>
      </c>
      <c r="M736" t="s">
        <v>35</v>
      </c>
      <c r="N736" t="s">
        <v>36</v>
      </c>
      <c r="O736">
        <v>8</v>
      </c>
      <c r="P736" t="s">
        <v>13</v>
      </c>
      <c r="Q736">
        <v>12.3</v>
      </c>
      <c r="R736" s="1" t="str">
        <f t="shared" si="12"/>
        <v>II</v>
      </c>
    </row>
    <row r="737" spans="1:18">
      <c r="A737">
        <v>1087</v>
      </c>
      <c r="B737" t="s">
        <v>76</v>
      </c>
      <c r="C737">
        <v>0.44500000000000001</v>
      </c>
      <c r="D737">
        <v>0.33500000000000002</v>
      </c>
      <c r="E737">
        <v>0.11</v>
      </c>
      <c r="F737">
        <v>0.41099999999999998</v>
      </c>
      <c r="G737">
        <v>0.19850000000000001</v>
      </c>
      <c r="H737">
        <v>9.35E-2</v>
      </c>
      <c r="I737">
        <v>0.109</v>
      </c>
      <c r="J737">
        <v>8</v>
      </c>
      <c r="K737">
        <v>10</v>
      </c>
      <c r="L737" t="s">
        <v>37</v>
      </c>
      <c r="M737" t="s">
        <v>38</v>
      </c>
      <c r="N737" t="s">
        <v>39</v>
      </c>
      <c r="O737">
        <v>7</v>
      </c>
      <c r="P737" t="s">
        <v>6</v>
      </c>
      <c r="Q737">
        <v>2.5</v>
      </c>
      <c r="R737" s="1" t="str">
        <f t="shared" si="12"/>
        <v>II</v>
      </c>
    </row>
    <row r="738" spans="1:18">
      <c r="A738">
        <v>3231</v>
      </c>
      <c r="B738" t="s">
        <v>76</v>
      </c>
      <c r="C738">
        <v>0.56999999999999995</v>
      </c>
      <c r="D738">
        <v>0.45500000000000002</v>
      </c>
      <c r="E738">
        <v>0.15</v>
      </c>
      <c r="F738">
        <v>0.96</v>
      </c>
      <c r="G738">
        <v>0.38700000000000001</v>
      </c>
      <c r="H738">
        <v>0.23849999999999999</v>
      </c>
      <c r="I738">
        <v>0.27500000000000002</v>
      </c>
      <c r="J738">
        <v>11</v>
      </c>
      <c r="K738">
        <v>14</v>
      </c>
      <c r="L738" t="s">
        <v>72</v>
      </c>
      <c r="M738" t="s">
        <v>73</v>
      </c>
      <c r="N738" t="s">
        <v>74</v>
      </c>
      <c r="O738">
        <v>6</v>
      </c>
      <c r="P738" t="s">
        <v>7</v>
      </c>
      <c r="Q738">
        <v>14.1</v>
      </c>
      <c r="R738" s="1" t="str">
        <f t="shared" si="12"/>
        <v>II</v>
      </c>
    </row>
    <row r="739" spans="1:18">
      <c r="A739">
        <v>3645</v>
      </c>
      <c r="B739" t="s">
        <v>76</v>
      </c>
      <c r="C739">
        <v>0.47499999999999998</v>
      </c>
      <c r="D739">
        <v>0.36499999999999999</v>
      </c>
      <c r="E739">
        <v>0.105</v>
      </c>
      <c r="F739">
        <v>0.41749999999999998</v>
      </c>
      <c r="G739">
        <v>0.16450000000000001</v>
      </c>
      <c r="H739">
        <v>9.9000000000000005E-2</v>
      </c>
      <c r="I739">
        <v>0.127</v>
      </c>
      <c r="J739">
        <v>7</v>
      </c>
      <c r="K739">
        <v>9</v>
      </c>
      <c r="L739" t="s">
        <v>34</v>
      </c>
      <c r="M739" t="s">
        <v>35</v>
      </c>
      <c r="N739" t="s">
        <v>36</v>
      </c>
      <c r="O739">
        <v>9</v>
      </c>
      <c r="P739" t="s">
        <v>9</v>
      </c>
      <c r="Q739">
        <v>1.9</v>
      </c>
      <c r="R739" s="1" t="str">
        <f t="shared" si="12"/>
        <v>II</v>
      </c>
    </row>
    <row r="740" spans="1:18">
      <c r="A740">
        <v>2720</v>
      </c>
      <c r="B740" t="s">
        <v>76</v>
      </c>
      <c r="C740">
        <v>0.36</v>
      </c>
      <c r="D740">
        <v>0.26</v>
      </c>
      <c r="E740">
        <v>0.08</v>
      </c>
      <c r="F740">
        <v>0.17949999999999999</v>
      </c>
      <c r="G740">
        <v>7.3999999999999996E-2</v>
      </c>
      <c r="H740">
        <v>3.15E-2</v>
      </c>
      <c r="I740">
        <v>0.06</v>
      </c>
      <c r="J740">
        <v>5</v>
      </c>
      <c r="K740">
        <v>7</v>
      </c>
      <c r="L740" t="s">
        <v>62</v>
      </c>
      <c r="M740" t="s">
        <v>63</v>
      </c>
      <c r="N740" t="s">
        <v>64</v>
      </c>
      <c r="O740">
        <v>6</v>
      </c>
      <c r="P740" t="s">
        <v>7</v>
      </c>
      <c r="Q740">
        <v>14.1</v>
      </c>
      <c r="R740" s="1" t="str">
        <f t="shared" si="12"/>
        <v>II</v>
      </c>
    </row>
    <row r="741" spans="1:18">
      <c r="A741">
        <v>776</v>
      </c>
      <c r="B741" t="s">
        <v>76</v>
      </c>
      <c r="C741">
        <v>0.53</v>
      </c>
      <c r="D741">
        <v>0.41</v>
      </c>
      <c r="E741">
        <v>0.16500000000000001</v>
      </c>
      <c r="F741">
        <v>0.73199999999999998</v>
      </c>
      <c r="G741">
        <v>0.189</v>
      </c>
      <c r="H741">
        <v>0.17</v>
      </c>
      <c r="I741">
        <v>0.31</v>
      </c>
      <c r="J741">
        <v>11</v>
      </c>
      <c r="K741">
        <v>2</v>
      </c>
      <c r="L741" t="s">
        <v>49</v>
      </c>
      <c r="M741" t="s">
        <v>50</v>
      </c>
      <c r="N741" t="s">
        <v>51</v>
      </c>
      <c r="O741">
        <v>6</v>
      </c>
      <c r="P741" t="s">
        <v>7</v>
      </c>
      <c r="Q741">
        <v>14.1</v>
      </c>
      <c r="R741" s="1" t="str">
        <f t="shared" si="12"/>
        <v>II</v>
      </c>
    </row>
    <row r="742" spans="1:18">
      <c r="A742">
        <v>3731</v>
      </c>
      <c r="B742" t="s">
        <v>76</v>
      </c>
      <c r="C742">
        <v>0.51500000000000001</v>
      </c>
      <c r="D742">
        <v>0.37</v>
      </c>
      <c r="E742">
        <v>0.115</v>
      </c>
      <c r="F742">
        <v>0.61450000000000005</v>
      </c>
      <c r="G742">
        <v>0.34150000000000003</v>
      </c>
      <c r="H742">
        <v>0.155</v>
      </c>
      <c r="I742">
        <v>0.14599999999999999</v>
      </c>
      <c r="J742">
        <v>9</v>
      </c>
      <c r="K742">
        <v>8</v>
      </c>
      <c r="L742" t="s">
        <v>55</v>
      </c>
      <c r="M742" t="s">
        <v>56</v>
      </c>
      <c r="N742" t="s">
        <v>57</v>
      </c>
      <c r="O742">
        <v>9</v>
      </c>
      <c r="P742" t="s">
        <v>9</v>
      </c>
      <c r="Q742">
        <v>1.9</v>
      </c>
      <c r="R742" s="1" t="str">
        <f t="shared" si="12"/>
        <v>II</v>
      </c>
    </row>
    <row r="743" spans="1:18">
      <c r="A743">
        <v>779</v>
      </c>
      <c r="B743" t="s">
        <v>76</v>
      </c>
      <c r="C743">
        <v>0.46500000000000002</v>
      </c>
      <c r="D743">
        <v>0.35</v>
      </c>
      <c r="E743">
        <v>0.14000000000000001</v>
      </c>
      <c r="F743">
        <v>0.57550000000000001</v>
      </c>
      <c r="G743">
        <v>0.20150000000000001</v>
      </c>
      <c r="H743">
        <v>0.15049999999999999</v>
      </c>
      <c r="I743">
        <v>0.19</v>
      </c>
      <c r="J743">
        <v>15</v>
      </c>
      <c r="K743">
        <v>12</v>
      </c>
      <c r="L743" t="s">
        <v>58</v>
      </c>
      <c r="M743" t="s">
        <v>59</v>
      </c>
      <c r="N743" t="s">
        <v>45</v>
      </c>
      <c r="O743">
        <v>4</v>
      </c>
      <c r="P743" t="s">
        <v>8</v>
      </c>
      <c r="Q743">
        <v>6.1</v>
      </c>
      <c r="R743" s="1" t="str">
        <f t="shared" si="12"/>
        <v>II</v>
      </c>
    </row>
    <row r="744" spans="1:18">
      <c r="A744">
        <v>424</v>
      </c>
      <c r="B744" t="s">
        <v>76</v>
      </c>
      <c r="C744">
        <v>0.28999999999999998</v>
      </c>
      <c r="D744">
        <v>0.22500000000000001</v>
      </c>
      <c r="E744">
        <v>7.0000000000000007E-2</v>
      </c>
      <c r="F744">
        <v>0.10100000000000001</v>
      </c>
      <c r="G744">
        <v>3.5999999999999997E-2</v>
      </c>
      <c r="H744">
        <v>2.35E-2</v>
      </c>
      <c r="I744">
        <v>3.5000000000000003E-2</v>
      </c>
      <c r="J744">
        <v>8</v>
      </c>
      <c r="K744">
        <v>12</v>
      </c>
      <c r="L744" t="s">
        <v>58</v>
      </c>
      <c r="M744" t="s">
        <v>59</v>
      </c>
      <c r="N744" t="s">
        <v>45</v>
      </c>
      <c r="O744">
        <v>8</v>
      </c>
      <c r="P744" t="s">
        <v>13</v>
      </c>
      <c r="Q744">
        <v>12.3</v>
      </c>
      <c r="R744" s="1" t="str">
        <f t="shared" si="12"/>
        <v>II</v>
      </c>
    </row>
    <row r="745" spans="1:18">
      <c r="A745">
        <v>2243</v>
      </c>
      <c r="B745" t="s">
        <v>76</v>
      </c>
      <c r="C745">
        <v>0.47499999999999998</v>
      </c>
      <c r="D745">
        <v>0.38</v>
      </c>
      <c r="E745">
        <v>0.13500000000000001</v>
      </c>
      <c r="F745">
        <v>0.48599999999999999</v>
      </c>
      <c r="G745">
        <v>0.17349999999999999</v>
      </c>
      <c r="H745">
        <v>7.0000000000000007E-2</v>
      </c>
      <c r="I745">
        <v>0.185</v>
      </c>
      <c r="J745">
        <v>7</v>
      </c>
      <c r="K745">
        <v>11</v>
      </c>
      <c r="L745" t="s">
        <v>65</v>
      </c>
      <c r="M745" t="s">
        <v>66</v>
      </c>
      <c r="N745" t="s">
        <v>45</v>
      </c>
      <c r="O745">
        <v>10</v>
      </c>
      <c r="P745" t="s">
        <v>11</v>
      </c>
      <c r="Q745">
        <v>24.1</v>
      </c>
      <c r="R745" s="1" t="str">
        <f t="shared" si="12"/>
        <v>II</v>
      </c>
    </row>
    <row r="746" spans="1:18">
      <c r="A746">
        <v>211</v>
      </c>
      <c r="B746" t="s">
        <v>76</v>
      </c>
      <c r="C746">
        <v>0.49</v>
      </c>
      <c r="D746">
        <v>0.36499999999999999</v>
      </c>
      <c r="E746">
        <v>0.14499999999999999</v>
      </c>
      <c r="F746">
        <v>0.63449999999999995</v>
      </c>
      <c r="G746">
        <v>0.19950000000000001</v>
      </c>
      <c r="H746">
        <v>0.16250000000000001</v>
      </c>
      <c r="I746">
        <v>0.22</v>
      </c>
      <c r="J746">
        <v>10</v>
      </c>
      <c r="K746">
        <v>8</v>
      </c>
      <c r="L746" t="s">
        <v>55</v>
      </c>
      <c r="M746" t="s">
        <v>56</v>
      </c>
      <c r="N746" t="s">
        <v>57</v>
      </c>
      <c r="O746">
        <v>1</v>
      </c>
      <c r="P746" t="s">
        <v>4</v>
      </c>
      <c r="Q746">
        <v>22.1</v>
      </c>
      <c r="R746" s="1" t="str">
        <f t="shared" si="12"/>
        <v>II</v>
      </c>
    </row>
    <row r="747" spans="1:18">
      <c r="A747">
        <v>510</v>
      </c>
      <c r="B747" t="s">
        <v>76</v>
      </c>
      <c r="C747">
        <v>0.56000000000000005</v>
      </c>
      <c r="D747">
        <v>0.44500000000000001</v>
      </c>
      <c r="E747">
        <v>0.155</v>
      </c>
      <c r="F747">
        <v>0.87350000000000005</v>
      </c>
      <c r="G747">
        <v>0.30049999999999999</v>
      </c>
      <c r="H747">
        <v>0.20899999999999999</v>
      </c>
      <c r="I747">
        <v>0.27500000000000002</v>
      </c>
      <c r="J747">
        <v>16</v>
      </c>
      <c r="K747">
        <v>6</v>
      </c>
      <c r="L747" t="s">
        <v>46</v>
      </c>
      <c r="M747" t="s">
        <v>47</v>
      </c>
      <c r="N747" t="s">
        <v>48</v>
      </c>
      <c r="O747">
        <v>3</v>
      </c>
      <c r="P747" t="s">
        <v>10</v>
      </c>
      <c r="Q747">
        <v>3.6</v>
      </c>
      <c r="R747" s="1" t="str">
        <f t="shared" si="12"/>
        <v>II</v>
      </c>
    </row>
    <row r="748" spans="1:18">
      <c r="A748">
        <v>3535</v>
      </c>
      <c r="B748" t="s">
        <v>76</v>
      </c>
      <c r="C748">
        <v>0.4</v>
      </c>
      <c r="D748">
        <v>0.315</v>
      </c>
      <c r="E748">
        <v>0.09</v>
      </c>
      <c r="F748">
        <v>0.33</v>
      </c>
      <c r="G748">
        <v>0.151</v>
      </c>
      <c r="H748">
        <v>6.8000000000000005E-2</v>
      </c>
      <c r="I748">
        <v>0.08</v>
      </c>
      <c r="J748">
        <v>6</v>
      </c>
      <c r="K748">
        <v>3</v>
      </c>
      <c r="L748" t="s">
        <v>52</v>
      </c>
      <c r="M748" t="s">
        <v>53</v>
      </c>
      <c r="N748" t="s">
        <v>54</v>
      </c>
      <c r="O748">
        <v>6</v>
      </c>
      <c r="P748" t="s">
        <v>7</v>
      </c>
      <c r="Q748">
        <v>14.1</v>
      </c>
      <c r="R748" s="1" t="str">
        <f t="shared" si="12"/>
        <v>II</v>
      </c>
    </row>
    <row r="749" spans="1:18">
      <c r="A749">
        <v>3806</v>
      </c>
      <c r="B749" t="s">
        <v>76</v>
      </c>
      <c r="C749">
        <v>0.42499999999999999</v>
      </c>
      <c r="D749">
        <v>0.30499999999999999</v>
      </c>
      <c r="E749">
        <v>0.11</v>
      </c>
      <c r="F749">
        <v>0.35899999999999999</v>
      </c>
      <c r="G749">
        <v>0.17299999999999999</v>
      </c>
      <c r="H749">
        <v>8.7499999999999994E-2</v>
      </c>
      <c r="I749">
        <v>9.7500000000000003E-2</v>
      </c>
      <c r="J749">
        <v>9</v>
      </c>
      <c r="K749">
        <v>15</v>
      </c>
      <c r="L749" t="s">
        <v>60</v>
      </c>
      <c r="M749" t="s">
        <v>61</v>
      </c>
      <c r="N749" t="s">
        <v>45</v>
      </c>
      <c r="O749">
        <v>3</v>
      </c>
      <c r="P749" t="s">
        <v>10</v>
      </c>
      <c r="Q749">
        <v>3.6</v>
      </c>
      <c r="R749" s="1" t="str">
        <f t="shared" si="12"/>
        <v>II</v>
      </c>
    </row>
    <row r="750" spans="1:18">
      <c r="A750">
        <v>428</v>
      </c>
      <c r="B750" t="s">
        <v>76</v>
      </c>
      <c r="C750">
        <v>0.6</v>
      </c>
      <c r="D750">
        <v>0.5</v>
      </c>
      <c r="E750">
        <v>0.16</v>
      </c>
      <c r="F750">
        <v>1.0149999999999999</v>
      </c>
      <c r="G750">
        <v>0.39950000000000002</v>
      </c>
      <c r="H750">
        <v>0.17349999999999999</v>
      </c>
      <c r="I750">
        <v>0.33</v>
      </c>
      <c r="J750">
        <v>19</v>
      </c>
      <c r="K750">
        <v>12</v>
      </c>
      <c r="L750" t="s">
        <v>58</v>
      </c>
      <c r="M750" t="s">
        <v>59</v>
      </c>
      <c r="N750" t="s">
        <v>45</v>
      </c>
      <c r="O750">
        <v>5</v>
      </c>
      <c r="P750" t="s">
        <v>12</v>
      </c>
      <c r="Q750">
        <v>12.8</v>
      </c>
      <c r="R750" s="1" t="str">
        <f t="shared" si="12"/>
        <v>II</v>
      </c>
    </row>
    <row r="751" spans="1:18">
      <c r="A751">
        <v>1909</v>
      </c>
      <c r="B751" t="s">
        <v>76</v>
      </c>
      <c r="C751">
        <v>0.57499999999999996</v>
      </c>
      <c r="D751">
        <v>0.47499999999999998</v>
      </c>
      <c r="E751">
        <v>0.14499999999999999</v>
      </c>
      <c r="F751">
        <v>0.85699999999999998</v>
      </c>
      <c r="G751">
        <v>0.36649999999999999</v>
      </c>
      <c r="H751">
        <v>0.17299999999999999</v>
      </c>
      <c r="I751">
        <v>0.26900000000000002</v>
      </c>
      <c r="J751">
        <v>9</v>
      </c>
      <c r="K751">
        <v>1</v>
      </c>
      <c r="L751" t="s">
        <v>70</v>
      </c>
      <c r="M751" t="s">
        <v>71</v>
      </c>
      <c r="N751" t="s">
        <v>45</v>
      </c>
      <c r="O751">
        <v>7</v>
      </c>
      <c r="P751" t="s">
        <v>6</v>
      </c>
      <c r="Q751">
        <v>2.5</v>
      </c>
      <c r="R751" s="1" t="str">
        <f t="shared" si="12"/>
        <v>II</v>
      </c>
    </row>
    <row r="752" spans="1:18">
      <c r="A752">
        <v>1071</v>
      </c>
      <c r="B752" t="s">
        <v>76</v>
      </c>
      <c r="C752">
        <v>0.375</v>
      </c>
      <c r="D752">
        <v>0.27500000000000002</v>
      </c>
      <c r="E752">
        <v>0.1</v>
      </c>
      <c r="F752">
        <v>0.23250000000000001</v>
      </c>
      <c r="G752">
        <v>0.11650000000000001</v>
      </c>
      <c r="H752">
        <v>4.2000000000000003E-2</v>
      </c>
      <c r="I752">
        <v>6.5000000000000002E-2</v>
      </c>
      <c r="J752">
        <v>6</v>
      </c>
      <c r="K752">
        <v>6</v>
      </c>
      <c r="L752" t="s">
        <v>46</v>
      </c>
      <c r="M752" t="s">
        <v>47</v>
      </c>
      <c r="N752" t="s">
        <v>48</v>
      </c>
      <c r="O752">
        <v>5</v>
      </c>
      <c r="P752" t="s">
        <v>12</v>
      </c>
      <c r="Q752">
        <v>12.8</v>
      </c>
      <c r="R752" s="1" t="str">
        <f t="shared" si="12"/>
        <v>II</v>
      </c>
    </row>
    <row r="753" spans="1:18">
      <c r="A753">
        <v>915</v>
      </c>
      <c r="B753" t="s">
        <v>76</v>
      </c>
      <c r="C753">
        <v>0.37</v>
      </c>
      <c r="D753">
        <v>0.28000000000000003</v>
      </c>
      <c r="E753">
        <v>9.5000000000000001E-2</v>
      </c>
      <c r="F753">
        <v>0.28649999999999998</v>
      </c>
      <c r="G753">
        <v>0.15049999999999999</v>
      </c>
      <c r="H753">
        <v>6.9000000000000006E-2</v>
      </c>
      <c r="I753">
        <v>7.9500000000000001E-2</v>
      </c>
      <c r="J753">
        <v>7</v>
      </c>
      <c r="K753">
        <v>12</v>
      </c>
      <c r="L753" t="s">
        <v>58</v>
      </c>
      <c r="M753" t="s">
        <v>59</v>
      </c>
      <c r="N753" t="s">
        <v>45</v>
      </c>
      <c r="O753">
        <v>1</v>
      </c>
      <c r="P753" t="s">
        <v>4</v>
      </c>
      <c r="Q753">
        <v>22.1</v>
      </c>
      <c r="R753" s="1" t="str">
        <f t="shared" si="12"/>
        <v>II</v>
      </c>
    </row>
    <row r="754" spans="1:18">
      <c r="A754">
        <v>1320</v>
      </c>
      <c r="B754" t="s">
        <v>76</v>
      </c>
      <c r="C754">
        <v>0.55500000000000005</v>
      </c>
      <c r="D754">
        <v>0.42499999999999999</v>
      </c>
      <c r="E754">
        <v>0.14499999999999999</v>
      </c>
      <c r="F754">
        <v>0.79049999999999998</v>
      </c>
      <c r="G754">
        <v>0.34849999999999998</v>
      </c>
      <c r="H754">
        <v>0.17649999999999999</v>
      </c>
      <c r="I754">
        <v>0.22500000000000001</v>
      </c>
      <c r="J754">
        <v>9</v>
      </c>
      <c r="K754">
        <v>2</v>
      </c>
      <c r="L754" t="s">
        <v>49</v>
      </c>
      <c r="M754" t="s">
        <v>50</v>
      </c>
      <c r="N754" t="s">
        <v>51</v>
      </c>
      <c r="O754">
        <v>8</v>
      </c>
      <c r="P754" t="s">
        <v>13</v>
      </c>
      <c r="Q754">
        <v>12.3</v>
      </c>
      <c r="R754" s="1" t="str">
        <f t="shared" si="12"/>
        <v>II</v>
      </c>
    </row>
    <row r="755" spans="1:18">
      <c r="A755">
        <v>789</v>
      </c>
      <c r="B755" t="s">
        <v>76</v>
      </c>
      <c r="C755">
        <v>0.505</v>
      </c>
      <c r="D755">
        <v>0.39</v>
      </c>
      <c r="E755">
        <v>0.16</v>
      </c>
      <c r="F755">
        <v>0.64400000000000002</v>
      </c>
      <c r="G755">
        <v>0.2475</v>
      </c>
      <c r="H755">
        <v>0.20250000000000001</v>
      </c>
      <c r="I755">
        <v>0.16350000000000001</v>
      </c>
      <c r="J755">
        <v>9</v>
      </c>
      <c r="K755">
        <v>15</v>
      </c>
      <c r="L755" t="s">
        <v>60</v>
      </c>
      <c r="M755" t="s">
        <v>61</v>
      </c>
      <c r="N755" t="s">
        <v>45</v>
      </c>
      <c r="O755">
        <v>7</v>
      </c>
      <c r="P755" t="s">
        <v>6</v>
      </c>
      <c r="Q755">
        <v>2.5</v>
      </c>
      <c r="R755" s="1" t="str">
        <f t="shared" si="12"/>
        <v>II</v>
      </c>
    </row>
    <row r="756" spans="1:18">
      <c r="A756">
        <v>1614</v>
      </c>
      <c r="B756" t="s">
        <v>76</v>
      </c>
      <c r="C756">
        <v>0.55000000000000004</v>
      </c>
      <c r="D756">
        <v>0.42</v>
      </c>
      <c r="E756">
        <v>0.13500000000000001</v>
      </c>
      <c r="F756">
        <v>0.81599999999999995</v>
      </c>
      <c r="G756">
        <v>0.39950000000000002</v>
      </c>
      <c r="H756">
        <v>0.14849999999999999</v>
      </c>
      <c r="I756">
        <v>0.23</v>
      </c>
      <c r="J756">
        <v>12</v>
      </c>
      <c r="K756">
        <v>5</v>
      </c>
      <c r="L756" t="s">
        <v>67</v>
      </c>
      <c r="M756" t="s">
        <v>68</v>
      </c>
      <c r="N756" t="s">
        <v>69</v>
      </c>
      <c r="O756">
        <v>7</v>
      </c>
      <c r="P756" t="s">
        <v>6</v>
      </c>
      <c r="Q756">
        <v>2.5</v>
      </c>
      <c r="R756" s="1" t="str">
        <f t="shared" si="12"/>
        <v>II</v>
      </c>
    </row>
    <row r="757" spans="1:18">
      <c r="A757">
        <v>1995</v>
      </c>
      <c r="B757" t="s">
        <v>76</v>
      </c>
      <c r="C757">
        <v>0.28999999999999998</v>
      </c>
      <c r="D757">
        <v>0.21</v>
      </c>
      <c r="E757">
        <v>6.5000000000000002E-2</v>
      </c>
      <c r="F757">
        <v>9.7000000000000003E-2</v>
      </c>
      <c r="G757">
        <v>3.7499999999999999E-2</v>
      </c>
      <c r="H757">
        <v>2.1999999999999999E-2</v>
      </c>
      <c r="I757">
        <v>0.03</v>
      </c>
      <c r="J757">
        <v>6</v>
      </c>
      <c r="K757">
        <v>2</v>
      </c>
      <c r="L757" t="s">
        <v>49</v>
      </c>
      <c r="M757" t="s">
        <v>50</v>
      </c>
      <c r="N757" t="s">
        <v>51</v>
      </c>
      <c r="O757">
        <v>10</v>
      </c>
      <c r="P757" t="s">
        <v>11</v>
      </c>
      <c r="Q757">
        <v>24.1</v>
      </c>
      <c r="R757" s="1" t="str">
        <f t="shared" si="12"/>
        <v>II</v>
      </c>
    </row>
    <row r="758" spans="1:18">
      <c r="A758">
        <v>2071</v>
      </c>
      <c r="B758" t="s">
        <v>76</v>
      </c>
      <c r="C758">
        <v>0.55000000000000004</v>
      </c>
      <c r="D758">
        <v>0.42</v>
      </c>
      <c r="E758">
        <v>0.115</v>
      </c>
      <c r="F758">
        <v>0.66800000000000004</v>
      </c>
      <c r="G758">
        <v>0.29249999999999998</v>
      </c>
      <c r="H758">
        <v>0.13700000000000001</v>
      </c>
      <c r="I758">
        <v>0.20899999999999999</v>
      </c>
      <c r="J758">
        <v>11</v>
      </c>
      <c r="K758">
        <v>11</v>
      </c>
      <c r="L758" t="s">
        <v>65</v>
      </c>
      <c r="M758" t="s">
        <v>66</v>
      </c>
      <c r="N758" t="s">
        <v>45</v>
      </c>
      <c r="O758">
        <v>3</v>
      </c>
      <c r="P758" t="s">
        <v>10</v>
      </c>
      <c r="Q758">
        <v>3.6</v>
      </c>
      <c r="R758" s="1" t="str">
        <f t="shared" si="12"/>
        <v>II</v>
      </c>
    </row>
    <row r="759" spans="1:18">
      <c r="A759">
        <v>3484</v>
      </c>
      <c r="B759" t="s">
        <v>76</v>
      </c>
      <c r="C759">
        <v>0.47</v>
      </c>
      <c r="D759">
        <v>0.35499999999999998</v>
      </c>
      <c r="E759">
        <v>0.115</v>
      </c>
      <c r="F759">
        <v>0.41549999999999998</v>
      </c>
      <c r="G759">
        <v>0.16700000000000001</v>
      </c>
      <c r="H759">
        <v>8.4000000000000005E-2</v>
      </c>
      <c r="I759">
        <v>0.13900000000000001</v>
      </c>
      <c r="J759">
        <v>7</v>
      </c>
      <c r="K759">
        <v>7</v>
      </c>
      <c r="L759" t="s">
        <v>62</v>
      </c>
      <c r="M759" t="s">
        <v>63</v>
      </c>
      <c r="N759" t="s">
        <v>64</v>
      </c>
      <c r="O759">
        <v>8</v>
      </c>
      <c r="P759" t="s">
        <v>13</v>
      </c>
      <c r="Q759">
        <v>12.3</v>
      </c>
      <c r="R759" s="1" t="str">
        <f t="shared" si="12"/>
        <v>II</v>
      </c>
    </row>
    <row r="760" spans="1:18">
      <c r="A760">
        <v>2770</v>
      </c>
      <c r="B760" t="s">
        <v>76</v>
      </c>
      <c r="C760">
        <v>0.56499999999999995</v>
      </c>
      <c r="D760">
        <v>0.43</v>
      </c>
      <c r="E760">
        <v>0.15</v>
      </c>
      <c r="F760">
        <v>0.82150000000000001</v>
      </c>
      <c r="G760">
        <v>0.33200000000000002</v>
      </c>
      <c r="H760">
        <v>0.16850000000000001</v>
      </c>
      <c r="I760">
        <v>0.28999999999999998</v>
      </c>
      <c r="J760">
        <v>11</v>
      </c>
      <c r="K760">
        <v>3</v>
      </c>
      <c r="L760" t="s">
        <v>52</v>
      </c>
      <c r="M760" t="s">
        <v>53</v>
      </c>
      <c r="N760" t="s">
        <v>54</v>
      </c>
      <c r="O760">
        <v>10</v>
      </c>
      <c r="P760" t="s">
        <v>11</v>
      </c>
      <c r="Q760">
        <v>24.1</v>
      </c>
      <c r="R760" s="1" t="str">
        <f t="shared" si="12"/>
        <v>II</v>
      </c>
    </row>
    <row r="761" spans="1:18">
      <c r="A761">
        <v>8</v>
      </c>
      <c r="B761" t="s">
        <v>76</v>
      </c>
      <c r="C761">
        <v>0.54500000000000004</v>
      </c>
      <c r="D761">
        <v>0.42499999999999999</v>
      </c>
      <c r="E761">
        <v>0.125</v>
      </c>
      <c r="F761">
        <v>0.76800000000000002</v>
      </c>
      <c r="G761">
        <v>0.29399999999999998</v>
      </c>
      <c r="H761">
        <v>0.14949999999999999</v>
      </c>
      <c r="I761">
        <v>0.26</v>
      </c>
      <c r="J761">
        <v>16</v>
      </c>
      <c r="K761">
        <v>4</v>
      </c>
      <c r="L761" t="s">
        <v>40</v>
      </c>
      <c r="M761" t="s">
        <v>41</v>
      </c>
      <c r="N761" t="s">
        <v>42</v>
      </c>
      <c r="O761">
        <v>8</v>
      </c>
      <c r="P761" t="s">
        <v>13</v>
      </c>
      <c r="Q761">
        <v>12.3</v>
      </c>
      <c r="R761" s="1" t="str">
        <f t="shared" si="12"/>
        <v>II</v>
      </c>
    </row>
    <row r="762" spans="1:18">
      <c r="A762">
        <v>2827</v>
      </c>
      <c r="B762" t="s">
        <v>76</v>
      </c>
      <c r="C762">
        <v>0.5</v>
      </c>
      <c r="D762">
        <v>0.36499999999999999</v>
      </c>
      <c r="E762">
        <v>0.13</v>
      </c>
      <c r="F762">
        <v>0.59450000000000003</v>
      </c>
      <c r="G762">
        <v>0.309</v>
      </c>
      <c r="H762">
        <v>0.1085</v>
      </c>
      <c r="I762">
        <v>0.1535</v>
      </c>
      <c r="J762">
        <v>9</v>
      </c>
      <c r="K762">
        <v>3</v>
      </c>
      <c r="L762" t="s">
        <v>52</v>
      </c>
      <c r="M762" t="s">
        <v>53</v>
      </c>
      <c r="N762" t="s">
        <v>54</v>
      </c>
      <c r="O762">
        <v>1</v>
      </c>
      <c r="P762" t="s">
        <v>4</v>
      </c>
      <c r="Q762">
        <v>22.1</v>
      </c>
      <c r="R762" s="1" t="str">
        <f t="shared" si="12"/>
        <v>II</v>
      </c>
    </row>
    <row r="763" spans="1:18">
      <c r="A763">
        <v>2503</v>
      </c>
      <c r="B763" t="s">
        <v>76</v>
      </c>
      <c r="C763">
        <v>0.28499999999999998</v>
      </c>
      <c r="D763">
        <v>0.21</v>
      </c>
      <c r="E763">
        <v>7.0000000000000007E-2</v>
      </c>
      <c r="F763">
        <v>0.109</v>
      </c>
      <c r="G763">
        <v>4.3999999999999997E-2</v>
      </c>
      <c r="H763">
        <v>2.6499999999999999E-2</v>
      </c>
      <c r="I763">
        <v>3.3000000000000002E-2</v>
      </c>
      <c r="J763">
        <v>5</v>
      </c>
      <c r="K763">
        <v>5</v>
      </c>
      <c r="L763" t="s">
        <v>67</v>
      </c>
      <c r="M763" t="s">
        <v>68</v>
      </c>
      <c r="N763" t="s">
        <v>69</v>
      </c>
      <c r="O763">
        <v>8</v>
      </c>
      <c r="P763" t="s">
        <v>13</v>
      </c>
      <c r="Q763">
        <v>12.3</v>
      </c>
      <c r="R763" s="1" t="str">
        <f t="shared" si="12"/>
        <v>II</v>
      </c>
    </row>
    <row r="764" spans="1:18">
      <c r="A764">
        <v>977</v>
      </c>
      <c r="B764" t="s">
        <v>76</v>
      </c>
      <c r="C764">
        <v>0.53</v>
      </c>
      <c r="D764">
        <v>0.40500000000000003</v>
      </c>
      <c r="E764">
        <v>0.125</v>
      </c>
      <c r="F764">
        <v>0.65149999999999997</v>
      </c>
      <c r="G764">
        <v>0.27150000000000002</v>
      </c>
      <c r="H764">
        <v>0.1605</v>
      </c>
      <c r="I764">
        <v>0.186</v>
      </c>
      <c r="J764">
        <v>7</v>
      </c>
      <c r="K764">
        <v>10</v>
      </c>
      <c r="L764" t="s">
        <v>37</v>
      </c>
      <c r="M764" t="s">
        <v>38</v>
      </c>
      <c r="N764" t="s">
        <v>39</v>
      </c>
      <c r="O764">
        <v>10</v>
      </c>
      <c r="P764" t="s">
        <v>11</v>
      </c>
      <c r="Q764">
        <v>24.1</v>
      </c>
      <c r="R764" s="1" t="str">
        <f t="shared" si="12"/>
        <v>II</v>
      </c>
    </row>
    <row r="765" spans="1:18">
      <c r="A765">
        <v>2897</v>
      </c>
      <c r="B765" t="s">
        <v>76</v>
      </c>
      <c r="C765">
        <v>0.54500000000000004</v>
      </c>
      <c r="D765">
        <v>0.43</v>
      </c>
      <c r="E765">
        <v>0.13</v>
      </c>
      <c r="F765">
        <v>0.75949999999999995</v>
      </c>
      <c r="G765">
        <v>0.35799999999999998</v>
      </c>
      <c r="H765">
        <v>0.153</v>
      </c>
      <c r="I765">
        <v>0.20549999999999999</v>
      </c>
      <c r="J765">
        <v>8</v>
      </c>
      <c r="K765">
        <v>14</v>
      </c>
      <c r="L765" t="s">
        <v>72</v>
      </c>
      <c r="M765" t="s">
        <v>73</v>
      </c>
      <c r="N765" t="s">
        <v>74</v>
      </c>
      <c r="O765">
        <v>4</v>
      </c>
      <c r="P765" t="s">
        <v>8</v>
      </c>
      <c r="Q765">
        <v>6.1</v>
      </c>
      <c r="R765" s="1" t="str">
        <f t="shared" si="12"/>
        <v>II</v>
      </c>
    </row>
    <row r="766" spans="1:18">
      <c r="A766">
        <v>2507</v>
      </c>
      <c r="B766" t="s">
        <v>76</v>
      </c>
      <c r="C766">
        <v>0.375</v>
      </c>
      <c r="D766">
        <v>0.3</v>
      </c>
      <c r="E766">
        <v>7.4999999999999997E-2</v>
      </c>
      <c r="F766">
        <v>0.14399999999999999</v>
      </c>
      <c r="G766">
        <v>5.8999999999999997E-2</v>
      </c>
      <c r="H766">
        <v>0.03</v>
      </c>
      <c r="I766">
        <v>4.3999999999999997E-2</v>
      </c>
      <c r="J766">
        <v>7</v>
      </c>
      <c r="K766">
        <v>3</v>
      </c>
      <c r="L766" t="s">
        <v>52</v>
      </c>
      <c r="M766" t="s">
        <v>53</v>
      </c>
      <c r="N766" t="s">
        <v>54</v>
      </c>
      <c r="O766">
        <v>8</v>
      </c>
      <c r="P766" t="s">
        <v>13</v>
      </c>
      <c r="Q766">
        <v>12.3</v>
      </c>
      <c r="R766" s="1" t="str">
        <f t="shared" si="12"/>
        <v>II</v>
      </c>
    </row>
    <row r="767" spans="1:18">
      <c r="A767">
        <v>1062</v>
      </c>
      <c r="B767" t="s">
        <v>76</v>
      </c>
      <c r="C767">
        <v>0.27500000000000002</v>
      </c>
      <c r="D767">
        <v>0.19500000000000001</v>
      </c>
      <c r="E767">
        <v>6.5000000000000002E-2</v>
      </c>
      <c r="F767">
        <v>0.106</v>
      </c>
      <c r="G767">
        <v>5.3999999999999999E-2</v>
      </c>
      <c r="H767">
        <v>0.02</v>
      </c>
      <c r="I767">
        <v>2.8000000000000001E-2</v>
      </c>
      <c r="J767">
        <v>6</v>
      </c>
      <c r="K767">
        <v>10</v>
      </c>
      <c r="L767" t="s">
        <v>37</v>
      </c>
      <c r="M767" t="s">
        <v>38</v>
      </c>
      <c r="N767" t="s">
        <v>39</v>
      </c>
      <c r="O767">
        <v>4</v>
      </c>
      <c r="P767" t="s">
        <v>8</v>
      </c>
      <c r="Q767">
        <v>6.1</v>
      </c>
      <c r="R767" s="1" t="str">
        <f t="shared" si="12"/>
        <v>II</v>
      </c>
    </row>
    <row r="768" spans="1:18">
      <c r="A768">
        <v>476</v>
      </c>
      <c r="B768" t="s">
        <v>76</v>
      </c>
      <c r="C768">
        <v>0.53</v>
      </c>
      <c r="D768">
        <v>0.41499999999999998</v>
      </c>
      <c r="E768">
        <v>0.17499999999999999</v>
      </c>
      <c r="F768">
        <v>0.73950000000000005</v>
      </c>
      <c r="G768">
        <v>0.26100000000000001</v>
      </c>
      <c r="H768">
        <v>0.13950000000000001</v>
      </c>
      <c r="I768">
        <v>0.26450000000000001</v>
      </c>
      <c r="J768">
        <v>17</v>
      </c>
      <c r="K768">
        <v>13</v>
      </c>
      <c r="L768" t="s">
        <v>43</v>
      </c>
      <c r="M768" t="s">
        <v>44</v>
      </c>
      <c r="N768" t="s">
        <v>45</v>
      </c>
      <c r="O768">
        <v>6</v>
      </c>
      <c r="P768" t="s">
        <v>7</v>
      </c>
      <c r="Q768">
        <v>14.1</v>
      </c>
      <c r="R768" s="1" t="str">
        <f t="shared" si="12"/>
        <v>II</v>
      </c>
    </row>
    <row r="769" spans="1:18">
      <c r="A769">
        <v>600</v>
      </c>
      <c r="B769" t="s">
        <v>76</v>
      </c>
      <c r="C769">
        <v>0.56000000000000005</v>
      </c>
      <c r="D769">
        <v>0.44500000000000001</v>
      </c>
      <c r="E769">
        <v>0.19500000000000001</v>
      </c>
      <c r="F769">
        <v>0.98099999999999998</v>
      </c>
      <c r="G769">
        <v>0.30499999999999999</v>
      </c>
      <c r="H769">
        <v>0.22450000000000001</v>
      </c>
      <c r="I769">
        <v>0.33500000000000002</v>
      </c>
      <c r="J769">
        <v>16</v>
      </c>
      <c r="K769">
        <v>4</v>
      </c>
      <c r="L769" t="s">
        <v>40</v>
      </c>
      <c r="M769" t="s">
        <v>41</v>
      </c>
      <c r="N769" t="s">
        <v>42</v>
      </c>
      <c r="O769">
        <v>5</v>
      </c>
      <c r="P769" t="s">
        <v>12</v>
      </c>
      <c r="Q769">
        <v>12.8</v>
      </c>
      <c r="R769" s="1" t="str">
        <f t="shared" si="12"/>
        <v>II</v>
      </c>
    </row>
    <row r="770" spans="1:18">
      <c r="A770">
        <v>1879</v>
      </c>
      <c r="B770" t="s">
        <v>76</v>
      </c>
      <c r="C770">
        <v>0.54500000000000004</v>
      </c>
      <c r="D770">
        <v>0.42499999999999999</v>
      </c>
      <c r="E770">
        <v>0.14000000000000001</v>
      </c>
      <c r="F770">
        <v>0.8145</v>
      </c>
      <c r="G770">
        <v>0.30499999999999999</v>
      </c>
      <c r="H770">
        <v>0.23100000000000001</v>
      </c>
      <c r="I770">
        <v>0.24399999999999999</v>
      </c>
      <c r="J770">
        <v>10</v>
      </c>
      <c r="K770">
        <v>12</v>
      </c>
      <c r="L770" t="s">
        <v>58</v>
      </c>
      <c r="M770" t="s">
        <v>59</v>
      </c>
      <c r="N770" t="s">
        <v>45</v>
      </c>
      <c r="O770">
        <v>5</v>
      </c>
      <c r="P770" t="s">
        <v>12</v>
      </c>
      <c r="Q770">
        <v>12.8</v>
      </c>
      <c r="R770" s="1" t="str">
        <f t="shared" si="12"/>
        <v>II</v>
      </c>
    </row>
    <row r="771" spans="1:18">
      <c r="A771">
        <v>1900</v>
      </c>
      <c r="B771" t="s">
        <v>76</v>
      </c>
      <c r="C771">
        <v>0.57499999999999996</v>
      </c>
      <c r="D771">
        <v>0.45</v>
      </c>
      <c r="E771">
        <v>0.13</v>
      </c>
      <c r="F771">
        <v>0.78500000000000003</v>
      </c>
      <c r="G771">
        <v>0.318</v>
      </c>
      <c r="H771">
        <v>0.193</v>
      </c>
      <c r="I771">
        <v>0.22650000000000001</v>
      </c>
      <c r="J771">
        <v>9</v>
      </c>
      <c r="K771">
        <v>8</v>
      </c>
      <c r="L771" t="s">
        <v>55</v>
      </c>
      <c r="M771" t="s">
        <v>56</v>
      </c>
      <c r="N771" t="s">
        <v>57</v>
      </c>
      <c r="O771">
        <v>3</v>
      </c>
      <c r="P771" t="s">
        <v>10</v>
      </c>
      <c r="Q771">
        <v>3.6</v>
      </c>
      <c r="R771" s="1" t="str">
        <f t="shared" si="12"/>
        <v>II</v>
      </c>
    </row>
    <row r="772" spans="1:18">
      <c r="A772">
        <v>3905</v>
      </c>
      <c r="B772" t="s">
        <v>76</v>
      </c>
      <c r="C772">
        <v>0.57499999999999996</v>
      </c>
      <c r="D772">
        <v>0.47</v>
      </c>
      <c r="E772">
        <v>0.16500000000000001</v>
      </c>
      <c r="F772">
        <v>0.85299999999999998</v>
      </c>
      <c r="G772">
        <v>0.29199999999999998</v>
      </c>
      <c r="H772">
        <v>0.17899999999999999</v>
      </c>
      <c r="I772">
        <v>0.35</v>
      </c>
      <c r="J772">
        <v>16</v>
      </c>
      <c r="K772">
        <v>3</v>
      </c>
      <c r="L772" t="s">
        <v>52</v>
      </c>
      <c r="M772" t="s">
        <v>53</v>
      </c>
      <c r="N772" t="s">
        <v>54</v>
      </c>
      <c r="O772">
        <v>7</v>
      </c>
      <c r="P772" t="s">
        <v>6</v>
      </c>
      <c r="Q772">
        <v>2.5</v>
      </c>
      <c r="R772" s="1" t="str">
        <f t="shared" si="12"/>
        <v>II</v>
      </c>
    </row>
    <row r="773" spans="1:18">
      <c r="A773">
        <v>2312</v>
      </c>
      <c r="B773" t="s">
        <v>76</v>
      </c>
      <c r="C773">
        <v>0.35</v>
      </c>
      <c r="D773">
        <v>0.26500000000000001</v>
      </c>
      <c r="E773">
        <v>0.11</v>
      </c>
      <c r="F773">
        <v>0.29649999999999999</v>
      </c>
      <c r="G773">
        <v>0.13650000000000001</v>
      </c>
      <c r="H773">
        <v>6.3E-2</v>
      </c>
      <c r="I773">
        <v>8.5000000000000006E-2</v>
      </c>
      <c r="J773">
        <v>7</v>
      </c>
      <c r="K773">
        <v>6</v>
      </c>
      <c r="L773" t="s">
        <v>46</v>
      </c>
      <c r="M773" t="s">
        <v>47</v>
      </c>
      <c r="N773" t="s">
        <v>48</v>
      </c>
      <c r="O773">
        <v>5</v>
      </c>
      <c r="P773" t="s">
        <v>12</v>
      </c>
      <c r="Q773">
        <v>12.8</v>
      </c>
      <c r="R773" s="1" t="str">
        <f t="shared" si="12"/>
        <v>II</v>
      </c>
    </row>
    <row r="774" spans="1:18">
      <c r="A774">
        <v>238</v>
      </c>
      <c r="B774" t="s">
        <v>76</v>
      </c>
      <c r="C774">
        <v>0.13</v>
      </c>
      <c r="D774">
        <v>0.1</v>
      </c>
      <c r="E774">
        <v>0.03</v>
      </c>
      <c r="F774">
        <v>1.2999999999999999E-2</v>
      </c>
      <c r="G774">
        <v>4.4999999999999997E-3</v>
      </c>
      <c r="H774">
        <v>3.0000000000000001E-3</v>
      </c>
      <c r="I774">
        <v>4.0000000000000001E-3</v>
      </c>
      <c r="J774">
        <v>3</v>
      </c>
      <c r="K774">
        <v>1</v>
      </c>
      <c r="L774" t="s">
        <v>70</v>
      </c>
      <c r="M774" t="s">
        <v>71</v>
      </c>
      <c r="N774" t="s">
        <v>45</v>
      </c>
      <c r="O774">
        <v>6</v>
      </c>
      <c r="P774" t="s">
        <v>7</v>
      </c>
      <c r="Q774">
        <v>14.1</v>
      </c>
      <c r="R774" s="1" t="str">
        <f t="shared" si="12"/>
        <v>II</v>
      </c>
    </row>
    <row r="775" spans="1:18">
      <c r="A775">
        <v>2869</v>
      </c>
      <c r="B775" t="s">
        <v>76</v>
      </c>
      <c r="C775">
        <v>0.33500000000000002</v>
      </c>
      <c r="D775">
        <v>0.26</v>
      </c>
      <c r="E775">
        <v>0.09</v>
      </c>
      <c r="F775">
        <v>0.19650000000000001</v>
      </c>
      <c r="G775">
        <v>8.7499999999999994E-2</v>
      </c>
      <c r="H775">
        <v>4.1000000000000002E-2</v>
      </c>
      <c r="I775">
        <v>5.6000000000000001E-2</v>
      </c>
      <c r="J775">
        <v>7</v>
      </c>
      <c r="K775">
        <v>7</v>
      </c>
      <c r="L775" t="s">
        <v>62</v>
      </c>
      <c r="M775" t="s">
        <v>63</v>
      </c>
      <c r="N775" t="s">
        <v>64</v>
      </c>
      <c r="O775">
        <v>5</v>
      </c>
      <c r="P775" t="s">
        <v>12</v>
      </c>
      <c r="Q775">
        <v>12.8</v>
      </c>
      <c r="R775" s="1" t="str">
        <f t="shared" si="12"/>
        <v>II</v>
      </c>
    </row>
    <row r="776" spans="1:18">
      <c r="A776">
        <v>3661</v>
      </c>
      <c r="B776" t="s">
        <v>76</v>
      </c>
      <c r="C776">
        <v>0.54500000000000004</v>
      </c>
      <c r="D776">
        <v>0.41</v>
      </c>
      <c r="E776">
        <v>0.125</v>
      </c>
      <c r="F776">
        <v>0.65400000000000003</v>
      </c>
      <c r="G776">
        <v>0.29449999999999998</v>
      </c>
      <c r="H776">
        <v>0.13150000000000001</v>
      </c>
      <c r="I776">
        <v>0.20499999999999999</v>
      </c>
      <c r="J776">
        <v>10</v>
      </c>
      <c r="K776">
        <v>11</v>
      </c>
      <c r="L776" t="s">
        <v>65</v>
      </c>
      <c r="M776" t="s">
        <v>66</v>
      </c>
      <c r="N776" t="s">
        <v>45</v>
      </c>
      <c r="O776">
        <v>9</v>
      </c>
      <c r="P776" t="s">
        <v>9</v>
      </c>
      <c r="Q776">
        <v>1.9</v>
      </c>
      <c r="R776" s="1" t="str">
        <f t="shared" si="12"/>
        <v>II</v>
      </c>
    </row>
    <row r="777" spans="1:18">
      <c r="A777">
        <v>623</v>
      </c>
      <c r="B777" t="s">
        <v>76</v>
      </c>
      <c r="C777">
        <v>0.5</v>
      </c>
      <c r="D777">
        <v>0.38500000000000001</v>
      </c>
      <c r="E777">
        <v>0.115</v>
      </c>
      <c r="F777">
        <v>0.67849999999999999</v>
      </c>
      <c r="G777">
        <v>0.29449999999999998</v>
      </c>
      <c r="H777">
        <v>0.13800000000000001</v>
      </c>
      <c r="I777">
        <v>0.19500000000000001</v>
      </c>
      <c r="J777">
        <v>12</v>
      </c>
      <c r="K777">
        <v>8</v>
      </c>
      <c r="L777" t="s">
        <v>55</v>
      </c>
      <c r="M777" t="s">
        <v>56</v>
      </c>
      <c r="N777" t="s">
        <v>57</v>
      </c>
      <c r="O777">
        <v>6</v>
      </c>
      <c r="P777" t="s">
        <v>7</v>
      </c>
      <c r="Q777">
        <v>14.1</v>
      </c>
      <c r="R777" s="1" t="str">
        <f t="shared" si="12"/>
        <v>II</v>
      </c>
    </row>
    <row r="778" spans="1:18">
      <c r="A778">
        <v>383</v>
      </c>
      <c r="B778" t="s">
        <v>76</v>
      </c>
      <c r="C778">
        <v>0.48499999999999999</v>
      </c>
      <c r="D778">
        <v>0.4</v>
      </c>
      <c r="E778">
        <v>0.13500000000000001</v>
      </c>
      <c r="F778">
        <v>0.66300000000000003</v>
      </c>
      <c r="G778">
        <v>0.313</v>
      </c>
      <c r="H778">
        <v>0.13700000000000001</v>
      </c>
      <c r="I778">
        <v>0.2</v>
      </c>
      <c r="J778">
        <v>10</v>
      </c>
      <c r="K778">
        <v>13</v>
      </c>
      <c r="L778" t="s">
        <v>43</v>
      </c>
      <c r="M778" t="s">
        <v>44</v>
      </c>
      <c r="N778" t="s">
        <v>45</v>
      </c>
      <c r="O778">
        <v>6</v>
      </c>
      <c r="P778" t="s">
        <v>7</v>
      </c>
      <c r="Q778">
        <v>14.1</v>
      </c>
      <c r="R778" s="1" t="str">
        <f t="shared" si="12"/>
        <v>II</v>
      </c>
    </row>
    <row r="779" spans="1:18">
      <c r="A779">
        <v>273</v>
      </c>
      <c r="B779" t="s">
        <v>76</v>
      </c>
      <c r="C779">
        <v>0.62</v>
      </c>
      <c r="D779">
        <v>0.48499999999999999</v>
      </c>
      <c r="E779">
        <v>0.20499999999999999</v>
      </c>
      <c r="F779">
        <v>1.2190000000000001</v>
      </c>
      <c r="G779">
        <v>0.38750000000000001</v>
      </c>
      <c r="H779">
        <v>0.2505</v>
      </c>
      <c r="I779">
        <v>0.38500000000000001</v>
      </c>
      <c r="J779">
        <v>14</v>
      </c>
      <c r="K779">
        <v>3</v>
      </c>
      <c r="L779" t="s">
        <v>52</v>
      </c>
      <c r="M779" t="s">
        <v>53</v>
      </c>
      <c r="N779" t="s">
        <v>54</v>
      </c>
      <c r="O779">
        <v>10</v>
      </c>
      <c r="P779" t="s">
        <v>11</v>
      </c>
      <c r="Q779">
        <v>24.1</v>
      </c>
      <c r="R779" s="1" t="str">
        <f t="shared" ref="R779:R824" si="13">IF(OR(AND(J779 &gt; 15, B779 = "Infant"), AND(D779 = "Male", C779 &gt; 0.75),
    OR(I779 &gt; 0.8, G779 &gt; 0.5), G779 &gt; 1.2),
    "I",
    IF(OR(AND(I779 &lt; 0.4, G779 &lt; 0.4), AND(J779 &gt; 15, D779 = "Male"), AND(J779 &gt; 18, D779 = "Female"), C779 &lt; 0.36),
    "II",
    "III"))</f>
        <v>II</v>
      </c>
    </row>
    <row r="780" spans="1:18">
      <c r="A780">
        <v>527</v>
      </c>
      <c r="B780" t="s">
        <v>76</v>
      </c>
      <c r="C780">
        <v>0.155</v>
      </c>
      <c r="D780">
        <v>0.11</v>
      </c>
      <c r="E780">
        <v>0.04</v>
      </c>
      <c r="F780">
        <v>1.55E-2</v>
      </c>
      <c r="G780">
        <v>6.4999999999999997E-3</v>
      </c>
      <c r="H780">
        <v>3.0000000000000001E-3</v>
      </c>
      <c r="I780">
        <v>5.0000000000000001E-3</v>
      </c>
      <c r="J780">
        <v>3</v>
      </c>
      <c r="K780">
        <v>1</v>
      </c>
      <c r="L780" t="s">
        <v>70</v>
      </c>
      <c r="M780" t="s">
        <v>71</v>
      </c>
      <c r="N780" t="s">
        <v>45</v>
      </c>
      <c r="O780">
        <v>10</v>
      </c>
      <c r="P780" t="s">
        <v>11</v>
      </c>
      <c r="Q780">
        <v>24.1</v>
      </c>
      <c r="R780" s="1" t="str">
        <f t="shared" si="13"/>
        <v>II</v>
      </c>
    </row>
    <row r="781" spans="1:18">
      <c r="A781">
        <v>3936</v>
      </c>
      <c r="B781" t="s">
        <v>76</v>
      </c>
      <c r="C781">
        <v>0.52</v>
      </c>
      <c r="D781">
        <v>0.41</v>
      </c>
      <c r="E781">
        <v>0.115</v>
      </c>
      <c r="F781">
        <v>0.77</v>
      </c>
      <c r="G781">
        <v>0.26300000000000001</v>
      </c>
      <c r="H781">
        <v>0.157</v>
      </c>
      <c r="I781">
        <v>0.26</v>
      </c>
      <c r="J781">
        <v>11</v>
      </c>
      <c r="K781">
        <v>5</v>
      </c>
      <c r="L781" t="s">
        <v>67</v>
      </c>
      <c r="M781" t="s">
        <v>68</v>
      </c>
      <c r="N781" t="s">
        <v>69</v>
      </c>
      <c r="O781">
        <v>6</v>
      </c>
      <c r="P781" t="s">
        <v>7</v>
      </c>
      <c r="Q781">
        <v>14.1</v>
      </c>
      <c r="R781" s="1" t="str">
        <f t="shared" si="13"/>
        <v>II</v>
      </c>
    </row>
    <row r="782" spans="1:18">
      <c r="A782">
        <v>2517</v>
      </c>
      <c r="B782" t="s">
        <v>76</v>
      </c>
      <c r="C782">
        <v>0.47499999999999998</v>
      </c>
      <c r="D782">
        <v>0.36499999999999999</v>
      </c>
      <c r="E782">
        <v>0.12</v>
      </c>
      <c r="F782">
        <v>0.53</v>
      </c>
      <c r="G782">
        <v>0.2505</v>
      </c>
      <c r="H782">
        <v>9.7500000000000003E-2</v>
      </c>
      <c r="I782">
        <v>0.16250000000000001</v>
      </c>
      <c r="J782">
        <v>10</v>
      </c>
      <c r="K782">
        <v>7</v>
      </c>
      <c r="L782" t="s">
        <v>62</v>
      </c>
      <c r="M782" t="s">
        <v>63</v>
      </c>
      <c r="N782" t="s">
        <v>64</v>
      </c>
      <c r="O782">
        <v>10</v>
      </c>
      <c r="P782" t="s">
        <v>11</v>
      </c>
      <c r="Q782">
        <v>24.1</v>
      </c>
      <c r="R782" s="1" t="str">
        <f t="shared" si="13"/>
        <v>II</v>
      </c>
    </row>
    <row r="783" spans="1:18">
      <c r="A783">
        <v>2717</v>
      </c>
      <c r="B783" t="s">
        <v>76</v>
      </c>
      <c r="C783">
        <v>0.34</v>
      </c>
      <c r="D783">
        <v>0.245</v>
      </c>
      <c r="E783">
        <v>8.5000000000000006E-2</v>
      </c>
      <c r="F783">
        <v>0.20150000000000001</v>
      </c>
      <c r="G783">
        <v>0.10050000000000001</v>
      </c>
      <c r="H783">
        <v>3.7999999999999999E-2</v>
      </c>
      <c r="I783">
        <v>5.2999999999999999E-2</v>
      </c>
      <c r="J783">
        <v>6</v>
      </c>
      <c r="K783">
        <v>1</v>
      </c>
      <c r="L783" t="s">
        <v>70</v>
      </c>
      <c r="M783" t="s">
        <v>71</v>
      </c>
      <c r="N783" t="s">
        <v>45</v>
      </c>
      <c r="O783">
        <v>1</v>
      </c>
      <c r="P783" t="s">
        <v>4</v>
      </c>
      <c r="Q783">
        <v>22.1</v>
      </c>
      <c r="R783" s="1" t="str">
        <f t="shared" si="13"/>
        <v>II</v>
      </c>
    </row>
    <row r="784" spans="1:18">
      <c r="A784">
        <v>430</v>
      </c>
      <c r="B784" t="s">
        <v>76</v>
      </c>
      <c r="C784">
        <v>0.57499999999999996</v>
      </c>
      <c r="D784">
        <v>0.45</v>
      </c>
      <c r="E784">
        <v>0.17</v>
      </c>
      <c r="F784">
        <v>1.0475000000000001</v>
      </c>
      <c r="G784">
        <v>0.3775</v>
      </c>
      <c r="H784">
        <v>0.17050000000000001</v>
      </c>
      <c r="I784">
        <v>0.38500000000000001</v>
      </c>
      <c r="J784">
        <v>18</v>
      </c>
      <c r="K784">
        <v>3</v>
      </c>
      <c r="L784" t="s">
        <v>52</v>
      </c>
      <c r="M784" t="s">
        <v>53</v>
      </c>
      <c r="N784" t="s">
        <v>54</v>
      </c>
      <c r="O784">
        <v>6</v>
      </c>
      <c r="P784" t="s">
        <v>7</v>
      </c>
      <c r="Q784">
        <v>14.1</v>
      </c>
      <c r="R784" s="1" t="str">
        <f t="shared" si="13"/>
        <v>II</v>
      </c>
    </row>
    <row r="785" spans="1:18">
      <c r="A785">
        <v>3775</v>
      </c>
      <c r="B785" t="s">
        <v>76</v>
      </c>
      <c r="C785">
        <v>0.57999999999999996</v>
      </c>
      <c r="D785">
        <v>0.42</v>
      </c>
      <c r="E785">
        <v>0.14000000000000001</v>
      </c>
      <c r="F785">
        <v>0.70099999999999996</v>
      </c>
      <c r="G785">
        <v>0.32850000000000001</v>
      </c>
      <c r="H785">
        <v>0.10199999999999999</v>
      </c>
      <c r="I785">
        <v>0.22550000000000001</v>
      </c>
      <c r="J785">
        <v>9</v>
      </c>
      <c r="K785">
        <v>14</v>
      </c>
      <c r="L785" t="s">
        <v>72</v>
      </c>
      <c r="M785" t="s">
        <v>73</v>
      </c>
      <c r="N785" t="s">
        <v>74</v>
      </c>
      <c r="O785">
        <v>4</v>
      </c>
      <c r="P785" t="s">
        <v>8</v>
      </c>
      <c r="Q785">
        <v>6.1</v>
      </c>
      <c r="R785" s="1" t="str">
        <f t="shared" si="13"/>
        <v>II</v>
      </c>
    </row>
    <row r="786" spans="1:18">
      <c r="A786">
        <v>2508</v>
      </c>
      <c r="B786" t="s">
        <v>76</v>
      </c>
      <c r="C786">
        <v>0.41499999999999998</v>
      </c>
      <c r="D786">
        <v>0.32500000000000001</v>
      </c>
      <c r="E786">
        <v>0.1</v>
      </c>
      <c r="F786">
        <v>0.46650000000000003</v>
      </c>
      <c r="G786">
        <v>0.22850000000000001</v>
      </c>
      <c r="H786">
        <v>0.1065</v>
      </c>
      <c r="I786">
        <v>0.114</v>
      </c>
      <c r="J786">
        <v>7</v>
      </c>
      <c r="K786">
        <v>5</v>
      </c>
      <c r="L786" t="s">
        <v>67</v>
      </c>
      <c r="M786" t="s">
        <v>68</v>
      </c>
      <c r="N786" t="s">
        <v>69</v>
      </c>
      <c r="O786">
        <v>3</v>
      </c>
      <c r="P786" t="s">
        <v>10</v>
      </c>
      <c r="Q786">
        <v>3.6</v>
      </c>
      <c r="R786" s="1" t="str">
        <f t="shared" si="13"/>
        <v>II</v>
      </c>
    </row>
    <row r="787" spans="1:18">
      <c r="A787">
        <v>700</v>
      </c>
      <c r="B787" t="s">
        <v>76</v>
      </c>
      <c r="C787">
        <v>0.39500000000000002</v>
      </c>
      <c r="D787">
        <v>0.315</v>
      </c>
      <c r="E787">
        <v>0.105</v>
      </c>
      <c r="F787">
        <v>0.35149999999999998</v>
      </c>
      <c r="G787">
        <v>0.11849999999999999</v>
      </c>
      <c r="H787">
        <v>9.0999999999999998E-2</v>
      </c>
      <c r="I787">
        <v>0.1195</v>
      </c>
      <c r="J787">
        <v>16</v>
      </c>
      <c r="K787">
        <v>12</v>
      </c>
      <c r="L787" t="s">
        <v>58</v>
      </c>
      <c r="M787" t="s">
        <v>59</v>
      </c>
      <c r="N787" t="s">
        <v>45</v>
      </c>
      <c r="O787">
        <v>8</v>
      </c>
      <c r="P787" t="s">
        <v>13</v>
      </c>
      <c r="Q787">
        <v>12.3</v>
      </c>
      <c r="R787" s="1" t="str">
        <f t="shared" si="13"/>
        <v>II</v>
      </c>
    </row>
    <row r="788" spans="1:18">
      <c r="A788">
        <v>2883</v>
      </c>
      <c r="B788" t="s">
        <v>76</v>
      </c>
      <c r="C788">
        <v>0.5</v>
      </c>
      <c r="D788">
        <v>0.39</v>
      </c>
      <c r="E788">
        <v>0.13</v>
      </c>
      <c r="F788">
        <v>0.50749999999999995</v>
      </c>
      <c r="G788">
        <v>0.21149999999999999</v>
      </c>
      <c r="H788">
        <v>0.104</v>
      </c>
      <c r="I788">
        <v>0.17549999999999999</v>
      </c>
      <c r="J788">
        <v>9</v>
      </c>
      <c r="K788">
        <v>14</v>
      </c>
      <c r="L788" t="s">
        <v>72</v>
      </c>
      <c r="M788" t="s">
        <v>73</v>
      </c>
      <c r="N788" t="s">
        <v>74</v>
      </c>
      <c r="O788">
        <v>5</v>
      </c>
      <c r="P788" t="s">
        <v>12</v>
      </c>
      <c r="Q788">
        <v>12.8</v>
      </c>
      <c r="R788" s="1" t="str">
        <f t="shared" si="13"/>
        <v>II</v>
      </c>
    </row>
    <row r="789" spans="1:18">
      <c r="A789">
        <v>3087</v>
      </c>
      <c r="B789" t="s">
        <v>76</v>
      </c>
      <c r="C789">
        <v>0.35499999999999998</v>
      </c>
      <c r="D789">
        <v>0.27</v>
      </c>
      <c r="E789">
        <v>7.4999999999999997E-2</v>
      </c>
      <c r="F789">
        <v>0.20399999999999999</v>
      </c>
      <c r="G789">
        <v>0.30449999999999999</v>
      </c>
      <c r="H789">
        <v>4.5999999999999999E-2</v>
      </c>
      <c r="I789">
        <v>5.9499999999999997E-2</v>
      </c>
      <c r="J789">
        <v>7</v>
      </c>
      <c r="K789">
        <v>15</v>
      </c>
      <c r="L789" t="s">
        <v>60</v>
      </c>
      <c r="M789" t="s">
        <v>61</v>
      </c>
      <c r="N789" t="s">
        <v>45</v>
      </c>
      <c r="O789">
        <v>8</v>
      </c>
      <c r="P789" t="s">
        <v>13</v>
      </c>
      <c r="Q789">
        <v>12.3</v>
      </c>
      <c r="R789" s="1" t="str">
        <f t="shared" si="13"/>
        <v>II</v>
      </c>
    </row>
    <row r="790" spans="1:18">
      <c r="A790">
        <v>3727</v>
      </c>
      <c r="B790" t="s">
        <v>76</v>
      </c>
      <c r="C790">
        <v>0.5</v>
      </c>
      <c r="D790">
        <v>0.39500000000000002</v>
      </c>
      <c r="E790">
        <v>0.14499999999999999</v>
      </c>
      <c r="F790">
        <v>0.78649999999999998</v>
      </c>
      <c r="G790">
        <v>0.33200000000000002</v>
      </c>
      <c r="H790">
        <v>0.18149999999999999</v>
      </c>
      <c r="I790">
        <v>0.2455</v>
      </c>
      <c r="J790">
        <v>8</v>
      </c>
      <c r="K790">
        <v>6</v>
      </c>
      <c r="L790" t="s">
        <v>46</v>
      </c>
      <c r="M790" t="s">
        <v>47</v>
      </c>
      <c r="N790" t="s">
        <v>48</v>
      </c>
      <c r="O790">
        <v>6</v>
      </c>
      <c r="P790" t="s">
        <v>7</v>
      </c>
      <c r="Q790">
        <v>14.1</v>
      </c>
      <c r="R790" s="1" t="str">
        <f t="shared" si="13"/>
        <v>II</v>
      </c>
    </row>
    <row r="791" spans="1:18">
      <c r="A791">
        <v>2724</v>
      </c>
      <c r="B791" t="s">
        <v>76</v>
      </c>
      <c r="C791">
        <v>0.38500000000000001</v>
      </c>
      <c r="D791">
        <v>0.3</v>
      </c>
      <c r="E791">
        <v>0.125</v>
      </c>
      <c r="F791">
        <v>0.34300000000000003</v>
      </c>
      <c r="G791">
        <v>0.17050000000000001</v>
      </c>
      <c r="H791">
        <v>7.3499999999999996E-2</v>
      </c>
      <c r="I791">
        <v>8.1000000000000003E-2</v>
      </c>
      <c r="J791">
        <v>7</v>
      </c>
      <c r="K791">
        <v>12</v>
      </c>
      <c r="L791" t="s">
        <v>58</v>
      </c>
      <c r="M791" t="s">
        <v>59</v>
      </c>
      <c r="N791" t="s">
        <v>45</v>
      </c>
      <c r="O791">
        <v>1</v>
      </c>
      <c r="P791" t="s">
        <v>4</v>
      </c>
      <c r="Q791">
        <v>22.1</v>
      </c>
      <c r="R791" s="1" t="str">
        <f t="shared" si="13"/>
        <v>II</v>
      </c>
    </row>
    <row r="792" spans="1:18">
      <c r="A792">
        <v>1567</v>
      </c>
      <c r="B792" t="s">
        <v>76</v>
      </c>
      <c r="C792">
        <v>0.46500000000000002</v>
      </c>
      <c r="D792">
        <v>0.37</v>
      </c>
      <c r="E792">
        <v>0.12</v>
      </c>
      <c r="F792">
        <v>0.4365</v>
      </c>
      <c r="G792">
        <v>0.188</v>
      </c>
      <c r="H792">
        <v>8.1500000000000003E-2</v>
      </c>
      <c r="I792">
        <v>0.14699999999999999</v>
      </c>
      <c r="J792">
        <v>9</v>
      </c>
      <c r="K792">
        <v>10</v>
      </c>
      <c r="L792" t="s">
        <v>37</v>
      </c>
      <c r="M792" t="s">
        <v>38</v>
      </c>
      <c r="N792" t="s">
        <v>39</v>
      </c>
      <c r="O792">
        <v>9</v>
      </c>
      <c r="P792" t="s">
        <v>9</v>
      </c>
      <c r="Q792">
        <v>1.9</v>
      </c>
      <c r="R792" s="1" t="str">
        <f t="shared" si="13"/>
        <v>II</v>
      </c>
    </row>
    <row r="793" spans="1:18">
      <c r="A793">
        <v>2761</v>
      </c>
      <c r="B793" t="s">
        <v>76</v>
      </c>
      <c r="C793">
        <v>0.55000000000000004</v>
      </c>
      <c r="D793">
        <v>0.43</v>
      </c>
      <c r="E793">
        <v>0.14499999999999999</v>
      </c>
      <c r="F793">
        <v>0.71199999999999997</v>
      </c>
      <c r="G793">
        <v>0.30249999999999999</v>
      </c>
      <c r="H793">
        <v>0.152</v>
      </c>
      <c r="I793">
        <v>0.22500000000000001</v>
      </c>
      <c r="J793">
        <v>10</v>
      </c>
      <c r="K793">
        <v>8</v>
      </c>
      <c r="L793" t="s">
        <v>55</v>
      </c>
      <c r="M793" t="s">
        <v>56</v>
      </c>
      <c r="N793" t="s">
        <v>57</v>
      </c>
      <c r="O793">
        <v>9</v>
      </c>
      <c r="P793" t="s">
        <v>9</v>
      </c>
      <c r="Q793">
        <v>1.9</v>
      </c>
      <c r="R793" s="1" t="str">
        <f t="shared" si="13"/>
        <v>II</v>
      </c>
    </row>
    <row r="794" spans="1:18">
      <c r="A794">
        <v>704</v>
      </c>
      <c r="B794" t="s">
        <v>76</v>
      </c>
      <c r="C794">
        <v>0.39500000000000002</v>
      </c>
      <c r="D794">
        <v>0.29499999999999998</v>
      </c>
      <c r="E794">
        <v>0.115</v>
      </c>
      <c r="F794">
        <v>0.316</v>
      </c>
      <c r="G794">
        <v>0.1205</v>
      </c>
      <c r="H794">
        <v>5.9499999999999997E-2</v>
      </c>
      <c r="I794">
        <v>0.1105</v>
      </c>
      <c r="J794">
        <v>12</v>
      </c>
      <c r="K794">
        <v>8</v>
      </c>
      <c r="L794" t="s">
        <v>55</v>
      </c>
      <c r="M794" t="s">
        <v>56</v>
      </c>
      <c r="N794" t="s">
        <v>57</v>
      </c>
      <c r="O794">
        <v>10</v>
      </c>
      <c r="P794" t="s">
        <v>11</v>
      </c>
      <c r="Q794">
        <v>24.1</v>
      </c>
      <c r="R794" s="1" t="str">
        <f t="shared" si="13"/>
        <v>II</v>
      </c>
    </row>
    <row r="795" spans="1:18">
      <c r="A795">
        <v>3124</v>
      </c>
      <c r="B795" t="s">
        <v>76</v>
      </c>
      <c r="C795">
        <v>0.57499999999999996</v>
      </c>
      <c r="D795">
        <v>0.45</v>
      </c>
      <c r="E795">
        <v>0.13500000000000001</v>
      </c>
      <c r="F795">
        <v>0.92149999999999999</v>
      </c>
      <c r="G795">
        <v>0.35399999999999998</v>
      </c>
      <c r="H795">
        <v>0.20899999999999999</v>
      </c>
      <c r="I795">
        <v>0.23649999999999999</v>
      </c>
      <c r="J795">
        <v>9</v>
      </c>
      <c r="K795">
        <v>7</v>
      </c>
      <c r="L795" t="s">
        <v>62</v>
      </c>
      <c r="M795" t="s">
        <v>63</v>
      </c>
      <c r="N795" t="s">
        <v>64</v>
      </c>
      <c r="O795">
        <v>5</v>
      </c>
      <c r="P795" t="s">
        <v>12</v>
      </c>
      <c r="Q795">
        <v>12.8</v>
      </c>
      <c r="R795" s="1" t="str">
        <f t="shared" si="13"/>
        <v>II</v>
      </c>
    </row>
    <row r="796" spans="1:18">
      <c r="A796">
        <v>2297</v>
      </c>
      <c r="B796" t="s">
        <v>76</v>
      </c>
      <c r="C796">
        <v>0.53500000000000003</v>
      </c>
      <c r="D796">
        <v>0.45</v>
      </c>
      <c r="E796">
        <v>0.13500000000000001</v>
      </c>
      <c r="F796">
        <v>0.8075</v>
      </c>
      <c r="G796">
        <v>0.32200000000000001</v>
      </c>
      <c r="H796">
        <v>0.18099999999999999</v>
      </c>
      <c r="I796">
        <v>0.25</v>
      </c>
      <c r="J796">
        <v>13</v>
      </c>
      <c r="K796">
        <v>2</v>
      </c>
      <c r="L796" t="s">
        <v>49</v>
      </c>
      <c r="M796" t="s">
        <v>50</v>
      </c>
      <c r="N796" t="s">
        <v>51</v>
      </c>
      <c r="O796">
        <v>10</v>
      </c>
      <c r="P796" t="s">
        <v>11</v>
      </c>
      <c r="Q796">
        <v>24.1</v>
      </c>
      <c r="R796" s="1" t="str">
        <f t="shared" si="13"/>
        <v>II</v>
      </c>
    </row>
    <row r="797" spans="1:18">
      <c r="A797">
        <v>2328</v>
      </c>
      <c r="B797" t="s">
        <v>76</v>
      </c>
      <c r="C797">
        <v>0.47499999999999998</v>
      </c>
      <c r="D797">
        <v>0.39500000000000002</v>
      </c>
      <c r="E797">
        <v>0.13500000000000001</v>
      </c>
      <c r="F797">
        <v>0.59199999999999997</v>
      </c>
      <c r="G797">
        <v>0.2465</v>
      </c>
      <c r="H797">
        <v>0.16450000000000001</v>
      </c>
      <c r="I797">
        <v>0.2</v>
      </c>
      <c r="J797">
        <v>13</v>
      </c>
      <c r="K797">
        <v>15</v>
      </c>
      <c r="L797" t="s">
        <v>60</v>
      </c>
      <c r="M797" t="s">
        <v>61</v>
      </c>
      <c r="N797" t="s">
        <v>45</v>
      </c>
      <c r="O797">
        <v>1</v>
      </c>
      <c r="P797" t="s">
        <v>4</v>
      </c>
      <c r="Q797">
        <v>22.1</v>
      </c>
      <c r="R797" s="1" t="str">
        <f t="shared" si="13"/>
        <v>II</v>
      </c>
    </row>
    <row r="798" spans="1:18">
      <c r="A798">
        <v>3448</v>
      </c>
      <c r="B798" t="s">
        <v>76</v>
      </c>
      <c r="C798">
        <v>0.505</v>
      </c>
      <c r="D798">
        <v>0.39</v>
      </c>
      <c r="E798">
        <v>0.12</v>
      </c>
      <c r="F798">
        <v>0.57250000000000001</v>
      </c>
      <c r="G798">
        <v>0.2555</v>
      </c>
      <c r="H798">
        <v>0.13250000000000001</v>
      </c>
      <c r="I798">
        <v>0.14599999999999999</v>
      </c>
      <c r="J798">
        <v>8</v>
      </c>
      <c r="K798">
        <v>2</v>
      </c>
      <c r="L798" t="s">
        <v>49</v>
      </c>
      <c r="M798" t="s">
        <v>50</v>
      </c>
      <c r="N798" t="s">
        <v>51</v>
      </c>
      <c r="O798">
        <v>7</v>
      </c>
      <c r="P798" t="s">
        <v>6</v>
      </c>
      <c r="Q798">
        <v>2.5</v>
      </c>
      <c r="R798" s="1" t="str">
        <f t="shared" si="13"/>
        <v>II</v>
      </c>
    </row>
    <row r="799" spans="1:18">
      <c r="A799">
        <v>1471</v>
      </c>
      <c r="B799" t="s">
        <v>76</v>
      </c>
      <c r="C799">
        <v>0.53</v>
      </c>
      <c r="D799">
        <v>0.43</v>
      </c>
      <c r="E799">
        <v>0.13</v>
      </c>
      <c r="F799">
        <v>0.70450000000000002</v>
      </c>
      <c r="G799">
        <v>0.34599999999999997</v>
      </c>
      <c r="H799">
        <v>0.14149999999999999</v>
      </c>
      <c r="I799">
        <v>0.189</v>
      </c>
      <c r="J799">
        <v>9</v>
      </c>
      <c r="K799">
        <v>11</v>
      </c>
      <c r="L799" t="s">
        <v>65</v>
      </c>
      <c r="M799" t="s">
        <v>66</v>
      </c>
      <c r="N799" t="s">
        <v>45</v>
      </c>
      <c r="O799">
        <v>8</v>
      </c>
      <c r="P799" t="s">
        <v>13</v>
      </c>
      <c r="Q799">
        <v>12.3</v>
      </c>
      <c r="R799" s="1" t="str">
        <f t="shared" si="13"/>
        <v>II</v>
      </c>
    </row>
    <row r="800" spans="1:18">
      <c r="A800">
        <v>459</v>
      </c>
      <c r="B800" t="s">
        <v>76</v>
      </c>
      <c r="C800">
        <v>0.41499999999999998</v>
      </c>
      <c r="D800">
        <v>0.31</v>
      </c>
      <c r="E800">
        <v>0.11</v>
      </c>
      <c r="F800">
        <v>0.29649999999999999</v>
      </c>
      <c r="G800">
        <v>0.123</v>
      </c>
      <c r="H800">
        <v>5.7000000000000002E-2</v>
      </c>
      <c r="I800">
        <v>9.9500000000000005E-2</v>
      </c>
      <c r="J800">
        <v>10</v>
      </c>
      <c r="K800">
        <v>13</v>
      </c>
      <c r="L800" t="s">
        <v>43</v>
      </c>
      <c r="M800" t="s">
        <v>44</v>
      </c>
      <c r="N800" t="s">
        <v>45</v>
      </c>
      <c r="O800">
        <v>10</v>
      </c>
      <c r="P800" t="s">
        <v>11</v>
      </c>
      <c r="Q800">
        <v>24.1</v>
      </c>
      <c r="R800" s="1" t="str">
        <f t="shared" si="13"/>
        <v>II</v>
      </c>
    </row>
    <row r="801" spans="1:18">
      <c r="A801">
        <v>672</v>
      </c>
      <c r="B801" t="s">
        <v>76</v>
      </c>
      <c r="C801">
        <v>0.5</v>
      </c>
      <c r="D801">
        <v>0.38</v>
      </c>
      <c r="E801">
        <v>0.155</v>
      </c>
      <c r="F801">
        <v>0.65500000000000003</v>
      </c>
      <c r="G801">
        <v>0.24049999999999999</v>
      </c>
      <c r="H801">
        <v>0.14299999999999999</v>
      </c>
      <c r="I801">
        <v>0.20499999999999999</v>
      </c>
      <c r="J801">
        <v>17</v>
      </c>
      <c r="K801">
        <v>10</v>
      </c>
      <c r="L801" t="s">
        <v>37</v>
      </c>
      <c r="M801" t="s">
        <v>38</v>
      </c>
      <c r="N801" t="s">
        <v>39</v>
      </c>
      <c r="O801">
        <v>1</v>
      </c>
      <c r="P801" t="s">
        <v>4</v>
      </c>
      <c r="Q801">
        <v>22.1</v>
      </c>
      <c r="R801" s="1" t="str">
        <f t="shared" si="13"/>
        <v>II</v>
      </c>
    </row>
    <row r="802" spans="1:18">
      <c r="A802">
        <v>2910</v>
      </c>
      <c r="B802" t="s">
        <v>76</v>
      </c>
      <c r="C802">
        <v>0.57999999999999996</v>
      </c>
      <c r="D802">
        <v>0.45</v>
      </c>
      <c r="E802">
        <v>0.15</v>
      </c>
      <c r="F802">
        <v>0.92</v>
      </c>
      <c r="G802">
        <v>0.39300000000000002</v>
      </c>
      <c r="H802">
        <v>0.21199999999999999</v>
      </c>
      <c r="I802">
        <v>0.28949999999999998</v>
      </c>
      <c r="J802">
        <v>9</v>
      </c>
      <c r="K802">
        <v>14</v>
      </c>
      <c r="L802" t="s">
        <v>72</v>
      </c>
      <c r="M802" t="s">
        <v>73</v>
      </c>
      <c r="N802" t="s">
        <v>74</v>
      </c>
      <c r="O802">
        <v>9</v>
      </c>
      <c r="P802" t="s">
        <v>9</v>
      </c>
      <c r="Q802">
        <v>1.9</v>
      </c>
      <c r="R802" s="1" t="str">
        <f t="shared" si="13"/>
        <v>II</v>
      </c>
    </row>
    <row r="803" spans="1:18">
      <c r="A803">
        <v>2133</v>
      </c>
      <c r="B803" t="s">
        <v>76</v>
      </c>
      <c r="C803">
        <v>0.52</v>
      </c>
      <c r="D803">
        <v>0.41</v>
      </c>
      <c r="E803">
        <v>0.125</v>
      </c>
      <c r="F803">
        <v>0.69850000000000001</v>
      </c>
      <c r="G803">
        <v>0.29449999999999998</v>
      </c>
      <c r="H803">
        <v>0.16250000000000001</v>
      </c>
      <c r="I803">
        <v>0.215</v>
      </c>
      <c r="J803">
        <v>10</v>
      </c>
      <c r="K803">
        <v>14</v>
      </c>
      <c r="L803" t="s">
        <v>72</v>
      </c>
      <c r="M803" t="s">
        <v>73</v>
      </c>
      <c r="N803" t="s">
        <v>74</v>
      </c>
      <c r="O803">
        <v>7</v>
      </c>
      <c r="P803" t="s">
        <v>6</v>
      </c>
      <c r="Q803">
        <v>2.5</v>
      </c>
      <c r="R803" s="1" t="str">
        <f t="shared" si="13"/>
        <v>II</v>
      </c>
    </row>
    <row r="804" spans="1:18">
      <c r="A804">
        <v>2749</v>
      </c>
      <c r="B804" t="s">
        <v>76</v>
      </c>
      <c r="C804">
        <v>0.505</v>
      </c>
      <c r="D804">
        <v>0.38500000000000001</v>
      </c>
      <c r="E804">
        <v>0.125</v>
      </c>
      <c r="F804">
        <v>0.59599999999999997</v>
      </c>
      <c r="G804">
        <v>0.245</v>
      </c>
      <c r="H804">
        <v>9.7000000000000003E-2</v>
      </c>
      <c r="I804">
        <v>0.21</v>
      </c>
      <c r="J804">
        <v>9</v>
      </c>
      <c r="K804">
        <v>1</v>
      </c>
      <c r="L804" t="s">
        <v>70</v>
      </c>
      <c r="M804" t="s">
        <v>71</v>
      </c>
      <c r="N804" t="s">
        <v>45</v>
      </c>
      <c r="O804">
        <v>6</v>
      </c>
      <c r="P804" t="s">
        <v>7</v>
      </c>
      <c r="Q804">
        <v>14.1</v>
      </c>
      <c r="R804" s="1" t="str">
        <f t="shared" si="13"/>
        <v>II</v>
      </c>
    </row>
    <row r="805" spans="1:18">
      <c r="A805">
        <v>2648</v>
      </c>
      <c r="B805" t="s">
        <v>76</v>
      </c>
      <c r="C805">
        <v>0.5</v>
      </c>
      <c r="D805">
        <v>0.39</v>
      </c>
      <c r="E805">
        <v>0.125</v>
      </c>
      <c r="F805">
        <v>0.58299999999999996</v>
      </c>
      <c r="G805">
        <v>0.29399999999999998</v>
      </c>
      <c r="H805">
        <v>0.13200000000000001</v>
      </c>
      <c r="I805">
        <v>0.1605</v>
      </c>
      <c r="J805">
        <v>8</v>
      </c>
      <c r="K805">
        <v>5</v>
      </c>
      <c r="L805" t="s">
        <v>67</v>
      </c>
      <c r="M805" t="s">
        <v>68</v>
      </c>
      <c r="N805" t="s">
        <v>69</v>
      </c>
      <c r="O805">
        <v>8</v>
      </c>
      <c r="P805" t="s">
        <v>13</v>
      </c>
      <c r="Q805">
        <v>12.3</v>
      </c>
      <c r="R805" s="1" t="str">
        <f t="shared" si="13"/>
        <v>II</v>
      </c>
    </row>
    <row r="806" spans="1:18">
      <c r="A806">
        <v>3557</v>
      </c>
      <c r="B806" t="s">
        <v>76</v>
      </c>
      <c r="C806">
        <v>0.53500000000000003</v>
      </c>
      <c r="D806">
        <v>0.41</v>
      </c>
      <c r="E806">
        <v>0.13</v>
      </c>
      <c r="F806">
        <v>0.60750000000000004</v>
      </c>
      <c r="G806">
        <v>0.26800000000000002</v>
      </c>
      <c r="H806">
        <v>0.1225</v>
      </c>
      <c r="I806">
        <v>0.19750000000000001</v>
      </c>
      <c r="J806">
        <v>9</v>
      </c>
      <c r="K806">
        <v>9</v>
      </c>
      <c r="L806" t="s">
        <v>34</v>
      </c>
      <c r="M806" t="s">
        <v>35</v>
      </c>
      <c r="N806" t="s">
        <v>36</v>
      </c>
      <c r="O806">
        <v>3</v>
      </c>
      <c r="P806" t="s">
        <v>10</v>
      </c>
      <c r="Q806">
        <v>3.6</v>
      </c>
      <c r="R806" s="1" t="str">
        <f t="shared" si="13"/>
        <v>II</v>
      </c>
    </row>
    <row r="807" spans="1:18">
      <c r="A807">
        <v>2563</v>
      </c>
      <c r="B807" t="s">
        <v>76</v>
      </c>
      <c r="C807">
        <v>0.44</v>
      </c>
      <c r="D807">
        <v>0.32500000000000001</v>
      </c>
      <c r="E807">
        <v>0.1</v>
      </c>
      <c r="F807">
        <v>0.41649999999999998</v>
      </c>
      <c r="G807">
        <v>0.185</v>
      </c>
      <c r="H807">
        <v>8.6499999999999994E-2</v>
      </c>
      <c r="I807">
        <v>0.11</v>
      </c>
      <c r="J807">
        <v>6</v>
      </c>
      <c r="K807">
        <v>3</v>
      </c>
      <c r="L807" t="s">
        <v>52</v>
      </c>
      <c r="M807" t="s">
        <v>53</v>
      </c>
      <c r="N807" t="s">
        <v>54</v>
      </c>
      <c r="O807">
        <v>2</v>
      </c>
      <c r="P807" t="s">
        <v>5</v>
      </c>
      <c r="Q807">
        <v>18</v>
      </c>
      <c r="R807" s="1" t="str">
        <f t="shared" si="13"/>
        <v>II</v>
      </c>
    </row>
    <row r="808" spans="1:18">
      <c r="A808">
        <v>439</v>
      </c>
      <c r="B808" t="s">
        <v>76</v>
      </c>
      <c r="C808">
        <v>0.39</v>
      </c>
      <c r="D808">
        <v>0.3</v>
      </c>
      <c r="E808">
        <v>0.09</v>
      </c>
      <c r="F808">
        <v>0.30549999999999999</v>
      </c>
      <c r="G808">
        <v>0.14299999999999999</v>
      </c>
      <c r="H808">
        <v>6.4500000000000002E-2</v>
      </c>
      <c r="I808">
        <v>8.5000000000000006E-2</v>
      </c>
      <c r="J808">
        <v>9</v>
      </c>
      <c r="K808">
        <v>3</v>
      </c>
      <c r="L808" t="s">
        <v>52</v>
      </c>
      <c r="M808" t="s">
        <v>53</v>
      </c>
      <c r="N808" t="s">
        <v>54</v>
      </c>
      <c r="O808">
        <v>4</v>
      </c>
      <c r="P808" t="s">
        <v>8</v>
      </c>
      <c r="Q808">
        <v>6.1</v>
      </c>
      <c r="R808" s="1" t="str">
        <f t="shared" si="13"/>
        <v>II</v>
      </c>
    </row>
    <row r="809" spans="1:18">
      <c r="A809">
        <v>3891</v>
      </c>
      <c r="B809" t="s">
        <v>76</v>
      </c>
      <c r="C809">
        <v>0.51500000000000001</v>
      </c>
      <c r="D809">
        <v>0.4</v>
      </c>
      <c r="E809">
        <v>0.14000000000000001</v>
      </c>
      <c r="F809">
        <v>0.73650000000000004</v>
      </c>
      <c r="G809">
        <v>0.29549999999999998</v>
      </c>
      <c r="H809">
        <v>0.184</v>
      </c>
      <c r="I809">
        <v>0.185</v>
      </c>
      <c r="J809">
        <v>16</v>
      </c>
      <c r="K809">
        <v>3</v>
      </c>
      <c r="L809" t="s">
        <v>52</v>
      </c>
      <c r="M809" t="s">
        <v>53</v>
      </c>
      <c r="N809" t="s">
        <v>54</v>
      </c>
      <c r="O809">
        <v>4</v>
      </c>
      <c r="P809" t="s">
        <v>8</v>
      </c>
      <c r="Q809">
        <v>6.1</v>
      </c>
      <c r="R809" s="1" t="str">
        <f t="shared" si="13"/>
        <v>II</v>
      </c>
    </row>
    <row r="810" spans="1:18">
      <c r="A810">
        <v>3884</v>
      </c>
      <c r="B810" t="s">
        <v>76</v>
      </c>
      <c r="C810">
        <v>0.54</v>
      </c>
      <c r="D810">
        <v>0.42499999999999999</v>
      </c>
      <c r="E810">
        <v>0.12</v>
      </c>
      <c r="F810">
        <v>0.81699999999999995</v>
      </c>
      <c r="G810">
        <v>0.29449999999999998</v>
      </c>
      <c r="H810">
        <v>0.153</v>
      </c>
      <c r="I810">
        <v>0.19500000000000001</v>
      </c>
      <c r="J810">
        <v>10</v>
      </c>
      <c r="K810">
        <v>12</v>
      </c>
      <c r="L810" t="s">
        <v>58</v>
      </c>
      <c r="M810" t="s">
        <v>59</v>
      </c>
      <c r="N810" t="s">
        <v>45</v>
      </c>
      <c r="O810">
        <v>3</v>
      </c>
      <c r="P810" t="s">
        <v>10</v>
      </c>
      <c r="Q810">
        <v>3.6</v>
      </c>
      <c r="R810" s="1" t="str">
        <f t="shared" si="13"/>
        <v>II</v>
      </c>
    </row>
    <row r="811" spans="1:18">
      <c r="A811">
        <v>4038</v>
      </c>
      <c r="B811" t="s">
        <v>76</v>
      </c>
      <c r="C811">
        <v>0.54</v>
      </c>
      <c r="D811">
        <v>0.41499999999999998</v>
      </c>
      <c r="E811">
        <v>0.155</v>
      </c>
      <c r="F811">
        <v>0.70199999999999996</v>
      </c>
      <c r="G811">
        <v>0.32200000000000001</v>
      </c>
      <c r="H811">
        <v>0.16700000000000001</v>
      </c>
      <c r="I811">
        <v>0.19</v>
      </c>
      <c r="J811">
        <v>10</v>
      </c>
      <c r="K811">
        <v>13</v>
      </c>
      <c r="L811" t="s">
        <v>43</v>
      </c>
      <c r="M811" t="s">
        <v>44</v>
      </c>
      <c r="N811" t="s">
        <v>45</v>
      </c>
      <c r="O811">
        <v>3</v>
      </c>
      <c r="P811" t="s">
        <v>10</v>
      </c>
      <c r="Q811">
        <v>3.6</v>
      </c>
      <c r="R811" s="1" t="str">
        <f t="shared" si="13"/>
        <v>II</v>
      </c>
    </row>
    <row r="812" spans="1:18">
      <c r="A812">
        <v>2220</v>
      </c>
      <c r="B812" t="s">
        <v>76</v>
      </c>
      <c r="C812">
        <v>0.48499999999999999</v>
      </c>
      <c r="D812">
        <v>0.375</v>
      </c>
      <c r="E812">
        <v>0.14499999999999999</v>
      </c>
      <c r="F812">
        <v>0.58850000000000002</v>
      </c>
      <c r="G812">
        <v>0.23849999999999999</v>
      </c>
      <c r="H812">
        <v>0.11550000000000001</v>
      </c>
      <c r="I812">
        <v>0.19</v>
      </c>
      <c r="J812">
        <v>13</v>
      </c>
      <c r="K812">
        <v>14</v>
      </c>
      <c r="L812" t="s">
        <v>72</v>
      </c>
      <c r="M812" t="s">
        <v>73</v>
      </c>
      <c r="N812" t="s">
        <v>74</v>
      </c>
      <c r="O812">
        <v>5</v>
      </c>
      <c r="P812" t="s">
        <v>12</v>
      </c>
      <c r="Q812">
        <v>12.8</v>
      </c>
      <c r="R812" s="1" t="str">
        <f t="shared" si="13"/>
        <v>II</v>
      </c>
    </row>
    <row r="813" spans="1:18">
      <c r="A813">
        <v>2417</v>
      </c>
      <c r="B813" t="s">
        <v>76</v>
      </c>
      <c r="C813">
        <v>0.42499999999999999</v>
      </c>
      <c r="D813">
        <v>0.315</v>
      </c>
      <c r="E813">
        <v>0.125</v>
      </c>
      <c r="F813">
        <v>0.35249999999999998</v>
      </c>
      <c r="G813">
        <v>0.1135</v>
      </c>
      <c r="H813">
        <v>5.6500000000000002E-2</v>
      </c>
      <c r="I813">
        <v>0.13</v>
      </c>
      <c r="J813">
        <v>18</v>
      </c>
      <c r="K813">
        <v>14</v>
      </c>
      <c r="L813" t="s">
        <v>72</v>
      </c>
      <c r="M813" t="s">
        <v>73</v>
      </c>
      <c r="N813" t="s">
        <v>74</v>
      </c>
      <c r="O813">
        <v>2</v>
      </c>
      <c r="P813" t="s">
        <v>5</v>
      </c>
      <c r="Q813">
        <v>18</v>
      </c>
      <c r="R813" s="1" t="str">
        <f t="shared" si="13"/>
        <v>II</v>
      </c>
    </row>
    <row r="814" spans="1:18">
      <c r="A814">
        <v>3646</v>
      </c>
      <c r="B814" t="s">
        <v>76</v>
      </c>
      <c r="C814">
        <v>0.47499999999999998</v>
      </c>
      <c r="D814">
        <v>0.33500000000000002</v>
      </c>
      <c r="E814">
        <v>0.1</v>
      </c>
      <c r="F814">
        <v>0.4425</v>
      </c>
      <c r="G814">
        <v>0.1895</v>
      </c>
      <c r="H814">
        <v>8.5999999999999993E-2</v>
      </c>
      <c r="I814">
        <v>0.13500000000000001</v>
      </c>
      <c r="J814">
        <v>9</v>
      </c>
      <c r="K814">
        <v>10</v>
      </c>
      <c r="L814" t="s">
        <v>37</v>
      </c>
      <c r="M814" t="s">
        <v>38</v>
      </c>
      <c r="N814" t="s">
        <v>39</v>
      </c>
      <c r="O814">
        <v>3</v>
      </c>
      <c r="P814" t="s">
        <v>10</v>
      </c>
      <c r="Q814">
        <v>3.6</v>
      </c>
      <c r="R814" s="1" t="str">
        <f t="shared" si="13"/>
        <v>II</v>
      </c>
    </row>
    <row r="815" spans="1:18">
      <c r="A815">
        <v>1646</v>
      </c>
      <c r="B815" t="s">
        <v>76</v>
      </c>
      <c r="C815">
        <v>0.57999999999999996</v>
      </c>
      <c r="D815">
        <v>0.43</v>
      </c>
      <c r="E815">
        <v>0.13</v>
      </c>
      <c r="F815">
        <v>0.79800000000000004</v>
      </c>
      <c r="G815">
        <v>0.36499999999999999</v>
      </c>
      <c r="H815">
        <v>0.17299999999999999</v>
      </c>
      <c r="I815">
        <v>0.22850000000000001</v>
      </c>
      <c r="J815">
        <v>10</v>
      </c>
      <c r="K815">
        <v>4</v>
      </c>
      <c r="L815" t="s">
        <v>40</v>
      </c>
      <c r="M815" t="s">
        <v>41</v>
      </c>
      <c r="N815" t="s">
        <v>42</v>
      </c>
      <c r="O815">
        <v>1</v>
      </c>
      <c r="P815" t="s">
        <v>4</v>
      </c>
      <c r="Q815">
        <v>22.1</v>
      </c>
      <c r="R815" s="1" t="str">
        <f t="shared" si="13"/>
        <v>II</v>
      </c>
    </row>
    <row r="816" spans="1:18">
      <c r="A816">
        <v>3340</v>
      </c>
      <c r="B816" t="s">
        <v>76</v>
      </c>
      <c r="C816">
        <v>0.58499999999999996</v>
      </c>
      <c r="D816">
        <v>0.47499999999999998</v>
      </c>
      <c r="E816">
        <v>0.185</v>
      </c>
      <c r="F816">
        <v>0.85750000000000004</v>
      </c>
      <c r="G816">
        <v>0.34649999999999997</v>
      </c>
      <c r="H816">
        <v>0.17849999999999999</v>
      </c>
      <c r="I816">
        <v>0.27500000000000002</v>
      </c>
      <c r="J816">
        <v>12</v>
      </c>
      <c r="K816">
        <v>6</v>
      </c>
      <c r="L816" t="s">
        <v>46</v>
      </c>
      <c r="M816" t="s">
        <v>47</v>
      </c>
      <c r="N816" t="s">
        <v>48</v>
      </c>
      <c r="O816">
        <v>1</v>
      </c>
      <c r="P816" t="s">
        <v>4</v>
      </c>
      <c r="Q816">
        <v>22.1</v>
      </c>
      <c r="R816" s="1" t="str">
        <f t="shared" si="13"/>
        <v>II</v>
      </c>
    </row>
    <row r="817" spans="1:18">
      <c r="A817">
        <v>2001</v>
      </c>
      <c r="B817" t="s">
        <v>76</v>
      </c>
      <c r="C817">
        <v>0.35499999999999998</v>
      </c>
      <c r="D817">
        <v>0.27</v>
      </c>
      <c r="E817">
        <v>0.105</v>
      </c>
      <c r="F817">
        <v>0.27100000000000002</v>
      </c>
      <c r="G817">
        <v>0.14249999999999999</v>
      </c>
      <c r="H817">
        <v>5.2499999999999998E-2</v>
      </c>
      <c r="I817">
        <v>7.3499999999999996E-2</v>
      </c>
      <c r="J817">
        <v>9</v>
      </c>
      <c r="K817">
        <v>15</v>
      </c>
      <c r="L817" t="s">
        <v>60</v>
      </c>
      <c r="M817" t="s">
        <v>61</v>
      </c>
      <c r="N817" t="s">
        <v>45</v>
      </c>
      <c r="O817">
        <v>4</v>
      </c>
      <c r="P817" t="s">
        <v>8</v>
      </c>
      <c r="Q817">
        <v>6.1</v>
      </c>
      <c r="R817" s="1" t="str">
        <f t="shared" si="13"/>
        <v>II</v>
      </c>
    </row>
    <row r="818" spans="1:18">
      <c r="A818">
        <v>1254</v>
      </c>
      <c r="B818" t="s">
        <v>76</v>
      </c>
      <c r="C818">
        <v>0.42</v>
      </c>
      <c r="D818">
        <v>0.30499999999999999</v>
      </c>
      <c r="E818">
        <v>0.09</v>
      </c>
      <c r="F818">
        <v>0.32800000000000001</v>
      </c>
      <c r="G818">
        <v>0.16800000000000001</v>
      </c>
      <c r="H818">
        <v>6.1499999999999999E-2</v>
      </c>
      <c r="I818">
        <v>8.2000000000000003E-2</v>
      </c>
      <c r="J818">
        <v>6</v>
      </c>
      <c r="K818">
        <v>6</v>
      </c>
      <c r="L818" t="s">
        <v>46</v>
      </c>
      <c r="M818" t="s">
        <v>47</v>
      </c>
      <c r="N818" t="s">
        <v>48</v>
      </c>
      <c r="O818">
        <v>6</v>
      </c>
      <c r="P818" t="s">
        <v>7</v>
      </c>
      <c r="Q818">
        <v>14.1</v>
      </c>
      <c r="R818" s="1" t="str">
        <f t="shared" si="13"/>
        <v>II</v>
      </c>
    </row>
    <row r="819" spans="1:18">
      <c r="A819">
        <v>634</v>
      </c>
      <c r="B819" t="s">
        <v>76</v>
      </c>
      <c r="C819">
        <v>0.47</v>
      </c>
      <c r="D819">
        <v>0.36</v>
      </c>
      <c r="E819">
        <v>0.13</v>
      </c>
      <c r="F819">
        <v>0.52249999999999996</v>
      </c>
      <c r="G819">
        <v>0.19800000000000001</v>
      </c>
      <c r="H819">
        <v>0.1065</v>
      </c>
      <c r="I819">
        <v>0.16500000000000001</v>
      </c>
      <c r="J819">
        <v>9</v>
      </c>
      <c r="K819">
        <v>8</v>
      </c>
      <c r="L819" t="s">
        <v>55</v>
      </c>
      <c r="M819" t="s">
        <v>56</v>
      </c>
      <c r="N819" t="s">
        <v>57</v>
      </c>
      <c r="O819">
        <v>7</v>
      </c>
      <c r="P819" t="s">
        <v>6</v>
      </c>
      <c r="Q819">
        <v>2.5</v>
      </c>
      <c r="R819" s="1" t="str">
        <f t="shared" si="13"/>
        <v>II</v>
      </c>
    </row>
    <row r="820" spans="1:18">
      <c r="A820">
        <v>3025</v>
      </c>
      <c r="B820" t="s">
        <v>76</v>
      </c>
      <c r="C820">
        <v>0.47499999999999998</v>
      </c>
      <c r="D820">
        <v>0.375</v>
      </c>
      <c r="E820">
        <v>0.11</v>
      </c>
      <c r="F820">
        <v>0.45600000000000002</v>
      </c>
      <c r="G820">
        <v>0.182</v>
      </c>
      <c r="H820">
        <v>9.9000000000000005E-2</v>
      </c>
      <c r="I820">
        <v>0.16</v>
      </c>
      <c r="J820">
        <v>9</v>
      </c>
      <c r="K820">
        <v>14</v>
      </c>
      <c r="L820" t="s">
        <v>72</v>
      </c>
      <c r="M820" t="s">
        <v>73</v>
      </c>
      <c r="N820" t="s">
        <v>74</v>
      </c>
      <c r="O820">
        <v>5</v>
      </c>
      <c r="P820" t="s">
        <v>12</v>
      </c>
      <c r="Q820">
        <v>12.8</v>
      </c>
      <c r="R820" s="1" t="str">
        <f t="shared" si="13"/>
        <v>II</v>
      </c>
    </row>
    <row r="821" spans="1:18">
      <c r="A821">
        <v>773</v>
      </c>
      <c r="B821" t="s">
        <v>76</v>
      </c>
      <c r="C821">
        <v>0.38500000000000001</v>
      </c>
      <c r="D821">
        <v>0.27500000000000002</v>
      </c>
      <c r="E821">
        <v>0.115</v>
      </c>
      <c r="F821">
        <v>0.26850000000000002</v>
      </c>
      <c r="G821">
        <v>9.7500000000000003E-2</v>
      </c>
      <c r="H821">
        <v>8.2500000000000004E-2</v>
      </c>
      <c r="I821">
        <v>8.5000000000000006E-2</v>
      </c>
      <c r="J821">
        <v>8</v>
      </c>
      <c r="K821">
        <v>2</v>
      </c>
      <c r="L821" t="s">
        <v>49</v>
      </c>
      <c r="M821" t="s">
        <v>50</v>
      </c>
      <c r="N821" t="s">
        <v>51</v>
      </c>
      <c r="O821">
        <v>10</v>
      </c>
      <c r="P821" t="s">
        <v>11</v>
      </c>
      <c r="Q821">
        <v>24.1</v>
      </c>
      <c r="R821" s="1" t="str">
        <f t="shared" si="13"/>
        <v>II</v>
      </c>
    </row>
    <row r="822" spans="1:18">
      <c r="A822">
        <v>1465</v>
      </c>
      <c r="B822" t="s">
        <v>76</v>
      </c>
      <c r="C822">
        <v>0.505</v>
      </c>
      <c r="D822">
        <v>0.38</v>
      </c>
      <c r="E822">
        <v>0.13500000000000001</v>
      </c>
      <c r="F822">
        <v>0.6855</v>
      </c>
      <c r="G822">
        <v>0.36099999999999999</v>
      </c>
      <c r="H822">
        <v>0.1565</v>
      </c>
      <c r="I822">
        <v>0.161</v>
      </c>
      <c r="J822">
        <v>9</v>
      </c>
      <c r="K822">
        <v>15</v>
      </c>
      <c r="L822" t="s">
        <v>60</v>
      </c>
      <c r="M822" t="s">
        <v>61</v>
      </c>
      <c r="N822" t="s">
        <v>45</v>
      </c>
      <c r="O822">
        <v>3</v>
      </c>
      <c r="P822" t="s">
        <v>10</v>
      </c>
      <c r="Q822">
        <v>3.6</v>
      </c>
      <c r="R822" s="1" t="str">
        <f t="shared" si="13"/>
        <v>II</v>
      </c>
    </row>
    <row r="823" spans="1:18">
      <c r="A823">
        <v>833</v>
      </c>
      <c r="B823" t="s">
        <v>76</v>
      </c>
      <c r="C823">
        <v>0.44</v>
      </c>
      <c r="D823">
        <v>0.36499999999999999</v>
      </c>
      <c r="E823">
        <v>0.115</v>
      </c>
      <c r="F823">
        <v>0.501</v>
      </c>
      <c r="G823">
        <v>0.24349999999999999</v>
      </c>
      <c r="H823">
        <v>8.4000000000000005E-2</v>
      </c>
      <c r="I823">
        <v>0.14649999999999999</v>
      </c>
      <c r="J823">
        <v>9</v>
      </c>
      <c r="K823">
        <v>12</v>
      </c>
      <c r="L823" t="s">
        <v>58</v>
      </c>
      <c r="M823" t="s">
        <v>59</v>
      </c>
      <c r="N823" t="s">
        <v>45</v>
      </c>
      <c r="O823">
        <v>3</v>
      </c>
      <c r="P823" t="s">
        <v>10</v>
      </c>
      <c r="Q823">
        <v>3.6</v>
      </c>
      <c r="R823" s="1" t="str">
        <f t="shared" si="13"/>
        <v>II</v>
      </c>
    </row>
    <row r="824" spans="1:18">
      <c r="A824">
        <v>2207</v>
      </c>
      <c r="B824" t="s">
        <v>76</v>
      </c>
      <c r="C824">
        <v>0.28999999999999998</v>
      </c>
      <c r="D824">
        <v>0.22500000000000001</v>
      </c>
      <c r="E824">
        <v>7.4999999999999997E-2</v>
      </c>
      <c r="F824">
        <v>0.14000000000000001</v>
      </c>
      <c r="G824">
        <v>5.1499999999999997E-2</v>
      </c>
      <c r="H824">
        <v>2.35E-2</v>
      </c>
      <c r="I824">
        <v>0.04</v>
      </c>
      <c r="J824">
        <v>5</v>
      </c>
      <c r="K824">
        <v>3</v>
      </c>
      <c r="L824" t="s">
        <v>52</v>
      </c>
      <c r="M824" t="s">
        <v>53</v>
      </c>
      <c r="N824" t="s">
        <v>54</v>
      </c>
      <c r="O824">
        <v>5</v>
      </c>
      <c r="P824" t="s">
        <v>12</v>
      </c>
      <c r="Q824">
        <v>12.8</v>
      </c>
      <c r="R824" s="1" t="str">
        <f t="shared" si="13"/>
        <v>II</v>
      </c>
    </row>
    <row r="825" spans="1:18">
      <c r="R825" s="1"/>
    </row>
    <row r="826" spans="1:18">
      <c r="R826" s="1"/>
    </row>
    <row r="827" spans="1:18">
      <c r="R827" s="1"/>
    </row>
    <row r="828" spans="1:18">
      <c r="R828" s="1"/>
    </row>
    <row r="829" spans="1:18">
      <c r="A829" t="s">
        <v>77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 t="s">
        <v>23</v>
      </c>
      <c r="I829" t="s">
        <v>24</v>
      </c>
      <c r="J829" t="s">
        <v>25</v>
      </c>
      <c r="K829" t="s">
        <v>26</v>
      </c>
      <c r="L829" t="s">
        <v>27</v>
      </c>
      <c r="M829" t="s">
        <v>28</v>
      </c>
      <c r="N829" t="s">
        <v>29</v>
      </c>
      <c r="O829" t="s">
        <v>30</v>
      </c>
      <c r="P829" t="s">
        <v>79</v>
      </c>
      <c r="Q829" t="s">
        <v>32</v>
      </c>
      <c r="R829" t="s">
        <v>80</v>
      </c>
    </row>
    <row r="830" spans="1:18">
      <c r="A830">
        <v>484</v>
      </c>
      <c r="B830" t="s">
        <v>33</v>
      </c>
      <c r="C830">
        <v>0.57999999999999996</v>
      </c>
      <c r="D830">
        <v>0.46</v>
      </c>
      <c r="E830">
        <v>0.15</v>
      </c>
      <c r="F830">
        <v>0.99550000000000005</v>
      </c>
      <c r="G830">
        <v>0.42899999999999999</v>
      </c>
      <c r="H830">
        <v>0.21199999999999999</v>
      </c>
      <c r="I830">
        <v>0.26</v>
      </c>
      <c r="J830">
        <v>19</v>
      </c>
      <c r="K830">
        <v>10</v>
      </c>
      <c r="L830" t="s">
        <v>37</v>
      </c>
      <c r="M830" t="s">
        <v>38</v>
      </c>
      <c r="N830" t="s">
        <v>39</v>
      </c>
      <c r="O830">
        <v>9</v>
      </c>
      <c r="P830" t="s">
        <v>9</v>
      </c>
      <c r="Q830">
        <v>1.9</v>
      </c>
      <c r="R830" s="1" t="str">
        <f t="shared" ref="R830:R861" si="14">IF(OR(AND(J830 &gt; 15, B830 = "Infant"), AND(D830 = "Male", C830 &gt; 0.75),
    OR(I830 &gt; 0.8, G830 &gt; 0.5), G830 &gt; 1.2),
    "I",
    IF(OR(AND(I830 &lt; 0.4, G830 &lt; 0.4), AND(J830 &gt; 15, D830 = "Male"), AND(J830 &gt; 18, D830 = "Female"), C830 &lt; 0.36),
    "II",
    "III"))</f>
        <v>III</v>
      </c>
    </row>
    <row r="831" spans="1:18">
      <c r="A831">
        <v>2948</v>
      </c>
      <c r="B831" t="s">
        <v>33</v>
      </c>
      <c r="C831">
        <v>0.63500000000000001</v>
      </c>
      <c r="D831">
        <v>0.48499999999999999</v>
      </c>
      <c r="E831">
        <v>0.18</v>
      </c>
      <c r="F831">
        <v>1.1795</v>
      </c>
      <c r="G831">
        <v>0.47849999999999998</v>
      </c>
      <c r="H831">
        <v>0.27750000000000002</v>
      </c>
      <c r="I831">
        <v>0.35499999999999998</v>
      </c>
      <c r="J831">
        <v>10</v>
      </c>
      <c r="K831">
        <v>4</v>
      </c>
      <c r="L831" t="s">
        <v>40</v>
      </c>
      <c r="M831" t="s">
        <v>41</v>
      </c>
      <c r="N831" t="s">
        <v>42</v>
      </c>
      <c r="O831">
        <v>7</v>
      </c>
      <c r="P831" t="s">
        <v>6</v>
      </c>
      <c r="Q831">
        <v>2.5</v>
      </c>
      <c r="R831" s="1" t="str">
        <f t="shared" si="14"/>
        <v>III</v>
      </c>
    </row>
    <row r="832" spans="1:18">
      <c r="A832">
        <v>1480</v>
      </c>
      <c r="B832" t="s">
        <v>33</v>
      </c>
      <c r="C832">
        <v>0.57499999999999996</v>
      </c>
      <c r="D832">
        <v>0.46</v>
      </c>
      <c r="E832">
        <v>0.16500000000000001</v>
      </c>
      <c r="F832">
        <v>0.91549999999999998</v>
      </c>
      <c r="G832">
        <v>0.40050000000000002</v>
      </c>
      <c r="H832">
        <v>0.2465</v>
      </c>
      <c r="I832">
        <v>0.23849999999999999</v>
      </c>
      <c r="J832">
        <v>8</v>
      </c>
      <c r="K832">
        <v>6</v>
      </c>
      <c r="L832" t="s">
        <v>46</v>
      </c>
      <c r="M832" t="s">
        <v>47</v>
      </c>
      <c r="N832" t="s">
        <v>48</v>
      </c>
      <c r="O832">
        <v>3</v>
      </c>
      <c r="P832" t="s">
        <v>10</v>
      </c>
      <c r="Q832">
        <v>3.6</v>
      </c>
      <c r="R832" s="1" t="str">
        <f t="shared" si="14"/>
        <v>III</v>
      </c>
    </row>
    <row r="833" spans="1:18">
      <c r="A833">
        <v>1000</v>
      </c>
      <c r="B833" t="s">
        <v>33</v>
      </c>
      <c r="C833">
        <v>0.59499999999999997</v>
      </c>
      <c r="D833">
        <v>0.47</v>
      </c>
      <c r="E833">
        <v>0.155</v>
      </c>
      <c r="F833">
        <v>1.121</v>
      </c>
      <c r="G833">
        <v>0.45150000000000001</v>
      </c>
      <c r="H833">
        <v>0.17799999999999999</v>
      </c>
      <c r="I833">
        <v>0.155</v>
      </c>
      <c r="J833">
        <v>11</v>
      </c>
      <c r="K833">
        <v>12</v>
      </c>
      <c r="L833" t="s">
        <v>58</v>
      </c>
      <c r="M833" t="s">
        <v>59</v>
      </c>
      <c r="N833" t="s">
        <v>45</v>
      </c>
      <c r="O833">
        <v>7</v>
      </c>
      <c r="P833" t="s">
        <v>6</v>
      </c>
      <c r="Q833">
        <v>2.5</v>
      </c>
      <c r="R833" s="1" t="str">
        <f t="shared" si="14"/>
        <v>III</v>
      </c>
    </row>
    <row r="834" spans="1:18">
      <c r="A834">
        <v>1483</v>
      </c>
      <c r="B834" t="s">
        <v>33</v>
      </c>
      <c r="C834">
        <v>0.58499999999999996</v>
      </c>
      <c r="D834">
        <v>0.45500000000000002</v>
      </c>
      <c r="E834">
        <v>0.15</v>
      </c>
      <c r="F834">
        <v>0.90600000000000003</v>
      </c>
      <c r="G834">
        <v>0.40949999999999998</v>
      </c>
      <c r="H834">
        <v>0.23</v>
      </c>
      <c r="I834">
        <v>0.23350000000000001</v>
      </c>
      <c r="J834">
        <v>8</v>
      </c>
      <c r="K834">
        <v>15</v>
      </c>
      <c r="L834" t="s">
        <v>60</v>
      </c>
      <c r="M834" t="s">
        <v>61</v>
      </c>
      <c r="N834" t="s">
        <v>45</v>
      </c>
      <c r="O834">
        <v>1</v>
      </c>
      <c r="P834" t="s">
        <v>4</v>
      </c>
      <c r="Q834">
        <v>22.1</v>
      </c>
      <c r="R834" s="1" t="str">
        <f t="shared" si="14"/>
        <v>III</v>
      </c>
    </row>
    <row r="835" spans="1:18">
      <c r="A835">
        <v>3844</v>
      </c>
      <c r="B835" t="s">
        <v>33</v>
      </c>
      <c r="C835">
        <v>0.57499999999999996</v>
      </c>
      <c r="D835">
        <v>0.45</v>
      </c>
      <c r="E835">
        <v>0.16</v>
      </c>
      <c r="F835">
        <v>0.95499999999999996</v>
      </c>
      <c r="G835">
        <v>0.44</v>
      </c>
      <c r="H835">
        <v>0.16850000000000001</v>
      </c>
      <c r="I835">
        <v>0.27</v>
      </c>
      <c r="J835">
        <v>16</v>
      </c>
      <c r="K835">
        <v>3</v>
      </c>
      <c r="L835" t="s">
        <v>52</v>
      </c>
      <c r="M835" t="s">
        <v>53</v>
      </c>
      <c r="N835" t="s">
        <v>54</v>
      </c>
      <c r="O835">
        <v>3</v>
      </c>
      <c r="P835" t="s">
        <v>10</v>
      </c>
      <c r="Q835">
        <v>3.6</v>
      </c>
      <c r="R835" s="1" t="str">
        <f t="shared" si="14"/>
        <v>III</v>
      </c>
    </row>
    <row r="836" spans="1:18">
      <c r="A836">
        <v>4141</v>
      </c>
      <c r="B836" t="s">
        <v>33</v>
      </c>
      <c r="C836">
        <v>0.64500000000000002</v>
      </c>
      <c r="D836">
        <v>0.53500000000000003</v>
      </c>
      <c r="E836">
        <v>0.19</v>
      </c>
      <c r="F836">
        <v>1.2395</v>
      </c>
      <c r="G836">
        <v>0.46800000000000003</v>
      </c>
      <c r="H836">
        <v>0.23849999999999999</v>
      </c>
      <c r="I836">
        <v>0.42399999999999999</v>
      </c>
      <c r="J836">
        <v>10</v>
      </c>
      <c r="K836">
        <v>11</v>
      </c>
      <c r="L836" t="s">
        <v>65</v>
      </c>
      <c r="M836" t="s">
        <v>66</v>
      </c>
      <c r="N836" t="s">
        <v>45</v>
      </c>
      <c r="O836">
        <v>1</v>
      </c>
      <c r="P836" t="s">
        <v>4</v>
      </c>
      <c r="Q836">
        <v>22.1</v>
      </c>
      <c r="R836" s="1" t="str">
        <f t="shared" si="14"/>
        <v>III</v>
      </c>
    </row>
    <row r="837" spans="1:18">
      <c r="A837">
        <v>3575</v>
      </c>
      <c r="B837" t="s">
        <v>33</v>
      </c>
      <c r="C837">
        <v>0.6</v>
      </c>
      <c r="D837">
        <v>0.47</v>
      </c>
      <c r="E837">
        <v>0.17</v>
      </c>
      <c r="F837">
        <v>1.0805</v>
      </c>
      <c r="G837">
        <v>0.4995</v>
      </c>
      <c r="H837">
        <v>0.22450000000000001</v>
      </c>
      <c r="I837">
        <v>0.32050000000000001</v>
      </c>
      <c r="J837">
        <v>9</v>
      </c>
      <c r="K837">
        <v>4</v>
      </c>
      <c r="L837" t="s">
        <v>40</v>
      </c>
      <c r="M837" t="s">
        <v>41</v>
      </c>
      <c r="N837" t="s">
        <v>42</v>
      </c>
      <c r="O837">
        <v>10</v>
      </c>
      <c r="P837" t="s">
        <v>11</v>
      </c>
      <c r="Q837">
        <v>24.1</v>
      </c>
      <c r="R837" s="1" t="str">
        <f t="shared" si="14"/>
        <v>III</v>
      </c>
    </row>
    <row r="838" spans="1:18">
      <c r="A838">
        <v>1694</v>
      </c>
      <c r="B838" t="s">
        <v>33</v>
      </c>
      <c r="C838">
        <v>0.625</v>
      </c>
      <c r="D838">
        <v>0.48499999999999999</v>
      </c>
      <c r="E838">
        <v>0.15</v>
      </c>
      <c r="F838">
        <v>1.044</v>
      </c>
      <c r="G838">
        <v>0.438</v>
      </c>
      <c r="H838">
        <v>0.28649999999999998</v>
      </c>
      <c r="I838">
        <v>0.27800000000000002</v>
      </c>
      <c r="J838">
        <v>9</v>
      </c>
      <c r="K838">
        <v>8</v>
      </c>
      <c r="L838" t="s">
        <v>55</v>
      </c>
      <c r="M838" t="s">
        <v>56</v>
      </c>
      <c r="N838" t="s">
        <v>57</v>
      </c>
      <c r="O838">
        <v>4</v>
      </c>
      <c r="P838" t="s">
        <v>8</v>
      </c>
      <c r="Q838">
        <v>6.1</v>
      </c>
      <c r="R838" s="1" t="str">
        <f t="shared" si="14"/>
        <v>III</v>
      </c>
    </row>
    <row r="839" spans="1:18">
      <c r="A839">
        <v>1960</v>
      </c>
      <c r="B839" t="s">
        <v>33</v>
      </c>
      <c r="C839">
        <v>0.65</v>
      </c>
      <c r="D839">
        <v>0.51</v>
      </c>
      <c r="E839">
        <v>0.155</v>
      </c>
      <c r="F839">
        <v>1.1890000000000001</v>
      </c>
      <c r="G839">
        <v>0.48299999999999998</v>
      </c>
      <c r="H839">
        <v>0.27800000000000002</v>
      </c>
      <c r="I839">
        <v>0.36449999999999999</v>
      </c>
      <c r="J839">
        <v>13</v>
      </c>
      <c r="K839">
        <v>10</v>
      </c>
      <c r="L839" t="s">
        <v>37</v>
      </c>
      <c r="M839" t="s">
        <v>38</v>
      </c>
      <c r="N839" t="s">
        <v>39</v>
      </c>
      <c r="O839">
        <v>1</v>
      </c>
      <c r="P839" t="s">
        <v>4</v>
      </c>
      <c r="Q839">
        <v>22.1</v>
      </c>
      <c r="R839" s="1" t="str">
        <f t="shared" si="14"/>
        <v>III</v>
      </c>
    </row>
    <row r="840" spans="1:18">
      <c r="A840">
        <v>2210</v>
      </c>
      <c r="B840" t="s">
        <v>33</v>
      </c>
      <c r="C840">
        <v>0.55000000000000004</v>
      </c>
      <c r="D840">
        <v>0.46500000000000002</v>
      </c>
      <c r="E840">
        <v>0.18</v>
      </c>
      <c r="F840">
        <v>1.2124999999999999</v>
      </c>
      <c r="G840">
        <v>0.32450000000000001</v>
      </c>
      <c r="H840">
        <v>0.20499999999999999</v>
      </c>
      <c r="I840">
        <v>0.52500000000000002</v>
      </c>
      <c r="J840">
        <v>27</v>
      </c>
      <c r="K840">
        <v>15</v>
      </c>
      <c r="L840" t="s">
        <v>60</v>
      </c>
      <c r="M840" t="s">
        <v>61</v>
      </c>
      <c r="N840" t="s">
        <v>45</v>
      </c>
      <c r="O840">
        <v>4</v>
      </c>
      <c r="P840" t="s">
        <v>8</v>
      </c>
      <c r="Q840">
        <v>6.1</v>
      </c>
      <c r="R840" s="1" t="str">
        <f t="shared" si="14"/>
        <v>III</v>
      </c>
    </row>
    <row r="841" spans="1:18">
      <c r="A841">
        <v>853</v>
      </c>
      <c r="B841" t="s">
        <v>33</v>
      </c>
      <c r="C841">
        <v>0.56499999999999995</v>
      </c>
      <c r="D841">
        <v>0.45</v>
      </c>
      <c r="E841">
        <v>0.155</v>
      </c>
      <c r="F841">
        <v>1.0595000000000001</v>
      </c>
      <c r="G841">
        <v>0.47349999999999998</v>
      </c>
      <c r="H841">
        <v>0.24</v>
      </c>
      <c r="I841">
        <v>0.26500000000000001</v>
      </c>
      <c r="J841">
        <v>10</v>
      </c>
      <c r="K841">
        <v>5</v>
      </c>
      <c r="L841" t="s">
        <v>67</v>
      </c>
      <c r="M841" t="s">
        <v>68</v>
      </c>
      <c r="N841" t="s">
        <v>69</v>
      </c>
      <c r="O841">
        <v>6</v>
      </c>
      <c r="P841" t="s">
        <v>7</v>
      </c>
      <c r="Q841">
        <v>14.1</v>
      </c>
      <c r="R841" s="1" t="str">
        <f t="shared" si="14"/>
        <v>III</v>
      </c>
    </row>
    <row r="842" spans="1:18">
      <c r="A842">
        <v>3669</v>
      </c>
      <c r="B842" t="s">
        <v>33</v>
      </c>
      <c r="C842">
        <v>0.58499999999999996</v>
      </c>
      <c r="D842">
        <v>0.46500000000000002</v>
      </c>
      <c r="E842">
        <v>0.14499999999999999</v>
      </c>
      <c r="F842">
        <v>0.98550000000000004</v>
      </c>
      <c r="G842">
        <v>0.4325</v>
      </c>
      <c r="H842">
        <v>0.2145</v>
      </c>
      <c r="I842">
        <v>0.28449999999999998</v>
      </c>
      <c r="J842">
        <v>10</v>
      </c>
      <c r="K842">
        <v>8</v>
      </c>
      <c r="L842" t="s">
        <v>55</v>
      </c>
      <c r="M842" t="s">
        <v>56</v>
      </c>
      <c r="N842" t="s">
        <v>57</v>
      </c>
      <c r="O842">
        <v>9</v>
      </c>
      <c r="P842" t="s">
        <v>9</v>
      </c>
      <c r="Q842">
        <v>1.9</v>
      </c>
      <c r="R842" s="1" t="str">
        <f t="shared" si="14"/>
        <v>III</v>
      </c>
    </row>
    <row r="843" spans="1:18">
      <c r="A843">
        <v>2524</v>
      </c>
      <c r="B843" t="s">
        <v>33</v>
      </c>
      <c r="C843">
        <v>0.56499999999999995</v>
      </c>
      <c r="D843">
        <v>0.44</v>
      </c>
      <c r="E843">
        <v>0.15</v>
      </c>
      <c r="F843">
        <v>0.98299999999999998</v>
      </c>
      <c r="G843">
        <v>0.44750000000000001</v>
      </c>
      <c r="H843">
        <v>0.23549999999999999</v>
      </c>
      <c r="I843">
        <v>0.2485</v>
      </c>
      <c r="J843">
        <v>9</v>
      </c>
      <c r="K843">
        <v>7</v>
      </c>
      <c r="L843" t="s">
        <v>62</v>
      </c>
      <c r="M843" t="s">
        <v>63</v>
      </c>
      <c r="N843" t="s">
        <v>64</v>
      </c>
      <c r="O843">
        <v>1</v>
      </c>
      <c r="P843" t="s">
        <v>4</v>
      </c>
      <c r="Q843">
        <v>22.1</v>
      </c>
      <c r="R843" s="1" t="str">
        <f t="shared" si="14"/>
        <v>III</v>
      </c>
    </row>
    <row r="844" spans="1:18">
      <c r="A844">
        <v>4134</v>
      </c>
      <c r="B844" t="s">
        <v>33</v>
      </c>
      <c r="C844">
        <v>0.58499999999999996</v>
      </c>
      <c r="D844">
        <v>0.45</v>
      </c>
      <c r="E844">
        <v>0.15</v>
      </c>
      <c r="F844">
        <v>0.997</v>
      </c>
      <c r="G844">
        <v>0.40550000000000003</v>
      </c>
      <c r="H844">
        <v>0.28299999999999997</v>
      </c>
      <c r="I844">
        <v>0.251</v>
      </c>
      <c r="J844">
        <v>11</v>
      </c>
      <c r="K844">
        <v>5</v>
      </c>
      <c r="L844" t="s">
        <v>67</v>
      </c>
      <c r="M844" t="s">
        <v>68</v>
      </c>
      <c r="N844" t="s">
        <v>69</v>
      </c>
      <c r="O844">
        <v>1</v>
      </c>
      <c r="P844" t="s">
        <v>4</v>
      </c>
      <c r="Q844">
        <v>22.1</v>
      </c>
      <c r="R844" s="1" t="str">
        <f t="shared" si="14"/>
        <v>III</v>
      </c>
    </row>
    <row r="845" spans="1:18">
      <c r="A845">
        <v>3671</v>
      </c>
      <c r="B845" t="s">
        <v>33</v>
      </c>
      <c r="C845">
        <v>0.59</v>
      </c>
      <c r="D845">
        <v>0.46500000000000002</v>
      </c>
      <c r="E845">
        <v>0.13500000000000001</v>
      </c>
      <c r="F845">
        <v>0.98950000000000005</v>
      </c>
      <c r="G845">
        <v>0.42349999999999999</v>
      </c>
      <c r="H845">
        <v>0.19900000000000001</v>
      </c>
      <c r="I845">
        <v>0.28000000000000003</v>
      </c>
      <c r="J845">
        <v>8</v>
      </c>
      <c r="K845">
        <v>8</v>
      </c>
      <c r="L845" t="s">
        <v>55</v>
      </c>
      <c r="M845" t="s">
        <v>56</v>
      </c>
      <c r="N845" t="s">
        <v>57</v>
      </c>
      <c r="O845">
        <v>4</v>
      </c>
      <c r="P845" t="s">
        <v>8</v>
      </c>
      <c r="Q845">
        <v>6.1</v>
      </c>
      <c r="R845" s="1" t="str">
        <f t="shared" si="14"/>
        <v>III</v>
      </c>
    </row>
    <row r="846" spans="1:18">
      <c r="A846">
        <v>2924</v>
      </c>
      <c r="B846" t="s">
        <v>33</v>
      </c>
      <c r="C846">
        <v>0.60499999999999998</v>
      </c>
      <c r="D846">
        <v>0.495</v>
      </c>
      <c r="E846">
        <v>0.17</v>
      </c>
      <c r="F846">
        <v>1.0914999999999999</v>
      </c>
      <c r="G846">
        <v>0.4365</v>
      </c>
      <c r="H846">
        <v>0.27150000000000002</v>
      </c>
      <c r="I846">
        <v>0.33500000000000002</v>
      </c>
      <c r="J846">
        <v>13</v>
      </c>
      <c r="K846">
        <v>9</v>
      </c>
      <c r="L846" t="s">
        <v>34</v>
      </c>
      <c r="M846" t="s">
        <v>35</v>
      </c>
      <c r="N846" t="s">
        <v>36</v>
      </c>
      <c r="O846">
        <v>9</v>
      </c>
      <c r="P846" t="s">
        <v>9</v>
      </c>
      <c r="Q846">
        <v>1.9</v>
      </c>
      <c r="R846" s="1" t="str">
        <f t="shared" si="14"/>
        <v>III</v>
      </c>
    </row>
    <row r="847" spans="1:18">
      <c r="A847">
        <v>1666</v>
      </c>
      <c r="B847" t="s">
        <v>33</v>
      </c>
      <c r="C847">
        <v>0.60499999999999998</v>
      </c>
      <c r="D847">
        <v>0.48</v>
      </c>
      <c r="E847">
        <v>0.14000000000000001</v>
      </c>
      <c r="F847">
        <v>0.99099999999999999</v>
      </c>
      <c r="G847">
        <v>0.47349999999999998</v>
      </c>
      <c r="H847">
        <v>0.23449999999999999</v>
      </c>
      <c r="I847">
        <v>0.24</v>
      </c>
      <c r="J847">
        <v>8</v>
      </c>
      <c r="K847">
        <v>12</v>
      </c>
      <c r="L847" t="s">
        <v>58</v>
      </c>
      <c r="M847" t="s">
        <v>59</v>
      </c>
      <c r="N847" t="s">
        <v>45</v>
      </c>
      <c r="O847">
        <v>5</v>
      </c>
      <c r="P847" t="s">
        <v>12</v>
      </c>
      <c r="Q847">
        <v>12.8</v>
      </c>
      <c r="R847" s="1" t="str">
        <f t="shared" si="14"/>
        <v>III</v>
      </c>
    </row>
    <row r="848" spans="1:18">
      <c r="A848">
        <v>1674</v>
      </c>
      <c r="B848" t="s">
        <v>33</v>
      </c>
      <c r="C848">
        <v>0.61</v>
      </c>
      <c r="D848">
        <v>0.46500000000000002</v>
      </c>
      <c r="E848">
        <v>0.125</v>
      </c>
      <c r="F848">
        <v>0.92249999999999999</v>
      </c>
      <c r="G848">
        <v>0.436</v>
      </c>
      <c r="H848">
        <v>0.19</v>
      </c>
      <c r="I848">
        <v>0.26</v>
      </c>
      <c r="J848">
        <v>9</v>
      </c>
      <c r="K848">
        <v>5</v>
      </c>
      <c r="L848" t="s">
        <v>67</v>
      </c>
      <c r="M848" t="s">
        <v>68</v>
      </c>
      <c r="N848" t="s">
        <v>69</v>
      </c>
      <c r="O848">
        <v>2</v>
      </c>
      <c r="P848" t="s">
        <v>5</v>
      </c>
      <c r="Q848">
        <v>18</v>
      </c>
      <c r="R848" s="1" t="str">
        <f t="shared" si="14"/>
        <v>III</v>
      </c>
    </row>
    <row r="849" spans="1:18">
      <c r="A849">
        <v>3219</v>
      </c>
      <c r="B849" t="s">
        <v>33</v>
      </c>
      <c r="C849">
        <v>0.64</v>
      </c>
      <c r="D849">
        <v>0.505</v>
      </c>
      <c r="E849">
        <v>0.19</v>
      </c>
      <c r="F849">
        <v>1.2355</v>
      </c>
      <c r="G849">
        <v>0.44350000000000001</v>
      </c>
      <c r="H849">
        <v>0.3105</v>
      </c>
      <c r="I849">
        <v>0.36499999999999999</v>
      </c>
      <c r="J849">
        <v>14</v>
      </c>
      <c r="K849">
        <v>2</v>
      </c>
      <c r="L849" t="s">
        <v>49</v>
      </c>
      <c r="M849" t="s">
        <v>50</v>
      </c>
      <c r="N849" t="s">
        <v>51</v>
      </c>
      <c r="O849">
        <v>2</v>
      </c>
      <c r="P849" t="s">
        <v>5</v>
      </c>
      <c r="Q849">
        <v>18</v>
      </c>
      <c r="R849" s="1" t="str">
        <f t="shared" si="14"/>
        <v>III</v>
      </c>
    </row>
    <row r="850" spans="1:18">
      <c r="A850">
        <v>2338</v>
      </c>
      <c r="B850" t="s">
        <v>33</v>
      </c>
      <c r="C850">
        <v>0.56000000000000005</v>
      </c>
      <c r="D850">
        <v>0.45500000000000002</v>
      </c>
      <c r="E850">
        <v>0.16500000000000001</v>
      </c>
      <c r="F850">
        <v>0.86</v>
      </c>
      <c r="G850">
        <v>0.40150000000000002</v>
      </c>
      <c r="H850">
        <v>0.16950000000000001</v>
      </c>
      <c r="I850">
        <v>0.245</v>
      </c>
      <c r="J850">
        <v>11</v>
      </c>
      <c r="K850">
        <v>15</v>
      </c>
      <c r="L850" t="s">
        <v>60</v>
      </c>
      <c r="M850" t="s">
        <v>61</v>
      </c>
      <c r="N850" t="s">
        <v>45</v>
      </c>
      <c r="O850">
        <v>10</v>
      </c>
      <c r="P850" t="s">
        <v>11</v>
      </c>
      <c r="Q850">
        <v>24.1</v>
      </c>
      <c r="R850" s="1" t="str">
        <f t="shared" si="14"/>
        <v>III</v>
      </c>
    </row>
    <row r="851" spans="1:18">
      <c r="A851">
        <v>850</v>
      </c>
      <c r="B851" t="s">
        <v>33</v>
      </c>
      <c r="C851">
        <v>0.55000000000000004</v>
      </c>
      <c r="D851">
        <v>0.45</v>
      </c>
      <c r="E851">
        <v>0.15</v>
      </c>
      <c r="F851">
        <v>1.0145</v>
      </c>
      <c r="G851">
        <v>0.40699999999999997</v>
      </c>
      <c r="H851">
        <v>0.20150000000000001</v>
      </c>
      <c r="I851">
        <v>0.28749999999999998</v>
      </c>
      <c r="J851">
        <v>10</v>
      </c>
      <c r="K851">
        <v>2</v>
      </c>
      <c r="L851" t="s">
        <v>49</v>
      </c>
      <c r="M851" t="s">
        <v>50</v>
      </c>
      <c r="N851" t="s">
        <v>51</v>
      </c>
      <c r="O851">
        <v>6</v>
      </c>
      <c r="P851" t="s">
        <v>7</v>
      </c>
      <c r="Q851">
        <v>14.1</v>
      </c>
      <c r="R851" s="1" t="str">
        <f t="shared" si="14"/>
        <v>III</v>
      </c>
    </row>
    <row r="852" spans="1:18">
      <c r="A852">
        <v>3667</v>
      </c>
      <c r="B852" t="s">
        <v>33</v>
      </c>
      <c r="C852">
        <v>0.57499999999999996</v>
      </c>
      <c r="D852">
        <v>0.44</v>
      </c>
      <c r="E852">
        <v>0.15</v>
      </c>
      <c r="F852">
        <v>0.98299999999999998</v>
      </c>
      <c r="G852">
        <v>0.48599999999999999</v>
      </c>
      <c r="H852">
        <v>0.215</v>
      </c>
      <c r="I852">
        <v>0.23899999999999999</v>
      </c>
      <c r="J852">
        <v>8</v>
      </c>
      <c r="K852">
        <v>1</v>
      </c>
      <c r="L852" t="s">
        <v>70</v>
      </c>
      <c r="M852" t="s">
        <v>71</v>
      </c>
      <c r="N852" t="s">
        <v>45</v>
      </c>
      <c r="O852">
        <v>9</v>
      </c>
      <c r="P852" t="s">
        <v>9</v>
      </c>
      <c r="Q852">
        <v>1.9</v>
      </c>
      <c r="R852" s="1" t="str">
        <f t="shared" si="14"/>
        <v>III</v>
      </c>
    </row>
    <row r="853" spans="1:18">
      <c r="A853">
        <v>2672</v>
      </c>
      <c r="B853" t="s">
        <v>33</v>
      </c>
      <c r="C853">
        <v>0.59</v>
      </c>
      <c r="D853">
        <v>0.46</v>
      </c>
      <c r="E853">
        <v>0.16</v>
      </c>
      <c r="F853">
        <v>1.0115000000000001</v>
      </c>
      <c r="G853">
        <v>0.44500000000000001</v>
      </c>
      <c r="H853">
        <v>0.26150000000000001</v>
      </c>
      <c r="I853">
        <v>0.25650000000000001</v>
      </c>
      <c r="J853">
        <v>8</v>
      </c>
      <c r="K853">
        <v>4</v>
      </c>
      <c r="L853" t="s">
        <v>40</v>
      </c>
      <c r="M853" t="s">
        <v>41</v>
      </c>
      <c r="N853" t="s">
        <v>42</v>
      </c>
      <c r="O853">
        <v>9</v>
      </c>
      <c r="P853" t="s">
        <v>9</v>
      </c>
      <c r="Q853">
        <v>1.9</v>
      </c>
      <c r="R853" s="1" t="str">
        <f t="shared" si="14"/>
        <v>III</v>
      </c>
    </row>
    <row r="854" spans="1:18">
      <c r="A854">
        <v>3238</v>
      </c>
      <c r="B854" t="s">
        <v>33</v>
      </c>
      <c r="C854">
        <v>0.63500000000000001</v>
      </c>
      <c r="D854">
        <v>0.51</v>
      </c>
      <c r="E854">
        <v>0.155</v>
      </c>
      <c r="F854">
        <v>1.1559999999999999</v>
      </c>
      <c r="G854">
        <v>0.42799999999999999</v>
      </c>
      <c r="H854">
        <v>0.28899999999999998</v>
      </c>
      <c r="I854">
        <v>0.315</v>
      </c>
      <c r="J854">
        <v>18</v>
      </c>
      <c r="K854">
        <v>6</v>
      </c>
      <c r="L854" t="s">
        <v>46</v>
      </c>
      <c r="M854" t="s">
        <v>47</v>
      </c>
      <c r="N854" t="s">
        <v>48</v>
      </c>
      <c r="O854">
        <v>8</v>
      </c>
      <c r="P854" t="s">
        <v>13</v>
      </c>
      <c r="Q854">
        <v>12.3</v>
      </c>
      <c r="R854" s="1" t="str">
        <f t="shared" si="14"/>
        <v>III</v>
      </c>
    </row>
    <row r="855" spans="1:18">
      <c r="A855">
        <v>4082</v>
      </c>
      <c r="B855" t="s">
        <v>33</v>
      </c>
      <c r="C855">
        <v>0.56000000000000005</v>
      </c>
      <c r="D855">
        <v>0.45</v>
      </c>
      <c r="E855">
        <v>0.14499999999999999</v>
      </c>
      <c r="F855">
        <v>0.9355</v>
      </c>
      <c r="G855">
        <v>0.42499999999999999</v>
      </c>
      <c r="H855">
        <v>0.16450000000000001</v>
      </c>
      <c r="I855">
        <v>0.27250000000000002</v>
      </c>
      <c r="J855">
        <v>11</v>
      </c>
      <c r="K855">
        <v>5</v>
      </c>
      <c r="L855" t="s">
        <v>67</v>
      </c>
      <c r="M855" t="s">
        <v>68</v>
      </c>
      <c r="N855" t="s">
        <v>69</v>
      </c>
      <c r="O855">
        <v>5</v>
      </c>
      <c r="P855" t="s">
        <v>12</v>
      </c>
      <c r="Q855">
        <v>12.8</v>
      </c>
      <c r="R855" s="1" t="str">
        <f t="shared" si="14"/>
        <v>III</v>
      </c>
    </row>
    <row r="856" spans="1:18">
      <c r="A856">
        <v>989</v>
      </c>
      <c r="B856" t="s">
        <v>33</v>
      </c>
      <c r="C856">
        <v>0.56999999999999995</v>
      </c>
      <c r="D856">
        <v>0.46</v>
      </c>
      <c r="E856">
        <v>0.17</v>
      </c>
      <c r="F856">
        <v>0.90349999999999997</v>
      </c>
      <c r="G856">
        <v>0.40749999999999997</v>
      </c>
      <c r="H856">
        <v>0.19350000000000001</v>
      </c>
      <c r="I856">
        <v>0.214</v>
      </c>
      <c r="J856">
        <v>7</v>
      </c>
      <c r="K856">
        <v>4</v>
      </c>
      <c r="L856" t="s">
        <v>40</v>
      </c>
      <c r="M856" t="s">
        <v>41</v>
      </c>
      <c r="N856" t="s">
        <v>42</v>
      </c>
      <c r="O856">
        <v>5</v>
      </c>
      <c r="P856" t="s">
        <v>12</v>
      </c>
      <c r="Q856">
        <v>12.8</v>
      </c>
      <c r="R856" s="1" t="str">
        <f t="shared" si="14"/>
        <v>III</v>
      </c>
    </row>
    <row r="857" spans="1:18">
      <c r="A857">
        <v>1145</v>
      </c>
      <c r="B857" t="s">
        <v>33</v>
      </c>
      <c r="C857">
        <v>0.57999999999999996</v>
      </c>
      <c r="D857">
        <v>0.45500000000000002</v>
      </c>
      <c r="E857">
        <v>0.15</v>
      </c>
      <c r="F857">
        <v>1.1140000000000001</v>
      </c>
      <c r="G857">
        <v>0.47649999999999998</v>
      </c>
      <c r="H857">
        <v>0.2155</v>
      </c>
      <c r="I857">
        <v>0.26500000000000001</v>
      </c>
      <c r="J857">
        <v>8</v>
      </c>
      <c r="K857">
        <v>5</v>
      </c>
      <c r="L857" t="s">
        <v>67</v>
      </c>
      <c r="M857" t="s">
        <v>68</v>
      </c>
      <c r="N857" t="s">
        <v>69</v>
      </c>
      <c r="O857">
        <v>4</v>
      </c>
      <c r="P857" t="s">
        <v>8</v>
      </c>
      <c r="Q857">
        <v>6.1</v>
      </c>
      <c r="R857" s="1" t="str">
        <f t="shared" si="14"/>
        <v>III</v>
      </c>
    </row>
    <row r="858" spans="1:18">
      <c r="A858">
        <v>1928</v>
      </c>
      <c r="B858" t="s">
        <v>33</v>
      </c>
      <c r="C858">
        <v>0.61499999999999999</v>
      </c>
      <c r="D858">
        <v>0.47</v>
      </c>
      <c r="E858">
        <v>0.15</v>
      </c>
      <c r="F858">
        <v>1.0874999999999999</v>
      </c>
      <c r="G858">
        <v>0.4975</v>
      </c>
      <c r="H858">
        <v>0.28299999999999997</v>
      </c>
      <c r="I858">
        <v>0.26850000000000002</v>
      </c>
      <c r="J858">
        <v>9</v>
      </c>
      <c r="K858">
        <v>11</v>
      </c>
      <c r="L858" t="s">
        <v>65</v>
      </c>
      <c r="M858" t="s">
        <v>66</v>
      </c>
      <c r="N858" t="s">
        <v>45</v>
      </c>
      <c r="O858">
        <v>2</v>
      </c>
      <c r="P858" t="s">
        <v>5</v>
      </c>
      <c r="Q858">
        <v>18</v>
      </c>
      <c r="R858" s="1" t="str">
        <f t="shared" si="14"/>
        <v>III</v>
      </c>
    </row>
    <row r="859" spans="1:18">
      <c r="A859">
        <v>3572</v>
      </c>
      <c r="B859" t="s">
        <v>33</v>
      </c>
      <c r="C859">
        <v>0.58499999999999996</v>
      </c>
      <c r="D859">
        <v>0.46500000000000002</v>
      </c>
      <c r="E859">
        <v>0.16500000000000001</v>
      </c>
      <c r="F859">
        <v>0.9355</v>
      </c>
      <c r="G859">
        <v>0.40350000000000003</v>
      </c>
      <c r="H859">
        <v>0.22750000000000001</v>
      </c>
      <c r="I859">
        <v>0.25900000000000001</v>
      </c>
      <c r="J859">
        <v>9</v>
      </c>
      <c r="K859">
        <v>8</v>
      </c>
      <c r="L859" t="s">
        <v>55</v>
      </c>
      <c r="M859" t="s">
        <v>56</v>
      </c>
      <c r="N859" t="s">
        <v>57</v>
      </c>
      <c r="O859">
        <v>6</v>
      </c>
      <c r="P859" t="s">
        <v>7</v>
      </c>
      <c r="Q859">
        <v>14.1</v>
      </c>
      <c r="R859" s="1" t="str">
        <f t="shared" si="14"/>
        <v>III</v>
      </c>
    </row>
    <row r="860" spans="1:18">
      <c r="A860">
        <v>3579</v>
      </c>
      <c r="B860" t="s">
        <v>33</v>
      </c>
      <c r="C860">
        <v>0.6</v>
      </c>
      <c r="D860">
        <v>0.47499999999999998</v>
      </c>
      <c r="E860">
        <v>0.17</v>
      </c>
      <c r="F860">
        <v>1.0880000000000001</v>
      </c>
      <c r="G860">
        <v>0.49049999999999999</v>
      </c>
      <c r="H860">
        <v>0.2475</v>
      </c>
      <c r="I860">
        <v>0.31</v>
      </c>
      <c r="J860">
        <v>10</v>
      </c>
      <c r="K860">
        <v>9</v>
      </c>
      <c r="L860" t="s">
        <v>34</v>
      </c>
      <c r="M860" t="s">
        <v>35</v>
      </c>
      <c r="N860" t="s">
        <v>36</v>
      </c>
      <c r="O860">
        <v>3</v>
      </c>
      <c r="P860" t="s">
        <v>10</v>
      </c>
      <c r="Q860">
        <v>3.6</v>
      </c>
      <c r="R860" s="1" t="str">
        <f t="shared" si="14"/>
        <v>III</v>
      </c>
    </row>
    <row r="861" spans="1:18">
      <c r="A861">
        <v>491</v>
      </c>
      <c r="B861" t="s">
        <v>33</v>
      </c>
      <c r="C861">
        <v>0.59</v>
      </c>
      <c r="D861">
        <v>0.45500000000000002</v>
      </c>
      <c r="E861">
        <v>0.14499999999999999</v>
      </c>
      <c r="F861">
        <v>1.073</v>
      </c>
      <c r="G861">
        <v>0.47499999999999998</v>
      </c>
      <c r="H861">
        <v>0.19</v>
      </c>
      <c r="I861">
        <v>0.28499999999999998</v>
      </c>
      <c r="J861">
        <v>14</v>
      </c>
      <c r="K861">
        <v>6</v>
      </c>
      <c r="L861" t="s">
        <v>46</v>
      </c>
      <c r="M861" t="s">
        <v>47</v>
      </c>
      <c r="N861" t="s">
        <v>48</v>
      </c>
      <c r="O861">
        <v>7</v>
      </c>
      <c r="P861" t="s">
        <v>6</v>
      </c>
      <c r="Q861">
        <v>2.5</v>
      </c>
      <c r="R861" s="1" t="str">
        <f t="shared" si="14"/>
        <v>III</v>
      </c>
    </row>
    <row r="862" spans="1:18">
      <c r="A862">
        <v>1901</v>
      </c>
      <c r="B862" t="s">
        <v>33</v>
      </c>
      <c r="C862">
        <v>0.57499999999999996</v>
      </c>
      <c r="D862">
        <v>0.45</v>
      </c>
      <c r="E862">
        <v>0.155</v>
      </c>
      <c r="F862">
        <v>0.97650000000000003</v>
      </c>
      <c r="G862">
        <v>0.495</v>
      </c>
      <c r="H862">
        <v>0.2145</v>
      </c>
      <c r="I862">
        <v>0.23499999999999999</v>
      </c>
      <c r="J862">
        <v>9</v>
      </c>
      <c r="K862">
        <v>11</v>
      </c>
      <c r="L862" t="s">
        <v>65</v>
      </c>
      <c r="M862" t="s">
        <v>66</v>
      </c>
      <c r="N862" t="s">
        <v>45</v>
      </c>
      <c r="O862">
        <v>10</v>
      </c>
      <c r="P862" t="s">
        <v>11</v>
      </c>
      <c r="Q862">
        <v>24.1</v>
      </c>
      <c r="R862" s="1" t="str">
        <f t="shared" ref="R862:R893" si="15">IF(OR(AND(J862 &gt; 15, B862 = "Infant"), AND(D862 = "Male", C862 &gt; 0.75),
    OR(I862 &gt; 0.8, G862 &gt; 0.5), G862 &gt; 1.2),
    "I",
    IF(OR(AND(I862 &lt; 0.4, G862 &lt; 0.4), AND(J862 &gt; 15, D862 = "Male"), AND(J862 &gt; 18, D862 = "Female"), C862 &lt; 0.36),
    "II",
    "III"))</f>
        <v>III</v>
      </c>
    </row>
    <row r="863" spans="1:18">
      <c r="A863">
        <v>3826</v>
      </c>
      <c r="B863" t="s">
        <v>33</v>
      </c>
      <c r="C863">
        <v>0.625</v>
      </c>
      <c r="D863">
        <v>0.47</v>
      </c>
      <c r="E863">
        <v>0.17</v>
      </c>
      <c r="F863">
        <v>1.1665000000000001</v>
      </c>
      <c r="G863">
        <v>0.46050000000000002</v>
      </c>
      <c r="H863">
        <v>0.25650000000000001</v>
      </c>
      <c r="I863">
        <v>0.39450000000000002</v>
      </c>
      <c r="J863">
        <v>11</v>
      </c>
      <c r="K863">
        <v>12</v>
      </c>
      <c r="L863" t="s">
        <v>58</v>
      </c>
      <c r="M863" t="s">
        <v>59</v>
      </c>
      <c r="N863" t="s">
        <v>45</v>
      </c>
      <c r="O863">
        <v>6</v>
      </c>
      <c r="P863" t="s">
        <v>7</v>
      </c>
      <c r="Q863">
        <v>14.1</v>
      </c>
      <c r="R863" s="1" t="str">
        <f t="shared" si="15"/>
        <v>III</v>
      </c>
    </row>
    <row r="864" spans="1:18">
      <c r="A864">
        <v>3495</v>
      </c>
      <c r="B864" t="s">
        <v>33</v>
      </c>
      <c r="C864">
        <v>0.55500000000000005</v>
      </c>
      <c r="D864">
        <v>0.43</v>
      </c>
      <c r="E864">
        <v>0.13500000000000001</v>
      </c>
      <c r="F864">
        <v>0.81200000000000006</v>
      </c>
      <c r="G864">
        <v>0.40550000000000003</v>
      </c>
      <c r="H864">
        <v>0.16300000000000001</v>
      </c>
      <c r="I864">
        <v>0.2215</v>
      </c>
      <c r="J864">
        <v>9</v>
      </c>
      <c r="K864">
        <v>11</v>
      </c>
      <c r="L864" t="s">
        <v>65</v>
      </c>
      <c r="M864" t="s">
        <v>66</v>
      </c>
      <c r="N864" t="s">
        <v>45</v>
      </c>
      <c r="O864">
        <v>7</v>
      </c>
      <c r="P864" t="s">
        <v>6</v>
      </c>
      <c r="Q864">
        <v>2.5</v>
      </c>
      <c r="R864" s="1" t="str">
        <f t="shared" si="15"/>
        <v>III</v>
      </c>
    </row>
    <row r="865" spans="1:18">
      <c r="A865">
        <v>3215</v>
      </c>
      <c r="B865" t="s">
        <v>33</v>
      </c>
      <c r="C865">
        <v>0.56999999999999995</v>
      </c>
      <c r="D865">
        <v>0.495</v>
      </c>
      <c r="E865">
        <v>0.16</v>
      </c>
      <c r="F865">
        <v>1.0914999999999999</v>
      </c>
      <c r="G865">
        <v>0.45200000000000001</v>
      </c>
      <c r="H865">
        <v>0.27500000000000002</v>
      </c>
      <c r="I865">
        <v>0.315</v>
      </c>
      <c r="J865">
        <v>14</v>
      </c>
      <c r="K865">
        <v>8</v>
      </c>
      <c r="L865" t="s">
        <v>55</v>
      </c>
      <c r="M865" t="s">
        <v>56</v>
      </c>
      <c r="N865" t="s">
        <v>57</v>
      </c>
      <c r="O865">
        <v>4</v>
      </c>
      <c r="P865" t="s">
        <v>8</v>
      </c>
      <c r="Q865">
        <v>6.1</v>
      </c>
      <c r="R865" s="1" t="str">
        <f t="shared" si="15"/>
        <v>III</v>
      </c>
    </row>
    <row r="866" spans="1:18">
      <c r="A866">
        <v>3295</v>
      </c>
      <c r="B866" t="s">
        <v>33</v>
      </c>
      <c r="C866">
        <v>0.63</v>
      </c>
      <c r="D866">
        <v>0.5</v>
      </c>
      <c r="E866">
        <v>0.16</v>
      </c>
      <c r="F866">
        <v>1.22</v>
      </c>
      <c r="G866">
        <v>0.49049999999999999</v>
      </c>
      <c r="H866">
        <v>0.3</v>
      </c>
      <c r="I866">
        <v>0.34499999999999997</v>
      </c>
      <c r="J866">
        <v>14</v>
      </c>
      <c r="K866">
        <v>6</v>
      </c>
      <c r="L866" t="s">
        <v>46</v>
      </c>
      <c r="M866" t="s">
        <v>47</v>
      </c>
      <c r="N866" t="s">
        <v>48</v>
      </c>
      <c r="O866">
        <v>5</v>
      </c>
      <c r="P866" t="s">
        <v>12</v>
      </c>
      <c r="Q866">
        <v>12.8</v>
      </c>
      <c r="R866" s="1" t="str">
        <f t="shared" si="15"/>
        <v>III</v>
      </c>
    </row>
    <row r="867" spans="1:18">
      <c r="A867">
        <v>2785</v>
      </c>
      <c r="B867" t="s">
        <v>33</v>
      </c>
      <c r="C867">
        <v>0.6</v>
      </c>
      <c r="D867">
        <v>0.45</v>
      </c>
      <c r="E867">
        <v>0.14499999999999999</v>
      </c>
      <c r="F867">
        <v>0.877</v>
      </c>
      <c r="G867">
        <v>0.4325</v>
      </c>
      <c r="H867">
        <v>0.155</v>
      </c>
      <c r="I867">
        <v>0.24</v>
      </c>
      <c r="J867">
        <v>9</v>
      </c>
      <c r="K867">
        <v>12</v>
      </c>
      <c r="L867" t="s">
        <v>58</v>
      </c>
      <c r="M867" t="s">
        <v>59</v>
      </c>
      <c r="N867" t="s">
        <v>45</v>
      </c>
      <c r="O867">
        <v>4</v>
      </c>
      <c r="P867" t="s">
        <v>8</v>
      </c>
      <c r="Q867">
        <v>6.1</v>
      </c>
      <c r="R867" s="1" t="str">
        <f t="shared" si="15"/>
        <v>III</v>
      </c>
    </row>
    <row r="868" spans="1:18">
      <c r="A868">
        <v>2521</v>
      </c>
      <c r="B868" t="s">
        <v>33</v>
      </c>
      <c r="C868">
        <v>0.52500000000000002</v>
      </c>
      <c r="D868">
        <v>0.42499999999999999</v>
      </c>
      <c r="E868">
        <v>0.19</v>
      </c>
      <c r="F868">
        <v>0.872</v>
      </c>
      <c r="G868">
        <v>0.46250000000000002</v>
      </c>
      <c r="H868">
        <v>0.17249999999999999</v>
      </c>
      <c r="I868">
        <v>0.19900000000000001</v>
      </c>
      <c r="J868">
        <v>9</v>
      </c>
      <c r="K868">
        <v>8</v>
      </c>
      <c r="L868" t="s">
        <v>55</v>
      </c>
      <c r="M868" t="s">
        <v>56</v>
      </c>
      <c r="N868" t="s">
        <v>57</v>
      </c>
      <c r="O868">
        <v>9</v>
      </c>
      <c r="P868" t="s">
        <v>9</v>
      </c>
      <c r="Q868">
        <v>1.9</v>
      </c>
      <c r="R868" s="1" t="str">
        <f t="shared" si="15"/>
        <v>III</v>
      </c>
    </row>
    <row r="869" spans="1:18">
      <c r="A869">
        <v>3361</v>
      </c>
      <c r="B869" t="s">
        <v>33</v>
      </c>
      <c r="C869">
        <v>0.57999999999999996</v>
      </c>
      <c r="D869">
        <v>0.44</v>
      </c>
      <c r="E869">
        <v>0.17499999999999999</v>
      </c>
      <c r="F869">
        <v>1.073</v>
      </c>
      <c r="G869">
        <v>0.40050000000000002</v>
      </c>
      <c r="H869">
        <v>0.23449999999999999</v>
      </c>
      <c r="I869">
        <v>0.33500000000000002</v>
      </c>
      <c r="J869">
        <v>19</v>
      </c>
      <c r="K869">
        <v>1</v>
      </c>
      <c r="L869" t="s">
        <v>70</v>
      </c>
      <c r="M869" t="s">
        <v>71</v>
      </c>
      <c r="N869" t="s">
        <v>45</v>
      </c>
      <c r="O869">
        <v>8</v>
      </c>
      <c r="P869" t="s">
        <v>13</v>
      </c>
      <c r="Q869">
        <v>12.3</v>
      </c>
      <c r="R869" s="1" t="str">
        <f t="shared" si="15"/>
        <v>III</v>
      </c>
    </row>
    <row r="870" spans="1:18">
      <c r="A870">
        <v>1126</v>
      </c>
      <c r="B870" t="s">
        <v>33</v>
      </c>
      <c r="C870">
        <v>0.55000000000000004</v>
      </c>
      <c r="D870">
        <v>0.42499999999999999</v>
      </c>
      <c r="E870">
        <v>0.15</v>
      </c>
      <c r="F870">
        <v>0.83150000000000002</v>
      </c>
      <c r="G870">
        <v>0.41099999999999998</v>
      </c>
      <c r="H870">
        <v>0.17649999999999999</v>
      </c>
      <c r="I870">
        <v>0.2165</v>
      </c>
      <c r="J870">
        <v>10</v>
      </c>
      <c r="K870">
        <v>10</v>
      </c>
      <c r="L870" t="s">
        <v>37</v>
      </c>
      <c r="M870" t="s">
        <v>38</v>
      </c>
      <c r="N870" t="s">
        <v>39</v>
      </c>
      <c r="O870">
        <v>7</v>
      </c>
      <c r="P870" t="s">
        <v>6</v>
      </c>
      <c r="Q870">
        <v>2.5</v>
      </c>
      <c r="R870" s="1" t="str">
        <f t="shared" si="15"/>
        <v>III</v>
      </c>
    </row>
    <row r="871" spans="1:18">
      <c r="A871">
        <v>1339</v>
      </c>
      <c r="B871" t="s">
        <v>33</v>
      </c>
      <c r="C871">
        <v>0.57999999999999996</v>
      </c>
      <c r="D871">
        <v>0.45500000000000002</v>
      </c>
      <c r="E871">
        <v>0.13500000000000001</v>
      </c>
      <c r="F871">
        <v>0.79549999999999998</v>
      </c>
      <c r="G871">
        <v>0.40500000000000003</v>
      </c>
      <c r="H871">
        <v>0.16700000000000001</v>
      </c>
      <c r="I871">
        <v>0.20399999999999999</v>
      </c>
      <c r="J871">
        <v>10</v>
      </c>
      <c r="K871">
        <v>12</v>
      </c>
      <c r="L871" t="s">
        <v>58</v>
      </c>
      <c r="M871" t="s">
        <v>59</v>
      </c>
      <c r="N871" t="s">
        <v>45</v>
      </c>
      <c r="O871">
        <v>4</v>
      </c>
      <c r="P871" t="s">
        <v>8</v>
      </c>
      <c r="Q871">
        <v>6.1</v>
      </c>
      <c r="R871" s="1" t="str">
        <f t="shared" si="15"/>
        <v>III</v>
      </c>
    </row>
    <row r="872" spans="1:18">
      <c r="A872">
        <v>1810</v>
      </c>
      <c r="B872" t="s">
        <v>33</v>
      </c>
      <c r="C872">
        <v>0.64</v>
      </c>
      <c r="D872">
        <v>0.47499999999999998</v>
      </c>
      <c r="E872">
        <v>0.14000000000000001</v>
      </c>
      <c r="F872">
        <v>1.0725</v>
      </c>
      <c r="G872">
        <v>0.48949999999999999</v>
      </c>
      <c r="H872">
        <v>0.22950000000000001</v>
      </c>
      <c r="I872">
        <v>0.31</v>
      </c>
      <c r="J872">
        <v>8</v>
      </c>
      <c r="K872">
        <v>3</v>
      </c>
      <c r="L872" t="s">
        <v>52</v>
      </c>
      <c r="M872" t="s">
        <v>53</v>
      </c>
      <c r="N872" t="s">
        <v>54</v>
      </c>
      <c r="O872">
        <v>7</v>
      </c>
      <c r="P872" t="s">
        <v>6</v>
      </c>
      <c r="Q872">
        <v>2.5</v>
      </c>
      <c r="R872" s="1" t="str">
        <f t="shared" si="15"/>
        <v>III</v>
      </c>
    </row>
    <row r="873" spans="1:18">
      <c r="A873">
        <v>314</v>
      </c>
      <c r="B873" t="s">
        <v>33</v>
      </c>
      <c r="C873">
        <v>0.62</v>
      </c>
      <c r="D873">
        <v>0.47</v>
      </c>
      <c r="E873">
        <v>0.2</v>
      </c>
      <c r="F873">
        <v>1.2255</v>
      </c>
      <c r="G873">
        <v>0.38100000000000001</v>
      </c>
      <c r="H873">
        <v>0.27</v>
      </c>
      <c r="I873">
        <v>0.435</v>
      </c>
      <c r="J873">
        <v>23</v>
      </c>
      <c r="K873">
        <v>9</v>
      </c>
      <c r="L873" t="s">
        <v>34</v>
      </c>
      <c r="M873" t="s">
        <v>35</v>
      </c>
      <c r="N873" t="s">
        <v>36</v>
      </c>
      <c r="O873">
        <v>6</v>
      </c>
      <c r="P873" t="s">
        <v>7</v>
      </c>
      <c r="Q873">
        <v>14.1</v>
      </c>
      <c r="R873" s="1" t="str">
        <f t="shared" si="15"/>
        <v>III</v>
      </c>
    </row>
    <row r="874" spans="1:18">
      <c r="A874">
        <v>1165</v>
      </c>
      <c r="B874" t="s">
        <v>33</v>
      </c>
      <c r="C874">
        <v>0.61499999999999999</v>
      </c>
      <c r="D874">
        <v>0.46</v>
      </c>
      <c r="E874">
        <v>0.17</v>
      </c>
      <c r="F874">
        <v>1.0565</v>
      </c>
      <c r="G874">
        <v>0.48149999999999998</v>
      </c>
      <c r="H874">
        <v>0.27200000000000002</v>
      </c>
      <c r="I874">
        <v>0.27</v>
      </c>
      <c r="J874">
        <v>10</v>
      </c>
      <c r="K874">
        <v>14</v>
      </c>
      <c r="L874" t="s">
        <v>72</v>
      </c>
      <c r="M874" t="s">
        <v>73</v>
      </c>
      <c r="N874" t="s">
        <v>74</v>
      </c>
      <c r="O874">
        <v>9</v>
      </c>
      <c r="P874" t="s">
        <v>9</v>
      </c>
      <c r="Q874">
        <v>1.9</v>
      </c>
      <c r="R874" s="1" t="str">
        <f t="shared" si="15"/>
        <v>III</v>
      </c>
    </row>
    <row r="875" spans="1:18">
      <c r="A875">
        <v>3889</v>
      </c>
      <c r="B875" t="s">
        <v>33</v>
      </c>
      <c r="C875">
        <v>0.57499999999999996</v>
      </c>
      <c r="D875">
        <v>0.45</v>
      </c>
      <c r="E875">
        <v>0.1</v>
      </c>
      <c r="F875">
        <v>0.93149999999999999</v>
      </c>
      <c r="G875">
        <v>0.43099999999999999</v>
      </c>
      <c r="H875">
        <v>0.222</v>
      </c>
      <c r="I875">
        <v>0.23499999999999999</v>
      </c>
      <c r="J875">
        <v>12</v>
      </c>
      <c r="K875">
        <v>6</v>
      </c>
      <c r="L875" t="s">
        <v>46</v>
      </c>
      <c r="M875" t="s">
        <v>47</v>
      </c>
      <c r="N875" t="s">
        <v>48</v>
      </c>
      <c r="O875">
        <v>2</v>
      </c>
      <c r="P875" t="s">
        <v>5</v>
      </c>
      <c r="Q875">
        <v>18</v>
      </c>
      <c r="R875" s="1" t="str">
        <f t="shared" si="15"/>
        <v>III</v>
      </c>
    </row>
    <row r="876" spans="1:18">
      <c r="A876">
        <v>551</v>
      </c>
      <c r="B876" t="s">
        <v>33</v>
      </c>
      <c r="C876">
        <v>0.65</v>
      </c>
      <c r="D876">
        <v>0.51500000000000001</v>
      </c>
      <c r="E876">
        <v>0.16</v>
      </c>
      <c r="F876">
        <v>1.1625000000000001</v>
      </c>
      <c r="G876">
        <v>0.495</v>
      </c>
      <c r="H876">
        <v>0.20300000000000001</v>
      </c>
      <c r="I876">
        <v>0.33</v>
      </c>
      <c r="J876">
        <v>17</v>
      </c>
      <c r="K876">
        <v>1</v>
      </c>
      <c r="L876" t="s">
        <v>70</v>
      </c>
      <c r="M876" t="s">
        <v>71</v>
      </c>
      <c r="N876" t="s">
        <v>45</v>
      </c>
      <c r="O876">
        <v>6</v>
      </c>
      <c r="P876" t="s">
        <v>7</v>
      </c>
      <c r="Q876">
        <v>14.1</v>
      </c>
      <c r="R876" s="1" t="str">
        <f t="shared" si="15"/>
        <v>III</v>
      </c>
    </row>
    <row r="877" spans="1:18">
      <c r="A877">
        <v>4102</v>
      </c>
      <c r="B877" t="s">
        <v>33</v>
      </c>
      <c r="C877">
        <v>0.67500000000000004</v>
      </c>
      <c r="D877">
        <v>0.51</v>
      </c>
      <c r="E877">
        <v>0.15</v>
      </c>
      <c r="F877">
        <v>1.1964999999999999</v>
      </c>
      <c r="G877">
        <v>0.47499999999999998</v>
      </c>
      <c r="H877">
        <v>0.30399999999999999</v>
      </c>
      <c r="I877">
        <v>0.38600000000000001</v>
      </c>
      <c r="J877">
        <v>11</v>
      </c>
      <c r="K877">
        <v>6</v>
      </c>
      <c r="L877" t="s">
        <v>46</v>
      </c>
      <c r="M877" t="s">
        <v>47</v>
      </c>
      <c r="N877" t="s">
        <v>48</v>
      </c>
      <c r="O877">
        <v>10</v>
      </c>
      <c r="P877" t="s">
        <v>11</v>
      </c>
      <c r="Q877">
        <v>24.1</v>
      </c>
      <c r="R877" s="1" t="str">
        <f t="shared" si="15"/>
        <v>III</v>
      </c>
    </row>
    <row r="878" spans="1:18">
      <c r="A878">
        <v>2763</v>
      </c>
      <c r="B878" t="s">
        <v>33</v>
      </c>
      <c r="C878">
        <v>0.55000000000000004</v>
      </c>
      <c r="D878">
        <v>0.42</v>
      </c>
      <c r="E878">
        <v>0.155</v>
      </c>
      <c r="F878">
        <v>0.91200000000000003</v>
      </c>
      <c r="G878">
        <v>0.495</v>
      </c>
      <c r="H878">
        <v>0.18049999999999999</v>
      </c>
      <c r="I878">
        <v>0.20499999999999999</v>
      </c>
      <c r="J878">
        <v>9</v>
      </c>
      <c r="K878">
        <v>2</v>
      </c>
      <c r="L878" t="s">
        <v>49</v>
      </c>
      <c r="M878" t="s">
        <v>50</v>
      </c>
      <c r="N878" t="s">
        <v>51</v>
      </c>
      <c r="O878">
        <v>10</v>
      </c>
      <c r="P878" t="s">
        <v>11</v>
      </c>
      <c r="Q878">
        <v>24.1</v>
      </c>
      <c r="R878" s="1" t="str">
        <f t="shared" si="15"/>
        <v>III</v>
      </c>
    </row>
    <row r="879" spans="1:18">
      <c r="A879">
        <v>3494</v>
      </c>
      <c r="B879" t="s">
        <v>33</v>
      </c>
      <c r="C879">
        <v>0.55500000000000005</v>
      </c>
      <c r="D879">
        <v>0.44</v>
      </c>
      <c r="E879">
        <v>0.15</v>
      </c>
      <c r="F879">
        <v>0.83799999999999997</v>
      </c>
      <c r="G879">
        <v>0.41549999999999998</v>
      </c>
      <c r="H879">
        <v>0.14599999999999999</v>
      </c>
      <c r="I879">
        <v>0.23</v>
      </c>
      <c r="J879">
        <v>8</v>
      </c>
      <c r="K879">
        <v>1</v>
      </c>
      <c r="L879" t="s">
        <v>70</v>
      </c>
      <c r="M879" t="s">
        <v>71</v>
      </c>
      <c r="N879" t="s">
        <v>45</v>
      </c>
      <c r="O879">
        <v>2</v>
      </c>
      <c r="P879" t="s">
        <v>5</v>
      </c>
      <c r="Q879">
        <v>18</v>
      </c>
      <c r="R879" s="1" t="str">
        <f t="shared" si="15"/>
        <v>III</v>
      </c>
    </row>
    <row r="880" spans="1:18">
      <c r="A880">
        <v>1337</v>
      </c>
      <c r="B880" t="s">
        <v>33</v>
      </c>
      <c r="C880">
        <v>0.57499999999999996</v>
      </c>
      <c r="D880">
        <v>0.46</v>
      </c>
      <c r="E880">
        <v>0.155</v>
      </c>
      <c r="F880">
        <v>0.89200000000000002</v>
      </c>
      <c r="G880">
        <v>0.4415</v>
      </c>
      <c r="H880">
        <v>0.17599999999999999</v>
      </c>
      <c r="I880">
        <v>0.22</v>
      </c>
      <c r="J880">
        <v>10</v>
      </c>
      <c r="K880">
        <v>4</v>
      </c>
      <c r="L880" t="s">
        <v>40</v>
      </c>
      <c r="M880" t="s">
        <v>41</v>
      </c>
      <c r="N880" t="s">
        <v>42</v>
      </c>
      <c r="O880">
        <v>4</v>
      </c>
      <c r="P880" t="s">
        <v>8</v>
      </c>
      <c r="Q880">
        <v>6.1</v>
      </c>
      <c r="R880" s="1" t="str">
        <f t="shared" si="15"/>
        <v>III</v>
      </c>
    </row>
    <row r="881" spans="1:18">
      <c r="A881">
        <v>378</v>
      </c>
      <c r="B881" t="s">
        <v>33</v>
      </c>
      <c r="C881">
        <v>0.58499999999999996</v>
      </c>
      <c r="D881">
        <v>0.45</v>
      </c>
      <c r="E881">
        <v>0.16</v>
      </c>
      <c r="F881">
        <v>1.077</v>
      </c>
      <c r="G881">
        <v>0.4995</v>
      </c>
      <c r="H881">
        <v>0.28749999999999998</v>
      </c>
      <c r="I881">
        <v>0.25</v>
      </c>
      <c r="J881">
        <v>10</v>
      </c>
      <c r="K881">
        <v>8</v>
      </c>
      <c r="L881" t="s">
        <v>55</v>
      </c>
      <c r="M881" t="s">
        <v>56</v>
      </c>
      <c r="N881" t="s">
        <v>57</v>
      </c>
      <c r="O881">
        <v>8</v>
      </c>
      <c r="P881" t="s">
        <v>13</v>
      </c>
      <c r="Q881">
        <v>12.3</v>
      </c>
      <c r="R881" s="1" t="str">
        <f t="shared" si="15"/>
        <v>III</v>
      </c>
    </row>
    <row r="882" spans="1:18">
      <c r="A882">
        <v>1467</v>
      </c>
      <c r="B882" t="s">
        <v>33</v>
      </c>
      <c r="C882">
        <v>0.51500000000000001</v>
      </c>
      <c r="D882">
        <v>0.42499999999999999</v>
      </c>
      <c r="E882">
        <v>0.14499999999999999</v>
      </c>
      <c r="F882">
        <v>0.9365</v>
      </c>
      <c r="G882">
        <v>0.497</v>
      </c>
      <c r="H882">
        <v>0.18099999999999999</v>
      </c>
      <c r="I882">
        <v>0.2185</v>
      </c>
      <c r="J882">
        <v>8</v>
      </c>
      <c r="K882">
        <v>15</v>
      </c>
      <c r="L882" t="s">
        <v>60</v>
      </c>
      <c r="M882" t="s">
        <v>61</v>
      </c>
      <c r="N882" t="s">
        <v>45</v>
      </c>
      <c r="O882">
        <v>9</v>
      </c>
      <c r="P882" t="s">
        <v>9</v>
      </c>
      <c r="Q882">
        <v>1.9</v>
      </c>
      <c r="R882" s="1" t="str">
        <f t="shared" si="15"/>
        <v>III</v>
      </c>
    </row>
    <row r="883" spans="1:18">
      <c r="A883">
        <v>3819</v>
      </c>
      <c r="B883" t="s">
        <v>75</v>
      </c>
      <c r="C883">
        <v>0.56499999999999995</v>
      </c>
      <c r="D883">
        <v>0.44500000000000001</v>
      </c>
      <c r="E883">
        <v>0.14000000000000001</v>
      </c>
      <c r="F883">
        <v>0.83599999999999997</v>
      </c>
      <c r="G883">
        <v>0.40600000000000003</v>
      </c>
      <c r="H883">
        <v>0.1605</v>
      </c>
      <c r="I883">
        <v>0.22450000000000001</v>
      </c>
      <c r="J883">
        <v>9</v>
      </c>
      <c r="K883">
        <v>12</v>
      </c>
      <c r="L883" t="s">
        <v>58</v>
      </c>
      <c r="M883" t="s">
        <v>59</v>
      </c>
      <c r="N883" t="s">
        <v>45</v>
      </c>
      <c r="O883">
        <v>4</v>
      </c>
      <c r="P883" t="s">
        <v>8</v>
      </c>
      <c r="Q883">
        <v>6.1</v>
      </c>
      <c r="R883" s="1" t="str">
        <f t="shared" si="15"/>
        <v>III</v>
      </c>
    </row>
    <row r="884" spans="1:18">
      <c r="A884">
        <v>152</v>
      </c>
      <c r="B884" t="s">
        <v>75</v>
      </c>
      <c r="C884">
        <v>0.60499999999999998</v>
      </c>
      <c r="D884">
        <v>0.5</v>
      </c>
      <c r="E884">
        <v>0.185</v>
      </c>
      <c r="F884">
        <v>1.1185</v>
      </c>
      <c r="G884">
        <v>0.46899999999999997</v>
      </c>
      <c r="H884">
        <v>0.25850000000000001</v>
      </c>
      <c r="I884">
        <v>0.33500000000000002</v>
      </c>
      <c r="J884">
        <v>9</v>
      </c>
      <c r="K884">
        <v>12</v>
      </c>
      <c r="L884" t="s">
        <v>58</v>
      </c>
      <c r="M884" t="s">
        <v>59</v>
      </c>
      <c r="N884" t="s">
        <v>45</v>
      </c>
      <c r="O884">
        <v>1</v>
      </c>
      <c r="P884" t="s">
        <v>4</v>
      </c>
      <c r="Q884">
        <v>22.1</v>
      </c>
      <c r="R884" s="1" t="str">
        <f t="shared" si="15"/>
        <v>III</v>
      </c>
    </row>
    <row r="885" spans="1:18">
      <c r="A885">
        <v>1777</v>
      </c>
      <c r="B885" t="s">
        <v>75</v>
      </c>
      <c r="C885">
        <v>0.48499999999999999</v>
      </c>
      <c r="D885">
        <v>0.37</v>
      </c>
      <c r="E885">
        <v>0.155</v>
      </c>
      <c r="F885">
        <v>0.96799999999999997</v>
      </c>
      <c r="G885">
        <v>0.41899999999999998</v>
      </c>
      <c r="H885">
        <v>0.2455</v>
      </c>
      <c r="I885">
        <v>0.23649999999999999</v>
      </c>
      <c r="J885">
        <v>9</v>
      </c>
      <c r="K885">
        <v>2</v>
      </c>
      <c r="L885" t="s">
        <v>49</v>
      </c>
      <c r="M885" t="s">
        <v>50</v>
      </c>
      <c r="N885" t="s">
        <v>51</v>
      </c>
      <c r="O885">
        <v>6</v>
      </c>
      <c r="P885" t="s">
        <v>7</v>
      </c>
      <c r="Q885">
        <v>14.1</v>
      </c>
      <c r="R885" s="1" t="str">
        <f t="shared" si="15"/>
        <v>III</v>
      </c>
    </row>
    <row r="886" spans="1:18">
      <c r="A886">
        <v>1358</v>
      </c>
      <c r="B886" t="s">
        <v>75</v>
      </c>
      <c r="C886">
        <v>0.6</v>
      </c>
      <c r="D886">
        <v>0.46</v>
      </c>
      <c r="E886">
        <v>0.155</v>
      </c>
      <c r="F886">
        <v>0.95950000000000002</v>
      </c>
      <c r="G886">
        <v>0.44550000000000001</v>
      </c>
      <c r="H886">
        <v>0.189</v>
      </c>
      <c r="I886">
        <v>0.29499999999999998</v>
      </c>
      <c r="J886">
        <v>11</v>
      </c>
      <c r="K886">
        <v>6</v>
      </c>
      <c r="L886" t="s">
        <v>46</v>
      </c>
      <c r="M886" t="s">
        <v>47</v>
      </c>
      <c r="N886" t="s">
        <v>48</v>
      </c>
      <c r="O886">
        <v>2</v>
      </c>
      <c r="P886" t="s">
        <v>5</v>
      </c>
      <c r="Q886">
        <v>18</v>
      </c>
      <c r="R886" s="1" t="str">
        <f t="shared" si="15"/>
        <v>III</v>
      </c>
    </row>
    <row r="887" spans="1:18">
      <c r="A887">
        <v>2177</v>
      </c>
      <c r="B887" t="s">
        <v>75</v>
      </c>
      <c r="C887">
        <v>0.56999999999999995</v>
      </c>
      <c r="D887">
        <v>0.45</v>
      </c>
      <c r="E887">
        <v>0.17</v>
      </c>
      <c r="F887">
        <v>1.0980000000000001</v>
      </c>
      <c r="G887">
        <v>0.41399999999999998</v>
      </c>
      <c r="H887">
        <v>0.187</v>
      </c>
      <c r="I887">
        <v>0.40500000000000003</v>
      </c>
      <c r="J887">
        <v>20</v>
      </c>
      <c r="K887">
        <v>6</v>
      </c>
      <c r="L887" t="s">
        <v>46</v>
      </c>
      <c r="M887" t="s">
        <v>47</v>
      </c>
      <c r="N887" t="s">
        <v>48</v>
      </c>
      <c r="O887">
        <v>9</v>
      </c>
      <c r="P887" t="s">
        <v>9</v>
      </c>
      <c r="Q887">
        <v>1.9</v>
      </c>
      <c r="R887" s="1" t="str">
        <f t="shared" si="15"/>
        <v>III</v>
      </c>
    </row>
    <row r="888" spans="1:18">
      <c r="A888">
        <v>1357</v>
      </c>
      <c r="B888" t="s">
        <v>75</v>
      </c>
      <c r="C888">
        <v>0.6</v>
      </c>
      <c r="D888">
        <v>0.45500000000000002</v>
      </c>
      <c r="E888">
        <v>0.14499999999999999</v>
      </c>
      <c r="F888">
        <v>0.88949999999999996</v>
      </c>
      <c r="G888">
        <v>0.41899999999999998</v>
      </c>
      <c r="H888">
        <v>0.17150000000000001</v>
      </c>
      <c r="I888">
        <v>0.26900000000000002</v>
      </c>
      <c r="J888">
        <v>10</v>
      </c>
      <c r="K888">
        <v>5</v>
      </c>
      <c r="L888" t="s">
        <v>67</v>
      </c>
      <c r="M888" t="s">
        <v>68</v>
      </c>
      <c r="N888" t="s">
        <v>69</v>
      </c>
      <c r="O888">
        <v>1</v>
      </c>
      <c r="P888" t="s">
        <v>4</v>
      </c>
      <c r="Q888">
        <v>22.1</v>
      </c>
      <c r="R888" s="1" t="str">
        <f t="shared" si="15"/>
        <v>III</v>
      </c>
    </row>
    <row r="889" spans="1:18">
      <c r="A889">
        <v>1496</v>
      </c>
      <c r="B889" t="s">
        <v>75</v>
      </c>
      <c r="C889">
        <v>0.62</v>
      </c>
      <c r="D889">
        <v>0.435</v>
      </c>
      <c r="E889">
        <v>0.155</v>
      </c>
      <c r="F889">
        <v>1.012</v>
      </c>
      <c r="G889">
        <v>0.47699999999999998</v>
      </c>
      <c r="H889">
        <v>0.23599999999999999</v>
      </c>
      <c r="I889">
        <v>0.27500000000000002</v>
      </c>
      <c r="J889">
        <v>8</v>
      </c>
      <c r="K889">
        <v>8</v>
      </c>
      <c r="L889" t="s">
        <v>55</v>
      </c>
      <c r="M889" t="s">
        <v>56</v>
      </c>
      <c r="N889" t="s">
        <v>57</v>
      </c>
      <c r="O889">
        <v>8</v>
      </c>
      <c r="P889" t="s">
        <v>13</v>
      </c>
      <c r="Q889">
        <v>12.3</v>
      </c>
      <c r="R889" s="1" t="str">
        <f t="shared" si="15"/>
        <v>III</v>
      </c>
    </row>
    <row r="890" spans="1:18">
      <c r="A890">
        <v>2238</v>
      </c>
      <c r="B890" t="s">
        <v>75</v>
      </c>
      <c r="C890">
        <v>0.58499999999999996</v>
      </c>
      <c r="D890">
        <v>0.46500000000000002</v>
      </c>
      <c r="E890">
        <v>0.19</v>
      </c>
      <c r="F890">
        <v>1.171</v>
      </c>
      <c r="G890">
        <v>0.39050000000000001</v>
      </c>
      <c r="H890">
        <v>0.23549999999999999</v>
      </c>
      <c r="I890">
        <v>0.4</v>
      </c>
      <c r="J890">
        <v>17</v>
      </c>
      <c r="K890">
        <v>15</v>
      </c>
      <c r="L890" t="s">
        <v>60</v>
      </c>
      <c r="M890" t="s">
        <v>61</v>
      </c>
      <c r="N890" t="s">
        <v>45</v>
      </c>
      <c r="O890">
        <v>2</v>
      </c>
      <c r="P890" t="s">
        <v>5</v>
      </c>
      <c r="Q890">
        <v>18</v>
      </c>
      <c r="R890" s="1" t="str">
        <f t="shared" si="15"/>
        <v>III</v>
      </c>
    </row>
    <row r="891" spans="1:18">
      <c r="A891">
        <v>4114</v>
      </c>
      <c r="B891" t="s">
        <v>75</v>
      </c>
      <c r="C891">
        <v>0.56000000000000005</v>
      </c>
      <c r="D891">
        <v>0.42</v>
      </c>
      <c r="E891">
        <v>0.14000000000000001</v>
      </c>
      <c r="F891">
        <v>0.83699999999999997</v>
      </c>
      <c r="G891">
        <v>0.41399999999999998</v>
      </c>
      <c r="H891">
        <v>0.214</v>
      </c>
      <c r="I891">
        <v>0.2</v>
      </c>
      <c r="J891">
        <v>8</v>
      </c>
      <c r="K891">
        <v>14</v>
      </c>
      <c r="L891" t="s">
        <v>72</v>
      </c>
      <c r="M891" t="s">
        <v>73</v>
      </c>
      <c r="N891" t="s">
        <v>74</v>
      </c>
      <c r="O891">
        <v>5</v>
      </c>
      <c r="P891" t="s">
        <v>12</v>
      </c>
      <c r="Q891">
        <v>12.8</v>
      </c>
      <c r="R891" s="1" t="str">
        <f t="shared" si="15"/>
        <v>III</v>
      </c>
    </row>
    <row r="892" spans="1:18">
      <c r="A892">
        <v>993</v>
      </c>
      <c r="B892" t="s">
        <v>75</v>
      </c>
      <c r="C892">
        <v>0.57999999999999996</v>
      </c>
      <c r="D892">
        <v>0.46</v>
      </c>
      <c r="E892">
        <v>0.18</v>
      </c>
      <c r="F892">
        <v>1.0515000000000001</v>
      </c>
      <c r="G892">
        <v>0.40949999999999998</v>
      </c>
      <c r="H892">
        <v>0.25950000000000001</v>
      </c>
      <c r="I892">
        <v>0.27600000000000002</v>
      </c>
      <c r="J892">
        <v>8</v>
      </c>
      <c r="K892">
        <v>6</v>
      </c>
      <c r="L892" t="s">
        <v>46</v>
      </c>
      <c r="M892" t="s">
        <v>47</v>
      </c>
      <c r="N892" t="s">
        <v>48</v>
      </c>
      <c r="O892">
        <v>2</v>
      </c>
      <c r="P892" t="s">
        <v>5</v>
      </c>
      <c r="Q892">
        <v>18</v>
      </c>
      <c r="R892" s="1" t="str">
        <f t="shared" si="15"/>
        <v>III</v>
      </c>
    </row>
    <row r="893" spans="1:18">
      <c r="A893">
        <v>1375</v>
      </c>
      <c r="B893" t="s">
        <v>75</v>
      </c>
      <c r="C893">
        <v>0.61499999999999999</v>
      </c>
      <c r="D893">
        <v>0.48</v>
      </c>
      <c r="E893">
        <v>0.17499999999999999</v>
      </c>
      <c r="F893">
        <v>1.1180000000000001</v>
      </c>
      <c r="G893">
        <v>0.44600000000000001</v>
      </c>
      <c r="H893">
        <v>0.31950000000000001</v>
      </c>
      <c r="I893">
        <v>0.3</v>
      </c>
      <c r="J893">
        <v>9</v>
      </c>
      <c r="K893">
        <v>5</v>
      </c>
      <c r="L893" t="s">
        <v>67</v>
      </c>
      <c r="M893" t="s">
        <v>68</v>
      </c>
      <c r="N893" t="s">
        <v>69</v>
      </c>
      <c r="O893">
        <v>6</v>
      </c>
      <c r="P893" t="s">
        <v>7</v>
      </c>
      <c r="Q893">
        <v>14.1</v>
      </c>
      <c r="R893" s="1" t="str">
        <f t="shared" si="15"/>
        <v>III</v>
      </c>
    </row>
    <row r="894" spans="1:18">
      <c r="A894">
        <v>1340</v>
      </c>
      <c r="B894" t="s">
        <v>75</v>
      </c>
      <c r="C894">
        <v>0.57999999999999996</v>
      </c>
      <c r="D894">
        <v>0.44500000000000001</v>
      </c>
      <c r="E894">
        <v>0.15</v>
      </c>
      <c r="F894">
        <v>0.85799999999999998</v>
      </c>
      <c r="G894">
        <v>0.4</v>
      </c>
      <c r="H894">
        <v>0.156</v>
      </c>
      <c r="I894">
        <v>0.253</v>
      </c>
      <c r="J894">
        <v>8</v>
      </c>
      <c r="K894">
        <v>13</v>
      </c>
      <c r="L894" t="s">
        <v>43</v>
      </c>
      <c r="M894" t="s">
        <v>44</v>
      </c>
      <c r="N894" t="s">
        <v>45</v>
      </c>
      <c r="O894">
        <v>7</v>
      </c>
      <c r="P894" t="s">
        <v>6</v>
      </c>
      <c r="Q894">
        <v>2.5</v>
      </c>
      <c r="R894" s="1" t="str">
        <f t="shared" ref="R894:R925" si="16">IF(OR(AND(J894 &gt; 15, B894 = "Infant"), AND(D894 = "Male", C894 &gt; 0.75),
    OR(I894 &gt; 0.8, G894 &gt; 0.5), G894 &gt; 1.2),
    "I",
    IF(OR(AND(I894 &lt; 0.4, G894 &lt; 0.4), AND(J894 &gt; 15, D894 = "Male"), AND(J894 &gt; 18, D894 = "Female"), C894 &lt; 0.36),
    "II",
    "III"))</f>
        <v>III</v>
      </c>
    </row>
    <row r="895" spans="1:18">
      <c r="A895">
        <v>2772</v>
      </c>
      <c r="B895" t="s">
        <v>75</v>
      </c>
      <c r="C895">
        <v>0.57499999999999996</v>
      </c>
      <c r="D895">
        <v>0.435</v>
      </c>
      <c r="E895">
        <v>0.155</v>
      </c>
      <c r="F895">
        <v>0.89749999999999996</v>
      </c>
      <c r="G895">
        <v>0.41149999999999998</v>
      </c>
      <c r="H895">
        <v>0.23250000000000001</v>
      </c>
      <c r="I895">
        <v>0.23</v>
      </c>
      <c r="J895">
        <v>9</v>
      </c>
      <c r="K895">
        <v>2</v>
      </c>
      <c r="L895" t="s">
        <v>49</v>
      </c>
      <c r="M895" t="s">
        <v>50</v>
      </c>
      <c r="N895" t="s">
        <v>51</v>
      </c>
      <c r="O895">
        <v>2</v>
      </c>
      <c r="P895" t="s">
        <v>5</v>
      </c>
      <c r="Q895">
        <v>18</v>
      </c>
      <c r="R895" s="1" t="str">
        <f t="shared" si="16"/>
        <v>III</v>
      </c>
    </row>
    <row r="896" spans="1:18">
      <c r="A896">
        <v>2829</v>
      </c>
      <c r="B896" t="s">
        <v>75</v>
      </c>
      <c r="C896">
        <v>0.52</v>
      </c>
      <c r="D896">
        <v>0.4</v>
      </c>
      <c r="E896">
        <v>0.105</v>
      </c>
      <c r="F896">
        <v>0.872</v>
      </c>
      <c r="G896">
        <v>0.45150000000000001</v>
      </c>
      <c r="H896">
        <v>0.1615</v>
      </c>
      <c r="I896">
        <v>0.19850000000000001</v>
      </c>
      <c r="J896">
        <v>9</v>
      </c>
      <c r="K896">
        <v>6</v>
      </c>
      <c r="L896" t="s">
        <v>46</v>
      </c>
      <c r="M896" t="s">
        <v>47</v>
      </c>
      <c r="N896" t="s">
        <v>48</v>
      </c>
      <c r="O896">
        <v>10</v>
      </c>
      <c r="P896" t="s">
        <v>11</v>
      </c>
      <c r="Q896">
        <v>24.1</v>
      </c>
      <c r="R896" s="1" t="str">
        <f t="shared" si="16"/>
        <v>III</v>
      </c>
    </row>
    <row r="897" spans="1:18">
      <c r="A897">
        <v>3493</v>
      </c>
      <c r="B897" t="s">
        <v>75</v>
      </c>
      <c r="C897">
        <v>0.55500000000000005</v>
      </c>
      <c r="D897">
        <v>0.44</v>
      </c>
      <c r="E897">
        <v>0.14499999999999999</v>
      </c>
      <c r="F897">
        <v>0.85</v>
      </c>
      <c r="G897">
        <v>0.41649999999999998</v>
      </c>
      <c r="H897">
        <v>0.16850000000000001</v>
      </c>
      <c r="I897">
        <v>0.23</v>
      </c>
      <c r="J897">
        <v>8</v>
      </c>
      <c r="K897">
        <v>4</v>
      </c>
      <c r="L897" t="s">
        <v>40</v>
      </c>
      <c r="M897" t="s">
        <v>41</v>
      </c>
      <c r="N897" t="s">
        <v>42</v>
      </c>
      <c r="O897">
        <v>9</v>
      </c>
      <c r="P897" t="s">
        <v>9</v>
      </c>
      <c r="Q897">
        <v>1.9</v>
      </c>
      <c r="R897" s="1" t="str">
        <f t="shared" si="16"/>
        <v>III</v>
      </c>
    </row>
    <row r="898" spans="1:18">
      <c r="A898">
        <v>2357</v>
      </c>
      <c r="B898" t="s">
        <v>75</v>
      </c>
      <c r="C898">
        <v>0.57499999999999996</v>
      </c>
      <c r="D898">
        <v>0.47</v>
      </c>
      <c r="E898">
        <v>0.15</v>
      </c>
      <c r="F898">
        <v>1.1415</v>
      </c>
      <c r="G898">
        <v>0.45150000000000001</v>
      </c>
      <c r="H898">
        <v>0.20399999999999999</v>
      </c>
      <c r="I898">
        <v>0.4</v>
      </c>
      <c r="J898">
        <v>13</v>
      </c>
      <c r="K898">
        <v>1</v>
      </c>
      <c r="L898" t="s">
        <v>70</v>
      </c>
      <c r="M898" t="s">
        <v>71</v>
      </c>
      <c r="N898" t="s">
        <v>45</v>
      </c>
      <c r="O898">
        <v>8</v>
      </c>
      <c r="P898" t="s">
        <v>13</v>
      </c>
      <c r="Q898">
        <v>12.3</v>
      </c>
      <c r="R898" s="1" t="str">
        <f t="shared" si="16"/>
        <v>III</v>
      </c>
    </row>
    <row r="899" spans="1:18">
      <c r="A899">
        <v>2922</v>
      </c>
      <c r="B899" t="s">
        <v>75</v>
      </c>
      <c r="C899">
        <v>0.6</v>
      </c>
      <c r="D899">
        <v>0.45</v>
      </c>
      <c r="E899">
        <v>0.15</v>
      </c>
      <c r="F899">
        <v>0.96250000000000002</v>
      </c>
      <c r="G899">
        <v>0.4375</v>
      </c>
      <c r="H899">
        <v>0.2225</v>
      </c>
      <c r="I899">
        <v>0.27750000000000002</v>
      </c>
      <c r="J899">
        <v>9</v>
      </c>
      <c r="K899">
        <v>7</v>
      </c>
      <c r="L899" t="s">
        <v>62</v>
      </c>
      <c r="M899" t="s">
        <v>63</v>
      </c>
      <c r="N899" t="s">
        <v>64</v>
      </c>
      <c r="O899">
        <v>4</v>
      </c>
      <c r="P899" t="s">
        <v>8</v>
      </c>
      <c r="Q899">
        <v>6.1</v>
      </c>
      <c r="R899" s="1" t="str">
        <f t="shared" si="16"/>
        <v>III</v>
      </c>
    </row>
    <row r="900" spans="1:18">
      <c r="A900">
        <v>1605</v>
      </c>
      <c r="B900" t="s">
        <v>75</v>
      </c>
      <c r="C900">
        <v>0.54</v>
      </c>
      <c r="D900">
        <v>0.45500000000000002</v>
      </c>
      <c r="E900">
        <v>0.14000000000000001</v>
      </c>
      <c r="F900">
        <v>0.97199999999999998</v>
      </c>
      <c r="G900">
        <v>0.41899999999999998</v>
      </c>
      <c r="H900">
        <v>0.255</v>
      </c>
      <c r="I900">
        <v>0.26900000000000002</v>
      </c>
      <c r="J900">
        <v>10</v>
      </c>
      <c r="K900">
        <v>4</v>
      </c>
      <c r="L900" t="s">
        <v>40</v>
      </c>
      <c r="M900" t="s">
        <v>41</v>
      </c>
      <c r="N900" t="s">
        <v>42</v>
      </c>
      <c r="O900">
        <v>10</v>
      </c>
      <c r="P900" t="s">
        <v>11</v>
      </c>
      <c r="Q900">
        <v>24.1</v>
      </c>
      <c r="R900" s="1" t="str">
        <f t="shared" si="16"/>
        <v>III</v>
      </c>
    </row>
    <row r="901" spans="1:18">
      <c r="A901">
        <v>3577</v>
      </c>
      <c r="B901" t="s">
        <v>75</v>
      </c>
      <c r="C901">
        <v>0.6</v>
      </c>
      <c r="D901">
        <v>0.47499999999999998</v>
      </c>
      <c r="E901">
        <v>0.155</v>
      </c>
      <c r="F901">
        <v>1.0589999999999999</v>
      </c>
      <c r="G901">
        <v>0.441</v>
      </c>
      <c r="H901">
        <v>0.19</v>
      </c>
      <c r="I901">
        <v>0.39</v>
      </c>
      <c r="J901">
        <v>11</v>
      </c>
      <c r="K901">
        <v>11</v>
      </c>
      <c r="L901" t="s">
        <v>65</v>
      </c>
      <c r="M901" t="s">
        <v>66</v>
      </c>
      <c r="N901" t="s">
        <v>45</v>
      </c>
      <c r="O901">
        <v>1</v>
      </c>
      <c r="P901" t="s">
        <v>4</v>
      </c>
      <c r="Q901">
        <v>22.1</v>
      </c>
      <c r="R901" s="1" t="str">
        <f t="shared" si="16"/>
        <v>III</v>
      </c>
    </row>
    <row r="902" spans="1:18">
      <c r="A902">
        <v>3417</v>
      </c>
      <c r="B902" t="s">
        <v>75</v>
      </c>
      <c r="C902">
        <v>0.56000000000000005</v>
      </c>
      <c r="D902">
        <v>0.45</v>
      </c>
      <c r="E902">
        <v>0.14000000000000001</v>
      </c>
      <c r="F902">
        <v>0.9</v>
      </c>
      <c r="G902">
        <v>0.47199999999999998</v>
      </c>
      <c r="H902">
        <v>0.182</v>
      </c>
      <c r="I902">
        <v>0.218</v>
      </c>
      <c r="J902">
        <v>7</v>
      </c>
      <c r="K902">
        <v>5</v>
      </c>
      <c r="L902" t="s">
        <v>67</v>
      </c>
      <c r="M902" t="s">
        <v>68</v>
      </c>
      <c r="N902" t="s">
        <v>69</v>
      </c>
      <c r="O902">
        <v>4</v>
      </c>
      <c r="P902" t="s">
        <v>8</v>
      </c>
      <c r="Q902">
        <v>6.1</v>
      </c>
      <c r="R902" s="1" t="str">
        <f t="shared" si="16"/>
        <v>III</v>
      </c>
    </row>
    <row r="903" spans="1:18">
      <c r="A903">
        <v>2919</v>
      </c>
      <c r="B903" t="s">
        <v>75</v>
      </c>
      <c r="C903">
        <v>0.6</v>
      </c>
      <c r="D903">
        <v>0.44500000000000001</v>
      </c>
      <c r="E903">
        <v>0.13500000000000001</v>
      </c>
      <c r="F903">
        <v>0.92049999999999998</v>
      </c>
      <c r="G903">
        <v>0.44500000000000001</v>
      </c>
      <c r="H903">
        <v>0.20349999999999999</v>
      </c>
      <c r="I903">
        <v>0.253</v>
      </c>
      <c r="J903">
        <v>9</v>
      </c>
      <c r="K903">
        <v>6</v>
      </c>
      <c r="L903" t="s">
        <v>46</v>
      </c>
      <c r="M903" t="s">
        <v>47</v>
      </c>
      <c r="N903" t="s">
        <v>48</v>
      </c>
      <c r="O903">
        <v>6</v>
      </c>
      <c r="P903" t="s">
        <v>7</v>
      </c>
      <c r="Q903">
        <v>14.1</v>
      </c>
      <c r="R903" s="1" t="str">
        <f t="shared" si="16"/>
        <v>III</v>
      </c>
    </row>
    <row r="904" spans="1:18">
      <c r="A904">
        <v>1130</v>
      </c>
      <c r="B904" t="s">
        <v>75</v>
      </c>
      <c r="C904">
        <v>0.56000000000000005</v>
      </c>
      <c r="D904">
        <v>0.41499999999999998</v>
      </c>
      <c r="E904">
        <v>0.14499999999999999</v>
      </c>
      <c r="F904">
        <v>0.85199999999999998</v>
      </c>
      <c r="G904">
        <v>0.43</v>
      </c>
      <c r="H904">
        <v>0.1885</v>
      </c>
      <c r="I904">
        <v>0.20499999999999999</v>
      </c>
      <c r="J904">
        <v>8</v>
      </c>
      <c r="K904">
        <v>10</v>
      </c>
      <c r="L904" t="s">
        <v>37</v>
      </c>
      <c r="M904" t="s">
        <v>38</v>
      </c>
      <c r="N904" t="s">
        <v>39</v>
      </c>
      <c r="O904">
        <v>6</v>
      </c>
      <c r="P904" t="s">
        <v>7</v>
      </c>
      <c r="Q904">
        <v>14.1</v>
      </c>
      <c r="R904" s="1" t="str">
        <f t="shared" si="16"/>
        <v>III</v>
      </c>
    </row>
    <row r="905" spans="1:18">
      <c r="A905">
        <v>3052</v>
      </c>
      <c r="B905" t="s">
        <v>75</v>
      </c>
      <c r="C905">
        <v>0.59499999999999997</v>
      </c>
      <c r="D905">
        <v>0.48</v>
      </c>
      <c r="E905">
        <v>0.14000000000000001</v>
      </c>
      <c r="F905">
        <v>0.91249999999999998</v>
      </c>
      <c r="G905">
        <v>0.40949999999999998</v>
      </c>
      <c r="H905">
        <v>0.1825</v>
      </c>
      <c r="I905">
        <v>0.28899999999999998</v>
      </c>
      <c r="J905">
        <v>9</v>
      </c>
      <c r="K905">
        <v>8</v>
      </c>
      <c r="L905" t="s">
        <v>55</v>
      </c>
      <c r="M905" t="s">
        <v>56</v>
      </c>
      <c r="N905" t="s">
        <v>57</v>
      </c>
      <c r="O905">
        <v>4</v>
      </c>
      <c r="P905" t="s">
        <v>8</v>
      </c>
      <c r="Q905">
        <v>6.1</v>
      </c>
      <c r="R905" s="1" t="str">
        <f t="shared" si="16"/>
        <v>III</v>
      </c>
    </row>
    <row r="906" spans="1:18">
      <c r="A906">
        <v>2842</v>
      </c>
      <c r="B906" t="s">
        <v>75</v>
      </c>
      <c r="C906">
        <v>0.59499999999999997</v>
      </c>
      <c r="D906">
        <v>0.435</v>
      </c>
      <c r="E906">
        <v>0.16</v>
      </c>
      <c r="F906">
        <v>1.0569999999999999</v>
      </c>
      <c r="G906">
        <v>0.42549999999999999</v>
      </c>
      <c r="H906">
        <v>0.224</v>
      </c>
      <c r="I906">
        <v>0.31</v>
      </c>
      <c r="J906">
        <v>9</v>
      </c>
      <c r="K906">
        <v>2</v>
      </c>
      <c r="L906" t="s">
        <v>49</v>
      </c>
      <c r="M906" t="s">
        <v>50</v>
      </c>
      <c r="N906" t="s">
        <v>51</v>
      </c>
      <c r="O906">
        <v>1</v>
      </c>
      <c r="P906" t="s">
        <v>4</v>
      </c>
      <c r="Q906">
        <v>22.1</v>
      </c>
      <c r="R906" s="1" t="str">
        <f t="shared" si="16"/>
        <v>III</v>
      </c>
    </row>
    <row r="907" spans="1:18">
      <c r="A907">
        <v>3573</v>
      </c>
      <c r="B907" t="s">
        <v>75</v>
      </c>
      <c r="C907">
        <v>0.58499999999999996</v>
      </c>
      <c r="D907">
        <v>0.46</v>
      </c>
      <c r="E907">
        <v>0.16500000000000001</v>
      </c>
      <c r="F907">
        <v>1.0580000000000001</v>
      </c>
      <c r="G907">
        <v>0.48599999999999999</v>
      </c>
      <c r="H907">
        <v>0.25</v>
      </c>
      <c r="I907">
        <v>0.29399999999999998</v>
      </c>
      <c r="J907">
        <v>9</v>
      </c>
      <c r="K907">
        <v>10</v>
      </c>
      <c r="L907" t="s">
        <v>37</v>
      </c>
      <c r="M907" t="s">
        <v>38</v>
      </c>
      <c r="N907" t="s">
        <v>39</v>
      </c>
      <c r="O907">
        <v>6</v>
      </c>
      <c r="P907" t="s">
        <v>7</v>
      </c>
      <c r="Q907">
        <v>14.1</v>
      </c>
      <c r="R907" s="1" t="str">
        <f t="shared" si="16"/>
        <v>III</v>
      </c>
    </row>
    <row r="908" spans="1:18">
      <c r="A908">
        <v>3122</v>
      </c>
      <c r="B908" t="s">
        <v>75</v>
      </c>
      <c r="C908">
        <v>0.55000000000000004</v>
      </c>
      <c r="D908">
        <v>0.42499999999999999</v>
      </c>
      <c r="E908">
        <v>0.14000000000000001</v>
      </c>
      <c r="F908">
        <v>0.95199999999999996</v>
      </c>
      <c r="G908">
        <v>0.48949999999999999</v>
      </c>
      <c r="H908">
        <v>0.19450000000000001</v>
      </c>
      <c r="I908">
        <v>0.2185</v>
      </c>
      <c r="J908">
        <v>7</v>
      </c>
      <c r="K908">
        <v>11</v>
      </c>
      <c r="L908" t="s">
        <v>65</v>
      </c>
      <c r="M908" t="s">
        <v>66</v>
      </c>
      <c r="N908" t="s">
        <v>45</v>
      </c>
      <c r="O908">
        <v>5</v>
      </c>
      <c r="P908" t="s">
        <v>12</v>
      </c>
      <c r="Q908">
        <v>12.8</v>
      </c>
      <c r="R908" s="1" t="str">
        <f t="shared" si="16"/>
        <v>III</v>
      </c>
    </row>
    <row r="909" spans="1:18">
      <c r="A909">
        <v>1950</v>
      </c>
      <c r="B909" t="s">
        <v>75</v>
      </c>
      <c r="C909">
        <v>0.64</v>
      </c>
      <c r="D909">
        <v>0.53</v>
      </c>
      <c r="E909">
        <v>0.16500000000000001</v>
      </c>
      <c r="F909">
        <v>1.1895</v>
      </c>
      <c r="G909">
        <v>0.47649999999999998</v>
      </c>
      <c r="H909">
        <v>0.3</v>
      </c>
      <c r="I909">
        <v>0.35</v>
      </c>
      <c r="J909">
        <v>11</v>
      </c>
      <c r="K909">
        <v>11</v>
      </c>
      <c r="L909" t="s">
        <v>65</v>
      </c>
      <c r="M909" t="s">
        <v>66</v>
      </c>
      <c r="N909" t="s">
        <v>45</v>
      </c>
      <c r="O909">
        <v>1</v>
      </c>
      <c r="P909" t="s">
        <v>4</v>
      </c>
      <c r="Q909">
        <v>22.1</v>
      </c>
      <c r="R909" s="1" t="str">
        <f t="shared" si="16"/>
        <v>III</v>
      </c>
    </row>
    <row r="910" spans="1:18">
      <c r="A910">
        <v>1940</v>
      </c>
      <c r="B910" t="s">
        <v>75</v>
      </c>
      <c r="C910">
        <v>0.625</v>
      </c>
      <c r="D910">
        <v>0.44500000000000001</v>
      </c>
      <c r="E910">
        <v>0.16</v>
      </c>
      <c r="F910">
        <v>1.0900000000000001</v>
      </c>
      <c r="G910">
        <v>0.46</v>
      </c>
      <c r="H910">
        <v>0.29649999999999999</v>
      </c>
      <c r="I910">
        <v>0.30399999999999999</v>
      </c>
      <c r="J910">
        <v>11</v>
      </c>
      <c r="K910">
        <v>9</v>
      </c>
      <c r="L910" t="s">
        <v>34</v>
      </c>
      <c r="M910" t="s">
        <v>35</v>
      </c>
      <c r="N910" t="s">
        <v>36</v>
      </c>
      <c r="O910">
        <v>4</v>
      </c>
      <c r="P910" t="s">
        <v>8</v>
      </c>
      <c r="Q910">
        <v>6.1</v>
      </c>
      <c r="R910" s="1" t="str">
        <f t="shared" si="16"/>
        <v>III</v>
      </c>
    </row>
    <row r="911" spans="1:18">
      <c r="A911">
        <v>1354</v>
      </c>
      <c r="B911" t="s">
        <v>75</v>
      </c>
      <c r="C911">
        <v>0.6</v>
      </c>
      <c r="D911">
        <v>0.48</v>
      </c>
      <c r="E911">
        <v>0.155</v>
      </c>
      <c r="F911">
        <v>1.014</v>
      </c>
      <c r="G911">
        <v>0.45100000000000001</v>
      </c>
      <c r="H911">
        <v>0.1885</v>
      </c>
      <c r="I911">
        <v>0.32500000000000001</v>
      </c>
      <c r="J911">
        <v>11</v>
      </c>
      <c r="K911">
        <v>15</v>
      </c>
      <c r="L911" t="s">
        <v>60</v>
      </c>
      <c r="M911" t="s">
        <v>61</v>
      </c>
      <c r="N911" t="s">
        <v>45</v>
      </c>
      <c r="O911">
        <v>7</v>
      </c>
      <c r="P911" t="s">
        <v>6</v>
      </c>
      <c r="Q911">
        <v>2.5</v>
      </c>
      <c r="R911" s="1" t="str">
        <f t="shared" si="16"/>
        <v>III</v>
      </c>
    </row>
    <row r="912" spans="1:18">
      <c r="A912">
        <v>2193</v>
      </c>
      <c r="B912" t="s">
        <v>75</v>
      </c>
      <c r="C912">
        <v>0.57499999999999996</v>
      </c>
      <c r="D912">
        <v>0.48499999999999999</v>
      </c>
      <c r="E912">
        <v>0.16500000000000001</v>
      </c>
      <c r="F912">
        <v>1.0405</v>
      </c>
      <c r="G912">
        <v>0.41899999999999998</v>
      </c>
      <c r="H912">
        <v>0.26400000000000001</v>
      </c>
      <c r="I912">
        <v>0.3</v>
      </c>
      <c r="J912">
        <v>14</v>
      </c>
      <c r="K912">
        <v>4</v>
      </c>
      <c r="L912" t="s">
        <v>40</v>
      </c>
      <c r="M912" t="s">
        <v>41</v>
      </c>
      <c r="N912" t="s">
        <v>42</v>
      </c>
      <c r="O912">
        <v>1</v>
      </c>
      <c r="P912" t="s">
        <v>4</v>
      </c>
      <c r="Q912">
        <v>22.1</v>
      </c>
      <c r="R912" s="1" t="str">
        <f t="shared" si="16"/>
        <v>III</v>
      </c>
    </row>
    <row r="913" spans="1:18">
      <c r="A913">
        <v>3675</v>
      </c>
      <c r="B913" t="s">
        <v>75</v>
      </c>
      <c r="C913">
        <v>0.59499999999999997</v>
      </c>
      <c r="D913">
        <v>0.45</v>
      </c>
      <c r="E913">
        <v>0.16500000000000001</v>
      </c>
      <c r="F913">
        <v>1.081</v>
      </c>
      <c r="G913">
        <v>0.49</v>
      </c>
      <c r="H913">
        <v>0.2525</v>
      </c>
      <c r="I913">
        <v>0.27900000000000003</v>
      </c>
      <c r="J913">
        <v>12</v>
      </c>
      <c r="K913">
        <v>3</v>
      </c>
      <c r="L913" t="s">
        <v>52</v>
      </c>
      <c r="M913" t="s">
        <v>53</v>
      </c>
      <c r="N913" t="s">
        <v>54</v>
      </c>
      <c r="O913">
        <v>7</v>
      </c>
      <c r="P913" t="s">
        <v>6</v>
      </c>
      <c r="Q913">
        <v>2.5</v>
      </c>
      <c r="R913" s="1" t="str">
        <f t="shared" si="16"/>
        <v>III</v>
      </c>
    </row>
    <row r="914" spans="1:18">
      <c r="A914">
        <v>2397</v>
      </c>
      <c r="B914" t="s">
        <v>75</v>
      </c>
      <c r="C914">
        <v>0.625</v>
      </c>
      <c r="D914">
        <v>0.46500000000000002</v>
      </c>
      <c r="E914">
        <v>0.155</v>
      </c>
      <c r="F914">
        <v>0.97199999999999998</v>
      </c>
      <c r="G914">
        <v>0.40400000000000003</v>
      </c>
      <c r="H914">
        <v>0.1845</v>
      </c>
      <c r="I914">
        <v>0.35</v>
      </c>
      <c r="J914">
        <v>14</v>
      </c>
      <c r="K914">
        <v>5</v>
      </c>
      <c r="L914" t="s">
        <v>67</v>
      </c>
      <c r="M914" t="s">
        <v>68</v>
      </c>
      <c r="N914" t="s">
        <v>69</v>
      </c>
      <c r="O914">
        <v>2</v>
      </c>
      <c r="P914" t="s">
        <v>5</v>
      </c>
      <c r="Q914">
        <v>18</v>
      </c>
      <c r="R914" s="1" t="str">
        <f t="shared" si="16"/>
        <v>III</v>
      </c>
    </row>
    <row r="915" spans="1:18">
      <c r="A915">
        <v>1927</v>
      </c>
      <c r="B915" t="s">
        <v>75</v>
      </c>
      <c r="C915">
        <v>0.61499999999999999</v>
      </c>
      <c r="D915">
        <v>0.47</v>
      </c>
      <c r="E915">
        <v>0.14499999999999999</v>
      </c>
      <c r="F915">
        <v>1.0285</v>
      </c>
      <c r="G915">
        <v>0.44350000000000001</v>
      </c>
      <c r="H915">
        <v>0.28249999999999997</v>
      </c>
      <c r="I915">
        <v>0.28499999999999998</v>
      </c>
      <c r="J915">
        <v>11</v>
      </c>
      <c r="K915">
        <v>7</v>
      </c>
      <c r="L915" t="s">
        <v>62</v>
      </c>
      <c r="M915" t="s">
        <v>63</v>
      </c>
      <c r="N915" t="s">
        <v>64</v>
      </c>
      <c r="O915">
        <v>2</v>
      </c>
      <c r="P915" t="s">
        <v>5</v>
      </c>
      <c r="Q915">
        <v>18</v>
      </c>
      <c r="R915" s="1" t="str">
        <f t="shared" si="16"/>
        <v>III</v>
      </c>
    </row>
    <row r="916" spans="1:18">
      <c r="A916">
        <v>76</v>
      </c>
      <c r="B916" t="s">
        <v>75</v>
      </c>
      <c r="C916">
        <v>0.6</v>
      </c>
      <c r="D916">
        <v>0.47499999999999998</v>
      </c>
      <c r="E916">
        <v>0.15</v>
      </c>
      <c r="F916">
        <v>1.0075000000000001</v>
      </c>
      <c r="G916">
        <v>0.4425</v>
      </c>
      <c r="H916">
        <v>0.221</v>
      </c>
      <c r="I916">
        <v>0.28000000000000003</v>
      </c>
      <c r="J916">
        <v>15</v>
      </c>
      <c r="K916">
        <v>2</v>
      </c>
      <c r="L916" t="s">
        <v>49</v>
      </c>
      <c r="M916" t="s">
        <v>50</v>
      </c>
      <c r="N916" t="s">
        <v>51</v>
      </c>
      <c r="O916">
        <v>2</v>
      </c>
      <c r="P916" t="s">
        <v>5</v>
      </c>
      <c r="Q916">
        <v>18</v>
      </c>
      <c r="R916" s="1" t="str">
        <f t="shared" si="16"/>
        <v>III</v>
      </c>
    </row>
    <row r="917" spans="1:18">
      <c r="A917">
        <v>1123</v>
      </c>
      <c r="B917" t="s">
        <v>75</v>
      </c>
      <c r="C917">
        <v>0.54500000000000004</v>
      </c>
      <c r="D917">
        <v>0.41499999999999998</v>
      </c>
      <c r="E917">
        <v>0.14000000000000001</v>
      </c>
      <c r="F917">
        <v>0.82</v>
      </c>
      <c r="G917">
        <v>0.46150000000000002</v>
      </c>
      <c r="H917">
        <v>0.127</v>
      </c>
      <c r="I917">
        <v>0.218</v>
      </c>
      <c r="J917">
        <v>9</v>
      </c>
      <c r="K917">
        <v>11</v>
      </c>
      <c r="L917" t="s">
        <v>65</v>
      </c>
      <c r="M917" t="s">
        <v>66</v>
      </c>
      <c r="N917" t="s">
        <v>45</v>
      </c>
      <c r="O917">
        <v>10</v>
      </c>
      <c r="P917" t="s">
        <v>11</v>
      </c>
      <c r="Q917">
        <v>24.1</v>
      </c>
      <c r="R917" s="1" t="str">
        <f t="shared" si="16"/>
        <v>III</v>
      </c>
    </row>
    <row r="918" spans="1:18">
      <c r="A918">
        <v>377</v>
      </c>
      <c r="B918" t="s">
        <v>75</v>
      </c>
      <c r="C918">
        <v>0.63</v>
      </c>
      <c r="D918">
        <v>0.49</v>
      </c>
      <c r="E918">
        <v>0.19</v>
      </c>
      <c r="F918">
        <v>1.1775</v>
      </c>
      <c r="G918">
        <v>0.49349999999999999</v>
      </c>
      <c r="H918">
        <v>0.33650000000000002</v>
      </c>
      <c r="I918">
        <v>0.28499999999999998</v>
      </c>
      <c r="J918">
        <v>11</v>
      </c>
      <c r="K918">
        <v>12</v>
      </c>
      <c r="L918" t="s">
        <v>58</v>
      </c>
      <c r="M918" t="s">
        <v>59</v>
      </c>
      <c r="N918" t="s">
        <v>45</v>
      </c>
      <c r="O918">
        <v>3</v>
      </c>
      <c r="P918" t="s">
        <v>10</v>
      </c>
      <c r="Q918">
        <v>3.6</v>
      </c>
      <c r="R918" s="1" t="str">
        <f t="shared" si="16"/>
        <v>III</v>
      </c>
    </row>
    <row r="919" spans="1:18">
      <c r="A919">
        <v>3040</v>
      </c>
      <c r="B919" t="s">
        <v>75</v>
      </c>
      <c r="C919">
        <v>0.56999999999999995</v>
      </c>
      <c r="D919">
        <v>0.45</v>
      </c>
      <c r="E919">
        <v>0.14499999999999999</v>
      </c>
      <c r="F919">
        <v>0.95</v>
      </c>
      <c r="G919">
        <v>0.40050000000000002</v>
      </c>
      <c r="H919">
        <v>0.2235</v>
      </c>
      <c r="I919">
        <v>0.28449999999999998</v>
      </c>
      <c r="J919">
        <v>10</v>
      </c>
      <c r="K919">
        <v>12</v>
      </c>
      <c r="L919" t="s">
        <v>58</v>
      </c>
      <c r="M919" t="s">
        <v>59</v>
      </c>
      <c r="N919" t="s">
        <v>45</v>
      </c>
      <c r="O919">
        <v>5</v>
      </c>
      <c r="P919" t="s">
        <v>12</v>
      </c>
      <c r="Q919">
        <v>12.8</v>
      </c>
      <c r="R919" s="1" t="str">
        <f t="shared" si="16"/>
        <v>III</v>
      </c>
    </row>
    <row r="920" spans="1:18">
      <c r="A920">
        <v>365</v>
      </c>
      <c r="B920" t="s">
        <v>75</v>
      </c>
      <c r="C920">
        <v>0.62</v>
      </c>
      <c r="D920">
        <v>0.5</v>
      </c>
      <c r="E920">
        <v>0.17499999999999999</v>
      </c>
      <c r="F920">
        <v>1.1859999999999999</v>
      </c>
      <c r="G920">
        <v>0.4985</v>
      </c>
      <c r="H920">
        <v>0.30149999999999999</v>
      </c>
      <c r="I920">
        <v>0.35</v>
      </c>
      <c r="J920">
        <v>12</v>
      </c>
      <c r="K920">
        <v>7</v>
      </c>
      <c r="L920" t="s">
        <v>62</v>
      </c>
      <c r="M920" t="s">
        <v>63</v>
      </c>
      <c r="N920" t="s">
        <v>64</v>
      </c>
      <c r="O920">
        <v>6</v>
      </c>
      <c r="P920" t="s">
        <v>7</v>
      </c>
      <c r="Q920">
        <v>14.1</v>
      </c>
      <c r="R920" s="1" t="str">
        <f t="shared" si="16"/>
        <v>III</v>
      </c>
    </row>
    <row r="921" spans="1:18">
      <c r="A921">
        <v>1335</v>
      </c>
      <c r="B921" t="s">
        <v>75</v>
      </c>
      <c r="C921">
        <v>0.57499999999999996</v>
      </c>
      <c r="D921">
        <v>0.42</v>
      </c>
      <c r="E921">
        <v>0.13500000000000001</v>
      </c>
      <c r="F921">
        <v>0.85699999999999998</v>
      </c>
      <c r="G921">
        <v>0.46100000000000002</v>
      </c>
      <c r="H921">
        <v>0.14699999999999999</v>
      </c>
      <c r="I921">
        <v>0.21249999999999999</v>
      </c>
      <c r="J921">
        <v>10</v>
      </c>
      <c r="K921">
        <v>13</v>
      </c>
      <c r="L921" t="s">
        <v>43</v>
      </c>
      <c r="M921" t="s">
        <v>44</v>
      </c>
      <c r="N921" t="s">
        <v>45</v>
      </c>
      <c r="O921">
        <v>10</v>
      </c>
      <c r="P921" t="s">
        <v>11</v>
      </c>
      <c r="Q921">
        <v>24.1</v>
      </c>
      <c r="R921" s="1" t="str">
        <f t="shared" si="16"/>
        <v>III</v>
      </c>
    </row>
    <row r="922" spans="1:18">
      <c r="A922">
        <v>1326</v>
      </c>
      <c r="B922" t="s">
        <v>75</v>
      </c>
      <c r="C922">
        <v>0.56499999999999995</v>
      </c>
      <c r="D922">
        <v>0.45</v>
      </c>
      <c r="E922">
        <v>0.14499999999999999</v>
      </c>
      <c r="F922">
        <v>0.84950000000000003</v>
      </c>
      <c r="G922">
        <v>0.42149999999999999</v>
      </c>
      <c r="H922">
        <v>0.16850000000000001</v>
      </c>
      <c r="I922">
        <v>0.22500000000000001</v>
      </c>
      <c r="J922">
        <v>8</v>
      </c>
      <c r="K922">
        <v>15</v>
      </c>
      <c r="L922" t="s">
        <v>60</v>
      </c>
      <c r="M922" t="s">
        <v>61</v>
      </c>
      <c r="N922" t="s">
        <v>45</v>
      </c>
      <c r="O922">
        <v>5</v>
      </c>
      <c r="P922" t="s">
        <v>12</v>
      </c>
      <c r="Q922">
        <v>12.8</v>
      </c>
      <c r="R922" s="1" t="str">
        <f t="shared" si="16"/>
        <v>III</v>
      </c>
    </row>
    <row r="923" spans="1:18">
      <c r="A923">
        <v>2789</v>
      </c>
      <c r="B923" t="s">
        <v>75</v>
      </c>
      <c r="C923">
        <v>0.61499999999999999</v>
      </c>
      <c r="D923">
        <v>0.46</v>
      </c>
      <c r="E923">
        <v>0.15</v>
      </c>
      <c r="F923">
        <v>1.0265</v>
      </c>
      <c r="G923">
        <v>0.49349999999999999</v>
      </c>
      <c r="H923">
        <v>0.20100000000000001</v>
      </c>
      <c r="I923">
        <v>0.27450000000000002</v>
      </c>
      <c r="J923">
        <v>10</v>
      </c>
      <c r="K923">
        <v>1</v>
      </c>
      <c r="L923" t="s">
        <v>70</v>
      </c>
      <c r="M923" t="s">
        <v>71</v>
      </c>
      <c r="N923" t="s">
        <v>45</v>
      </c>
      <c r="O923">
        <v>1</v>
      </c>
      <c r="P923" t="s">
        <v>4</v>
      </c>
      <c r="Q923">
        <v>22.1</v>
      </c>
      <c r="R923" s="1" t="str">
        <f t="shared" si="16"/>
        <v>III</v>
      </c>
    </row>
    <row r="924" spans="1:18">
      <c r="A924">
        <v>3563</v>
      </c>
      <c r="B924" t="s">
        <v>75</v>
      </c>
      <c r="C924">
        <v>0.56999999999999995</v>
      </c>
      <c r="D924">
        <v>0.42</v>
      </c>
      <c r="E924">
        <v>0.16</v>
      </c>
      <c r="F924">
        <v>0.88749999999999996</v>
      </c>
      <c r="G924">
        <v>0.43149999999999999</v>
      </c>
      <c r="H924">
        <v>0.1915</v>
      </c>
      <c r="I924">
        <v>0.223</v>
      </c>
      <c r="J924">
        <v>8</v>
      </c>
      <c r="K924">
        <v>11</v>
      </c>
      <c r="L924" t="s">
        <v>65</v>
      </c>
      <c r="M924" t="s">
        <v>66</v>
      </c>
      <c r="N924" t="s">
        <v>45</v>
      </c>
      <c r="O924">
        <v>5</v>
      </c>
      <c r="P924" t="s">
        <v>12</v>
      </c>
      <c r="Q924">
        <v>12.8</v>
      </c>
      <c r="R924" s="1" t="str">
        <f t="shared" si="16"/>
        <v>III</v>
      </c>
    </row>
    <row r="925" spans="1:18">
      <c r="A925">
        <v>849</v>
      </c>
      <c r="B925" t="s">
        <v>75</v>
      </c>
      <c r="C925">
        <v>0.55000000000000004</v>
      </c>
      <c r="D925">
        <v>0.43</v>
      </c>
      <c r="E925">
        <v>0.125</v>
      </c>
      <c r="F925">
        <v>0.92300000000000004</v>
      </c>
      <c r="G925">
        <v>0.40350000000000003</v>
      </c>
      <c r="H925">
        <v>0.17499999999999999</v>
      </c>
      <c r="I925">
        <v>0.28299999999999997</v>
      </c>
      <c r="J925">
        <v>8</v>
      </c>
      <c r="K925">
        <v>4</v>
      </c>
      <c r="L925" t="s">
        <v>40</v>
      </c>
      <c r="M925" t="s">
        <v>41</v>
      </c>
      <c r="N925" t="s">
        <v>42</v>
      </c>
      <c r="O925">
        <v>5</v>
      </c>
      <c r="P925" t="s">
        <v>12</v>
      </c>
      <c r="Q925">
        <v>12.8</v>
      </c>
      <c r="R925" s="1" t="str">
        <f t="shared" si="16"/>
        <v>III</v>
      </c>
    </row>
    <row r="926" spans="1:18">
      <c r="A926">
        <v>2366</v>
      </c>
      <c r="B926" t="s">
        <v>75</v>
      </c>
      <c r="C926">
        <v>0.63</v>
      </c>
      <c r="D926">
        <v>0.505</v>
      </c>
      <c r="E926">
        <v>0.16500000000000001</v>
      </c>
      <c r="F926">
        <v>1.0649999999999999</v>
      </c>
      <c r="G926">
        <v>0.45950000000000002</v>
      </c>
      <c r="H926">
        <v>0.216</v>
      </c>
      <c r="I926">
        <v>0.315</v>
      </c>
      <c r="J926">
        <v>12</v>
      </c>
      <c r="K926">
        <v>3</v>
      </c>
      <c r="L926" t="s">
        <v>52</v>
      </c>
      <c r="M926" t="s">
        <v>53</v>
      </c>
      <c r="N926" t="s">
        <v>54</v>
      </c>
      <c r="O926">
        <v>10</v>
      </c>
      <c r="P926" t="s">
        <v>11</v>
      </c>
      <c r="Q926">
        <v>24.1</v>
      </c>
      <c r="R926" s="1" t="str">
        <f t="shared" ref="R926:R957" si="17">IF(OR(AND(J926 &gt; 15, B926 = "Infant"), AND(D926 = "Male", C926 &gt; 0.75),
    OR(I926 &gt; 0.8, G926 &gt; 0.5), G926 &gt; 1.2),
    "I",
    IF(OR(AND(I926 &lt; 0.4, G926 &lt; 0.4), AND(J926 &gt; 15, D926 = "Male"), AND(J926 &gt; 18, D926 = "Female"), C926 &lt; 0.36),
    "II",
    "III"))</f>
        <v>III</v>
      </c>
    </row>
    <row r="927" spans="1:18">
      <c r="A927">
        <v>1381</v>
      </c>
      <c r="B927" t="s">
        <v>75</v>
      </c>
      <c r="C927">
        <v>0.625</v>
      </c>
      <c r="D927">
        <v>0.45500000000000002</v>
      </c>
      <c r="E927">
        <v>0.17</v>
      </c>
      <c r="F927">
        <v>1.0820000000000001</v>
      </c>
      <c r="G927">
        <v>0.4955</v>
      </c>
      <c r="H927">
        <v>0.23449999999999999</v>
      </c>
      <c r="I927">
        <v>0.315</v>
      </c>
      <c r="J927">
        <v>9</v>
      </c>
      <c r="K927">
        <v>6</v>
      </c>
      <c r="L927" t="s">
        <v>46</v>
      </c>
      <c r="M927" t="s">
        <v>47</v>
      </c>
      <c r="N927" t="s">
        <v>48</v>
      </c>
      <c r="O927">
        <v>2</v>
      </c>
      <c r="P927" t="s">
        <v>5</v>
      </c>
      <c r="Q927">
        <v>18</v>
      </c>
      <c r="R927" s="1" t="str">
        <f t="shared" si="17"/>
        <v>III</v>
      </c>
    </row>
    <row r="928" spans="1:18">
      <c r="A928">
        <v>3492</v>
      </c>
      <c r="B928" t="s">
        <v>75</v>
      </c>
      <c r="C928">
        <v>0.55000000000000004</v>
      </c>
      <c r="D928">
        <v>0.44</v>
      </c>
      <c r="E928">
        <v>0.16</v>
      </c>
      <c r="F928">
        <v>0.98499999999999999</v>
      </c>
      <c r="G928">
        <v>0.46450000000000002</v>
      </c>
      <c r="H928">
        <v>0.20100000000000001</v>
      </c>
      <c r="I928">
        <v>0.27</v>
      </c>
      <c r="J928">
        <v>8</v>
      </c>
      <c r="K928">
        <v>9</v>
      </c>
      <c r="L928" t="s">
        <v>34</v>
      </c>
      <c r="M928" t="s">
        <v>35</v>
      </c>
      <c r="N928" t="s">
        <v>36</v>
      </c>
      <c r="O928">
        <v>4</v>
      </c>
      <c r="P928" t="s">
        <v>8</v>
      </c>
      <c r="Q928">
        <v>6.1</v>
      </c>
      <c r="R928" s="1" t="str">
        <f t="shared" si="17"/>
        <v>III</v>
      </c>
    </row>
    <row r="929" spans="1:18">
      <c r="A929">
        <v>3684</v>
      </c>
      <c r="B929" t="s">
        <v>75</v>
      </c>
      <c r="C929">
        <v>0.62</v>
      </c>
      <c r="D929">
        <v>0.52500000000000002</v>
      </c>
      <c r="E929">
        <v>0.155</v>
      </c>
      <c r="F929">
        <v>1.085</v>
      </c>
      <c r="G929">
        <v>0.45400000000000001</v>
      </c>
      <c r="H929">
        <v>0.19650000000000001</v>
      </c>
      <c r="I929">
        <v>0.35</v>
      </c>
      <c r="J929">
        <v>10</v>
      </c>
      <c r="K929">
        <v>9</v>
      </c>
      <c r="L929" t="s">
        <v>34</v>
      </c>
      <c r="M929" t="s">
        <v>35</v>
      </c>
      <c r="N929" t="s">
        <v>36</v>
      </c>
      <c r="O929">
        <v>6</v>
      </c>
      <c r="P929" t="s">
        <v>7</v>
      </c>
      <c r="Q929">
        <v>14.1</v>
      </c>
      <c r="R929" s="1" t="str">
        <f t="shared" si="17"/>
        <v>III</v>
      </c>
    </row>
    <row r="930" spans="1:18">
      <c r="A930">
        <v>151</v>
      </c>
      <c r="B930" t="s">
        <v>75</v>
      </c>
      <c r="C930">
        <v>0.59</v>
      </c>
      <c r="D930">
        <v>0.47499999999999998</v>
      </c>
      <c r="E930">
        <v>0.14499999999999999</v>
      </c>
      <c r="F930">
        <v>1.0529999999999999</v>
      </c>
      <c r="G930">
        <v>0.4415</v>
      </c>
      <c r="H930">
        <v>0.26200000000000001</v>
      </c>
      <c r="I930">
        <v>0.32500000000000001</v>
      </c>
      <c r="J930">
        <v>15</v>
      </c>
      <c r="K930">
        <v>6</v>
      </c>
      <c r="L930" t="s">
        <v>46</v>
      </c>
      <c r="M930" t="s">
        <v>47</v>
      </c>
      <c r="N930" t="s">
        <v>48</v>
      </c>
      <c r="O930">
        <v>5</v>
      </c>
      <c r="P930" t="s">
        <v>12</v>
      </c>
      <c r="Q930">
        <v>12.8</v>
      </c>
      <c r="R930" s="1" t="str">
        <f t="shared" si="17"/>
        <v>III</v>
      </c>
    </row>
    <row r="931" spans="1:18">
      <c r="A931">
        <v>354</v>
      </c>
      <c r="B931" t="s">
        <v>75</v>
      </c>
      <c r="C931">
        <v>0.57999999999999996</v>
      </c>
      <c r="D931">
        <v>0.45500000000000002</v>
      </c>
      <c r="E931">
        <v>0.17</v>
      </c>
      <c r="F931">
        <v>0.93</v>
      </c>
      <c r="G931">
        <v>0.40799999999999997</v>
      </c>
      <c r="H931">
        <v>0.25900000000000001</v>
      </c>
      <c r="I931">
        <v>0.22</v>
      </c>
      <c r="J931">
        <v>9</v>
      </c>
      <c r="K931">
        <v>2</v>
      </c>
      <c r="L931" t="s">
        <v>49</v>
      </c>
      <c r="M931" t="s">
        <v>50</v>
      </c>
      <c r="N931" t="s">
        <v>51</v>
      </c>
      <c r="O931">
        <v>1</v>
      </c>
      <c r="P931" t="s">
        <v>4</v>
      </c>
      <c r="Q931">
        <v>22.1</v>
      </c>
      <c r="R931" s="1" t="str">
        <f t="shared" si="17"/>
        <v>III</v>
      </c>
    </row>
    <row r="932" spans="1:18">
      <c r="A932">
        <v>3504</v>
      </c>
      <c r="B932" t="s">
        <v>75</v>
      </c>
      <c r="C932">
        <v>0.61499999999999999</v>
      </c>
      <c r="D932">
        <v>0.49</v>
      </c>
      <c r="E932">
        <v>0.19</v>
      </c>
      <c r="F932">
        <v>1.1345000000000001</v>
      </c>
      <c r="G932">
        <v>0.46949999999999997</v>
      </c>
      <c r="H932">
        <v>0.25700000000000001</v>
      </c>
      <c r="I932">
        <v>0.34799999999999998</v>
      </c>
      <c r="J932">
        <v>11</v>
      </c>
      <c r="K932">
        <v>15</v>
      </c>
      <c r="L932" t="s">
        <v>60</v>
      </c>
      <c r="M932" t="s">
        <v>61</v>
      </c>
      <c r="N932" t="s">
        <v>45</v>
      </c>
      <c r="O932">
        <v>4</v>
      </c>
      <c r="P932" t="s">
        <v>8</v>
      </c>
      <c r="Q932">
        <v>6.1</v>
      </c>
      <c r="R932" s="1" t="str">
        <f t="shared" si="17"/>
        <v>III</v>
      </c>
    </row>
    <row r="933" spans="1:18">
      <c r="A933">
        <v>191</v>
      </c>
      <c r="B933" t="s">
        <v>75</v>
      </c>
      <c r="C933">
        <v>0.61499999999999999</v>
      </c>
      <c r="D933">
        <v>0.48</v>
      </c>
      <c r="E933">
        <v>0.18</v>
      </c>
      <c r="F933">
        <v>1.1595</v>
      </c>
      <c r="G933">
        <v>0.48449999999999999</v>
      </c>
      <c r="H933">
        <v>0.2165</v>
      </c>
      <c r="I933">
        <v>0.32500000000000001</v>
      </c>
      <c r="J933">
        <v>13</v>
      </c>
      <c r="K933">
        <v>6</v>
      </c>
      <c r="L933" t="s">
        <v>46</v>
      </c>
      <c r="M933" t="s">
        <v>47</v>
      </c>
      <c r="N933" t="s">
        <v>48</v>
      </c>
      <c r="O933">
        <v>10</v>
      </c>
      <c r="P933" t="s">
        <v>11</v>
      </c>
      <c r="Q933">
        <v>24.1</v>
      </c>
      <c r="R933" s="1" t="str">
        <f t="shared" si="17"/>
        <v>III</v>
      </c>
    </row>
    <row r="934" spans="1:18">
      <c r="A934">
        <v>846</v>
      </c>
      <c r="B934" t="s">
        <v>75</v>
      </c>
      <c r="C934">
        <v>0.54</v>
      </c>
      <c r="D934">
        <v>0.40500000000000003</v>
      </c>
      <c r="E934">
        <v>0.125</v>
      </c>
      <c r="F934">
        <v>0.89100000000000001</v>
      </c>
      <c r="G934">
        <v>0.48149999999999998</v>
      </c>
      <c r="H934">
        <v>0.1915</v>
      </c>
      <c r="I934">
        <v>0.20200000000000001</v>
      </c>
      <c r="J934">
        <v>9</v>
      </c>
      <c r="K934">
        <v>1</v>
      </c>
      <c r="L934" t="s">
        <v>70</v>
      </c>
      <c r="M934" t="s">
        <v>71</v>
      </c>
      <c r="N934" t="s">
        <v>45</v>
      </c>
      <c r="O934">
        <v>9</v>
      </c>
      <c r="P934" t="s">
        <v>9</v>
      </c>
      <c r="Q934">
        <v>1.9</v>
      </c>
      <c r="R934" s="1" t="str">
        <f t="shared" si="17"/>
        <v>III</v>
      </c>
    </row>
    <row r="935" spans="1:18">
      <c r="A935">
        <v>2609</v>
      </c>
      <c r="B935" t="s">
        <v>75</v>
      </c>
      <c r="C935">
        <v>0.625</v>
      </c>
      <c r="D935">
        <v>0.49</v>
      </c>
      <c r="E935">
        <v>0.17499999999999999</v>
      </c>
      <c r="F935">
        <v>1.1074999999999999</v>
      </c>
      <c r="G935">
        <v>0.44850000000000001</v>
      </c>
      <c r="H935">
        <v>0.2165</v>
      </c>
      <c r="I935">
        <v>0.35949999999999999</v>
      </c>
      <c r="J935">
        <v>8</v>
      </c>
      <c r="K935">
        <v>11</v>
      </c>
      <c r="L935" t="s">
        <v>65</v>
      </c>
      <c r="M935" t="s">
        <v>66</v>
      </c>
      <c r="N935" t="s">
        <v>45</v>
      </c>
      <c r="O935">
        <v>9</v>
      </c>
      <c r="P935" t="s">
        <v>9</v>
      </c>
      <c r="Q935">
        <v>1.9</v>
      </c>
      <c r="R935" s="1" t="str">
        <f t="shared" si="17"/>
        <v>III</v>
      </c>
    </row>
    <row r="936" spans="1:18">
      <c r="A936">
        <v>3466</v>
      </c>
      <c r="B936" t="s">
        <v>75</v>
      </c>
      <c r="C936">
        <v>0.64</v>
      </c>
      <c r="D936">
        <v>0.48</v>
      </c>
      <c r="E936">
        <v>0.19500000000000001</v>
      </c>
      <c r="F936">
        <v>1.1435</v>
      </c>
      <c r="G936">
        <v>0.49149999999999999</v>
      </c>
      <c r="H936">
        <v>0.23449999999999999</v>
      </c>
      <c r="I936">
        <v>0.35299999999999998</v>
      </c>
      <c r="J936">
        <v>9</v>
      </c>
      <c r="K936">
        <v>2</v>
      </c>
      <c r="L936" t="s">
        <v>49</v>
      </c>
      <c r="M936" t="s">
        <v>50</v>
      </c>
      <c r="N936" t="s">
        <v>51</v>
      </c>
      <c r="O936">
        <v>10</v>
      </c>
      <c r="P936" t="s">
        <v>11</v>
      </c>
      <c r="Q936">
        <v>24.1</v>
      </c>
      <c r="R936" s="1" t="str">
        <f t="shared" si="17"/>
        <v>III</v>
      </c>
    </row>
    <row r="937" spans="1:18">
      <c r="A937">
        <v>2779</v>
      </c>
      <c r="B937" t="s">
        <v>75</v>
      </c>
      <c r="C937">
        <v>0.58499999999999996</v>
      </c>
      <c r="D937">
        <v>0.45500000000000002</v>
      </c>
      <c r="E937">
        <v>0.13</v>
      </c>
      <c r="F937">
        <v>0.87549999999999994</v>
      </c>
      <c r="G937">
        <v>0.41099999999999998</v>
      </c>
      <c r="H937">
        <v>0.20649999999999999</v>
      </c>
      <c r="I937">
        <v>0.22500000000000001</v>
      </c>
      <c r="J937">
        <v>8</v>
      </c>
      <c r="K937">
        <v>3</v>
      </c>
      <c r="L937" t="s">
        <v>52</v>
      </c>
      <c r="M937" t="s">
        <v>53</v>
      </c>
      <c r="N937" t="s">
        <v>54</v>
      </c>
      <c r="O937">
        <v>6</v>
      </c>
      <c r="P937" t="s">
        <v>7</v>
      </c>
      <c r="Q937">
        <v>14.1</v>
      </c>
      <c r="R937" s="1" t="str">
        <f t="shared" si="17"/>
        <v>III</v>
      </c>
    </row>
    <row r="938" spans="1:18">
      <c r="A938">
        <v>3615</v>
      </c>
      <c r="B938" t="s">
        <v>75</v>
      </c>
      <c r="C938">
        <v>0.61499999999999999</v>
      </c>
      <c r="D938">
        <v>0.47499999999999998</v>
      </c>
      <c r="E938">
        <v>0.155</v>
      </c>
      <c r="F938">
        <v>1.0734999999999999</v>
      </c>
      <c r="G938">
        <v>0.4375</v>
      </c>
      <c r="H938">
        <v>0.25850000000000001</v>
      </c>
      <c r="I938">
        <v>0.31</v>
      </c>
      <c r="J938">
        <v>11</v>
      </c>
      <c r="K938">
        <v>5</v>
      </c>
      <c r="L938" t="s">
        <v>67</v>
      </c>
      <c r="M938" t="s">
        <v>68</v>
      </c>
      <c r="N938" t="s">
        <v>69</v>
      </c>
      <c r="O938">
        <v>6</v>
      </c>
      <c r="P938" t="s">
        <v>7</v>
      </c>
      <c r="Q938">
        <v>14.1</v>
      </c>
      <c r="R938" s="1" t="str">
        <f t="shared" si="17"/>
        <v>III</v>
      </c>
    </row>
    <row r="939" spans="1:18">
      <c r="A939">
        <v>2838</v>
      </c>
      <c r="B939" t="s">
        <v>75</v>
      </c>
      <c r="C939">
        <v>0.57999999999999996</v>
      </c>
      <c r="D939">
        <v>0.44500000000000001</v>
      </c>
      <c r="E939">
        <v>0.13500000000000001</v>
      </c>
      <c r="F939">
        <v>0.95</v>
      </c>
      <c r="G939">
        <v>0.48399999999999999</v>
      </c>
      <c r="H939">
        <v>0.182</v>
      </c>
      <c r="I939">
        <v>0.23250000000000001</v>
      </c>
      <c r="J939">
        <v>8</v>
      </c>
      <c r="K939">
        <v>10</v>
      </c>
      <c r="L939" t="s">
        <v>37</v>
      </c>
      <c r="M939" t="s">
        <v>38</v>
      </c>
      <c r="N939" t="s">
        <v>39</v>
      </c>
      <c r="O939">
        <v>6</v>
      </c>
      <c r="P939" t="s">
        <v>7</v>
      </c>
      <c r="Q939">
        <v>14.1</v>
      </c>
      <c r="R939" s="1" t="str">
        <f t="shared" si="17"/>
        <v>III</v>
      </c>
    </row>
    <row r="940" spans="1:18">
      <c r="A940">
        <v>1014</v>
      </c>
      <c r="B940" t="s">
        <v>75</v>
      </c>
      <c r="C940">
        <v>0.625</v>
      </c>
      <c r="D940">
        <v>0.47499999999999998</v>
      </c>
      <c r="E940">
        <v>0.17499999999999999</v>
      </c>
      <c r="F940">
        <v>1.1435</v>
      </c>
      <c r="G940">
        <v>0.47549999999999998</v>
      </c>
      <c r="H940">
        <v>0.2475</v>
      </c>
      <c r="I940">
        <v>0.34899999999999998</v>
      </c>
      <c r="J940">
        <v>10</v>
      </c>
      <c r="K940">
        <v>13</v>
      </c>
      <c r="L940" t="s">
        <v>43</v>
      </c>
      <c r="M940" t="s">
        <v>44</v>
      </c>
      <c r="N940" t="s">
        <v>45</v>
      </c>
      <c r="O940">
        <v>3</v>
      </c>
      <c r="P940" t="s">
        <v>10</v>
      </c>
      <c r="Q940">
        <v>3.6</v>
      </c>
      <c r="R940" s="1" t="str">
        <f t="shared" si="17"/>
        <v>III</v>
      </c>
    </row>
    <row r="941" spans="1:18">
      <c r="A941">
        <v>1795</v>
      </c>
      <c r="B941" t="s">
        <v>75</v>
      </c>
      <c r="C941">
        <v>0.57499999999999996</v>
      </c>
      <c r="D941">
        <v>0.45</v>
      </c>
      <c r="E941">
        <v>0.13</v>
      </c>
      <c r="F941">
        <v>0.8145</v>
      </c>
      <c r="G941">
        <v>0.40300000000000002</v>
      </c>
      <c r="H941">
        <v>0.17150000000000001</v>
      </c>
      <c r="I941">
        <v>0.21299999999999999</v>
      </c>
      <c r="J941">
        <v>10</v>
      </c>
      <c r="K941">
        <v>8</v>
      </c>
      <c r="L941" t="s">
        <v>55</v>
      </c>
      <c r="M941" t="s">
        <v>56</v>
      </c>
      <c r="N941" t="s">
        <v>57</v>
      </c>
      <c r="O941">
        <v>1</v>
      </c>
      <c r="P941" t="s">
        <v>4</v>
      </c>
      <c r="Q941">
        <v>22.1</v>
      </c>
      <c r="R941" s="1" t="str">
        <f t="shared" si="17"/>
        <v>III</v>
      </c>
    </row>
    <row r="942" spans="1:18">
      <c r="A942">
        <v>2668</v>
      </c>
      <c r="B942" t="s">
        <v>75</v>
      </c>
      <c r="C942">
        <v>0.58499999999999996</v>
      </c>
      <c r="D942">
        <v>0.45</v>
      </c>
      <c r="E942">
        <v>0.15</v>
      </c>
      <c r="F942">
        <v>0.93799999999999994</v>
      </c>
      <c r="G942">
        <v>0.46700000000000003</v>
      </c>
      <c r="H942">
        <v>0.20300000000000001</v>
      </c>
      <c r="I942">
        <v>0.22500000000000001</v>
      </c>
      <c r="J942">
        <v>7</v>
      </c>
      <c r="K942">
        <v>5</v>
      </c>
      <c r="L942" t="s">
        <v>67</v>
      </c>
      <c r="M942" t="s">
        <v>68</v>
      </c>
      <c r="N942" t="s">
        <v>69</v>
      </c>
      <c r="O942">
        <v>9</v>
      </c>
      <c r="P942" t="s">
        <v>9</v>
      </c>
      <c r="Q942">
        <v>1.9</v>
      </c>
      <c r="R942" s="1" t="str">
        <f t="shared" si="17"/>
        <v>III</v>
      </c>
    </row>
    <row r="943" spans="1:18">
      <c r="A943">
        <v>2277</v>
      </c>
      <c r="B943" t="s">
        <v>75</v>
      </c>
      <c r="C943">
        <v>0.62</v>
      </c>
      <c r="D943">
        <v>0.48</v>
      </c>
      <c r="E943">
        <v>0.23</v>
      </c>
      <c r="F943">
        <v>1.0934999999999999</v>
      </c>
      <c r="G943">
        <v>0.40300000000000002</v>
      </c>
      <c r="H943">
        <v>0.245</v>
      </c>
      <c r="I943">
        <v>0.35499999999999998</v>
      </c>
      <c r="J943">
        <v>14</v>
      </c>
      <c r="K943">
        <v>12</v>
      </c>
      <c r="L943" t="s">
        <v>58</v>
      </c>
      <c r="M943" t="s">
        <v>59</v>
      </c>
      <c r="N943" t="s">
        <v>45</v>
      </c>
      <c r="O943">
        <v>1</v>
      </c>
      <c r="P943" t="s">
        <v>4</v>
      </c>
      <c r="Q943">
        <v>22.1</v>
      </c>
      <c r="R943" s="1" t="str">
        <f t="shared" si="17"/>
        <v>III</v>
      </c>
    </row>
    <row r="944" spans="1:18">
      <c r="A944">
        <v>1624</v>
      </c>
      <c r="B944" t="s">
        <v>75</v>
      </c>
      <c r="C944">
        <v>0.56499999999999995</v>
      </c>
      <c r="D944">
        <v>0.44</v>
      </c>
      <c r="E944">
        <v>0.15</v>
      </c>
      <c r="F944">
        <v>0.86299999999999999</v>
      </c>
      <c r="G944">
        <v>0.435</v>
      </c>
      <c r="H944">
        <v>0.14899999999999999</v>
      </c>
      <c r="I944">
        <v>0.27</v>
      </c>
      <c r="J944">
        <v>9</v>
      </c>
      <c r="K944">
        <v>5</v>
      </c>
      <c r="L944" t="s">
        <v>67</v>
      </c>
      <c r="M944" t="s">
        <v>68</v>
      </c>
      <c r="N944" t="s">
        <v>69</v>
      </c>
      <c r="O944">
        <v>8</v>
      </c>
      <c r="P944" t="s">
        <v>13</v>
      </c>
      <c r="Q944">
        <v>12.3</v>
      </c>
      <c r="R944" s="1" t="str">
        <f t="shared" si="17"/>
        <v>III</v>
      </c>
    </row>
    <row r="945" spans="1:18">
      <c r="A945">
        <v>1482</v>
      </c>
      <c r="B945" t="s">
        <v>75</v>
      </c>
      <c r="C945">
        <v>0.57999999999999996</v>
      </c>
      <c r="D945">
        <v>0.435</v>
      </c>
      <c r="E945">
        <v>0.14000000000000001</v>
      </c>
      <c r="F945">
        <v>0.95299999999999996</v>
      </c>
      <c r="G945">
        <v>0.47499999999999998</v>
      </c>
      <c r="H945">
        <v>0.2165</v>
      </c>
      <c r="I945">
        <v>0.20949999999999999</v>
      </c>
      <c r="J945">
        <v>9</v>
      </c>
      <c r="K945">
        <v>12</v>
      </c>
      <c r="L945" t="s">
        <v>58</v>
      </c>
      <c r="M945" t="s">
        <v>59</v>
      </c>
      <c r="N945" t="s">
        <v>45</v>
      </c>
      <c r="O945">
        <v>5</v>
      </c>
      <c r="P945" t="s">
        <v>12</v>
      </c>
      <c r="Q945">
        <v>12.8</v>
      </c>
      <c r="R945" s="1" t="str">
        <f t="shared" si="17"/>
        <v>III</v>
      </c>
    </row>
    <row r="946" spans="1:18">
      <c r="A946">
        <v>3100</v>
      </c>
      <c r="B946" t="s">
        <v>75</v>
      </c>
      <c r="C946">
        <v>0.57499999999999996</v>
      </c>
      <c r="D946">
        <v>0.48</v>
      </c>
      <c r="E946">
        <v>0.15</v>
      </c>
      <c r="F946">
        <v>0.94650000000000001</v>
      </c>
      <c r="G946">
        <v>0.4355</v>
      </c>
      <c r="H946">
        <v>0.26050000000000001</v>
      </c>
      <c r="I946">
        <v>0.2505</v>
      </c>
      <c r="J946">
        <v>9</v>
      </c>
      <c r="K946">
        <v>12</v>
      </c>
      <c r="L946" t="s">
        <v>58</v>
      </c>
      <c r="M946" t="s">
        <v>59</v>
      </c>
      <c r="N946" t="s">
        <v>45</v>
      </c>
      <c r="O946">
        <v>4</v>
      </c>
      <c r="P946" t="s">
        <v>8</v>
      </c>
      <c r="Q946">
        <v>6.1</v>
      </c>
      <c r="R946" s="1" t="str">
        <f t="shared" si="17"/>
        <v>III</v>
      </c>
    </row>
    <row r="947" spans="1:18">
      <c r="A947">
        <v>1153</v>
      </c>
      <c r="B947" t="s">
        <v>75</v>
      </c>
      <c r="C947">
        <v>0.59</v>
      </c>
      <c r="D947">
        <v>0.47</v>
      </c>
      <c r="E947">
        <v>0.15</v>
      </c>
      <c r="F947">
        <v>0.99550000000000005</v>
      </c>
      <c r="G947">
        <v>0.48099999999999998</v>
      </c>
      <c r="H947">
        <v>0.23200000000000001</v>
      </c>
      <c r="I947">
        <v>0.24</v>
      </c>
      <c r="J947">
        <v>8</v>
      </c>
      <c r="K947">
        <v>14</v>
      </c>
      <c r="L947" t="s">
        <v>72</v>
      </c>
      <c r="M947" t="s">
        <v>73</v>
      </c>
      <c r="N947" t="s">
        <v>74</v>
      </c>
      <c r="O947">
        <v>10</v>
      </c>
      <c r="P947" t="s">
        <v>11</v>
      </c>
      <c r="Q947">
        <v>24.1</v>
      </c>
      <c r="R947" s="1" t="str">
        <f t="shared" si="17"/>
        <v>III</v>
      </c>
    </row>
    <row r="948" spans="1:18">
      <c r="A948">
        <v>1772</v>
      </c>
      <c r="B948" t="s">
        <v>75</v>
      </c>
      <c r="C948">
        <v>0.45500000000000002</v>
      </c>
      <c r="D948">
        <v>0.32500000000000001</v>
      </c>
      <c r="E948">
        <v>0.13500000000000001</v>
      </c>
      <c r="F948">
        <v>0.82</v>
      </c>
      <c r="G948">
        <v>0.40050000000000002</v>
      </c>
      <c r="H948">
        <v>0.17150000000000001</v>
      </c>
      <c r="I948">
        <v>0.21099999999999999</v>
      </c>
      <c r="J948">
        <v>8</v>
      </c>
      <c r="K948">
        <v>12</v>
      </c>
      <c r="L948" t="s">
        <v>58</v>
      </c>
      <c r="M948" t="s">
        <v>59</v>
      </c>
      <c r="N948" t="s">
        <v>45</v>
      </c>
      <c r="O948">
        <v>3</v>
      </c>
      <c r="P948" t="s">
        <v>10</v>
      </c>
      <c r="Q948">
        <v>3.6</v>
      </c>
      <c r="R948" s="1" t="str">
        <f t="shared" si="17"/>
        <v>III</v>
      </c>
    </row>
    <row r="949" spans="1:18">
      <c r="A949">
        <v>1128</v>
      </c>
      <c r="B949" t="s">
        <v>75</v>
      </c>
      <c r="C949">
        <v>0.56000000000000005</v>
      </c>
      <c r="D949">
        <v>0.44500000000000001</v>
      </c>
      <c r="E949">
        <v>0.16</v>
      </c>
      <c r="F949">
        <v>0.89649999999999996</v>
      </c>
      <c r="G949">
        <v>0.42</v>
      </c>
      <c r="H949">
        <v>0.2175</v>
      </c>
      <c r="I949">
        <v>0.2215</v>
      </c>
      <c r="J949">
        <v>8</v>
      </c>
      <c r="K949">
        <v>11</v>
      </c>
      <c r="L949" t="s">
        <v>65</v>
      </c>
      <c r="M949" t="s">
        <v>66</v>
      </c>
      <c r="N949" t="s">
        <v>45</v>
      </c>
      <c r="O949">
        <v>3</v>
      </c>
      <c r="P949" t="s">
        <v>10</v>
      </c>
      <c r="Q949">
        <v>3.6</v>
      </c>
      <c r="R949" s="1" t="str">
        <f t="shared" si="17"/>
        <v>III</v>
      </c>
    </row>
    <row r="950" spans="1:18">
      <c r="A950">
        <v>506</v>
      </c>
      <c r="B950" t="s">
        <v>75</v>
      </c>
      <c r="C950">
        <v>0.6</v>
      </c>
      <c r="D950">
        <v>0.47</v>
      </c>
      <c r="E950">
        <v>0.17499999999999999</v>
      </c>
      <c r="F950">
        <v>1.105</v>
      </c>
      <c r="G950">
        <v>0.48649999999999999</v>
      </c>
      <c r="H950">
        <v>0.247</v>
      </c>
      <c r="I950">
        <v>0.315</v>
      </c>
      <c r="J950">
        <v>15</v>
      </c>
      <c r="K950">
        <v>2</v>
      </c>
      <c r="L950" t="s">
        <v>49</v>
      </c>
      <c r="M950" t="s">
        <v>50</v>
      </c>
      <c r="N950" t="s">
        <v>51</v>
      </c>
      <c r="O950">
        <v>1</v>
      </c>
      <c r="P950" t="s">
        <v>4</v>
      </c>
      <c r="Q950">
        <v>22.1</v>
      </c>
      <c r="R950" s="1" t="str">
        <f t="shared" si="17"/>
        <v>III</v>
      </c>
    </row>
    <row r="951" spans="1:18">
      <c r="A951">
        <v>80</v>
      </c>
      <c r="B951" t="s">
        <v>75</v>
      </c>
      <c r="C951">
        <v>0.61499999999999999</v>
      </c>
      <c r="D951">
        <v>0.47499999999999998</v>
      </c>
      <c r="E951">
        <v>0.17</v>
      </c>
      <c r="F951">
        <v>1.1025</v>
      </c>
      <c r="G951">
        <v>0.46949999999999997</v>
      </c>
      <c r="H951">
        <v>0.23549999999999999</v>
      </c>
      <c r="I951">
        <v>0.34499999999999997</v>
      </c>
      <c r="J951">
        <v>14</v>
      </c>
      <c r="K951">
        <v>15</v>
      </c>
      <c r="L951" t="s">
        <v>60</v>
      </c>
      <c r="M951" t="s">
        <v>61</v>
      </c>
      <c r="N951" t="s">
        <v>45</v>
      </c>
      <c r="O951">
        <v>8</v>
      </c>
      <c r="P951" t="s">
        <v>13</v>
      </c>
      <c r="Q951">
        <v>12.3</v>
      </c>
      <c r="R951" s="1" t="str">
        <f t="shared" si="17"/>
        <v>III</v>
      </c>
    </row>
    <row r="952" spans="1:18">
      <c r="A952">
        <v>2237</v>
      </c>
      <c r="B952" t="s">
        <v>75</v>
      </c>
      <c r="C952">
        <v>0.56000000000000005</v>
      </c>
      <c r="D952">
        <v>0.435</v>
      </c>
      <c r="E952">
        <v>0.185</v>
      </c>
      <c r="F952">
        <v>1.1060000000000001</v>
      </c>
      <c r="G952">
        <v>0.42199999999999999</v>
      </c>
      <c r="H952">
        <v>0.24349999999999999</v>
      </c>
      <c r="I952">
        <v>0.33</v>
      </c>
      <c r="J952">
        <v>15</v>
      </c>
      <c r="K952">
        <v>6</v>
      </c>
      <c r="L952" t="s">
        <v>46</v>
      </c>
      <c r="M952" t="s">
        <v>47</v>
      </c>
      <c r="N952" t="s">
        <v>48</v>
      </c>
      <c r="O952">
        <v>6</v>
      </c>
      <c r="P952" t="s">
        <v>7</v>
      </c>
      <c r="Q952">
        <v>14.1</v>
      </c>
      <c r="R952" s="1" t="str">
        <f t="shared" si="17"/>
        <v>III</v>
      </c>
    </row>
    <row r="953" spans="1:18">
      <c r="A953">
        <v>337</v>
      </c>
      <c r="B953" t="s">
        <v>75</v>
      </c>
      <c r="C953">
        <v>0.6</v>
      </c>
      <c r="D953">
        <v>0.47499999999999998</v>
      </c>
      <c r="E953">
        <v>0.19</v>
      </c>
      <c r="F953">
        <v>1.0874999999999999</v>
      </c>
      <c r="G953">
        <v>0.40300000000000002</v>
      </c>
      <c r="H953">
        <v>0.26550000000000001</v>
      </c>
      <c r="I953">
        <v>0.32500000000000001</v>
      </c>
      <c r="J953">
        <v>14</v>
      </c>
      <c r="K953">
        <v>3</v>
      </c>
      <c r="L953" t="s">
        <v>52</v>
      </c>
      <c r="M953" t="s">
        <v>53</v>
      </c>
      <c r="N953" t="s">
        <v>54</v>
      </c>
      <c r="O953">
        <v>3</v>
      </c>
      <c r="P953" t="s">
        <v>10</v>
      </c>
      <c r="Q953">
        <v>3.6</v>
      </c>
      <c r="R953" s="1" t="str">
        <f t="shared" si="17"/>
        <v>III</v>
      </c>
    </row>
    <row r="954" spans="1:18">
      <c r="A954">
        <v>490</v>
      </c>
      <c r="B954" t="s">
        <v>76</v>
      </c>
      <c r="C954">
        <v>0.56999999999999995</v>
      </c>
      <c r="D954">
        <v>0.45500000000000002</v>
      </c>
      <c r="E954">
        <v>0.16500000000000001</v>
      </c>
      <c r="F954">
        <v>1.0595000000000001</v>
      </c>
      <c r="G954">
        <v>0.44</v>
      </c>
      <c r="H954">
        <v>0.2195</v>
      </c>
      <c r="I954">
        <v>0.28499999999999998</v>
      </c>
      <c r="J954">
        <v>14</v>
      </c>
      <c r="K954">
        <v>8</v>
      </c>
      <c r="L954" t="s">
        <v>55</v>
      </c>
      <c r="M954" t="s">
        <v>56</v>
      </c>
      <c r="N954" t="s">
        <v>57</v>
      </c>
      <c r="O954">
        <v>6</v>
      </c>
      <c r="P954" t="s">
        <v>7</v>
      </c>
      <c r="Q954">
        <v>14.1</v>
      </c>
      <c r="R954" s="1" t="str">
        <f t="shared" si="17"/>
        <v>III</v>
      </c>
    </row>
    <row r="955" spans="1:18">
      <c r="A955">
        <v>3610</v>
      </c>
      <c r="B955" t="s">
        <v>76</v>
      </c>
      <c r="C955">
        <v>0.55500000000000005</v>
      </c>
      <c r="D955">
        <v>0.40500000000000003</v>
      </c>
      <c r="E955">
        <v>0.12</v>
      </c>
      <c r="F955">
        <v>0.91300000000000003</v>
      </c>
      <c r="G955">
        <v>0.45850000000000002</v>
      </c>
      <c r="H955">
        <v>0.19600000000000001</v>
      </c>
      <c r="I955">
        <v>0.20649999999999999</v>
      </c>
      <c r="J955">
        <v>9</v>
      </c>
      <c r="K955">
        <v>15</v>
      </c>
      <c r="L955" t="s">
        <v>60</v>
      </c>
      <c r="M955" t="s">
        <v>61</v>
      </c>
      <c r="N955" t="s">
        <v>45</v>
      </c>
      <c r="O955">
        <v>6</v>
      </c>
      <c r="P955" t="s">
        <v>7</v>
      </c>
      <c r="Q955">
        <v>14.1</v>
      </c>
      <c r="R955" s="1" t="str">
        <f t="shared" si="17"/>
        <v>III</v>
      </c>
    </row>
    <row r="956" spans="1:18">
      <c r="A956">
        <v>1787</v>
      </c>
      <c r="B956" t="s">
        <v>76</v>
      </c>
      <c r="C956">
        <v>0.53500000000000003</v>
      </c>
      <c r="D956">
        <v>0.38500000000000001</v>
      </c>
      <c r="E956">
        <v>0.18</v>
      </c>
      <c r="F956">
        <v>1.0834999999999999</v>
      </c>
      <c r="G956">
        <v>0.4955</v>
      </c>
      <c r="H956">
        <v>0.22950000000000001</v>
      </c>
      <c r="I956">
        <v>0.30399999999999999</v>
      </c>
      <c r="J956">
        <v>8</v>
      </c>
      <c r="K956">
        <v>7</v>
      </c>
      <c r="L956" t="s">
        <v>62</v>
      </c>
      <c r="M956" t="s">
        <v>63</v>
      </c>
      <c r="N956" t="s">
        <v>64</v>
      </c>
      <c r="O956">
        <v>5</v>
      </c>
      <c r="P956" t="s">
        <v>12</v>
      </c>
      <c r="Q956">
        <v>12.8</v>
      </c>
      <c r="R956" s="1" t="str">
        <f t="shared" si="17"/>
        <v>III</v>
      </c>
    </row>
    <row r="957" spans="1:18">
      <c r="A957">
        <v>87</v>
      </c>
      <c r="B957" t="s">
        <v>76</v>
      </c>
      <c r="C957">
        <v>0.625</v>
      </c>
      <c r="D957">
        <v>0.46500000000000002</v>
      </c>
      <c r="E957">
        <v>0.14000000000000001</v>
      </c>
      <c r="F957">
        <v>1.1950000000000001</v>
      </c>
      <c r="G957">
        <v>0.48249999999999998</v>
      </c>
      <c r="H957">
        <v>0.20499999999999999</v>
      </c>
      <c r="I957">
        <v>0.4</v>
      </c>
      <c r="J957">
        <v>13</v>
      </c>
      <c r="K957">
        <v>7</v>
      </c>
      <c r="L957" t="s">
        <v>62</v>
      </c>
      <c r="M957" t="s">
        <v>63</v>
      </c>
      <c r="N957" t="s">
        <v>64</v>
      </c>
      <c r="O957">
        <v>3</v>
      </c>
      <c r="P957" t="s">
        <v>10</v>
      </c>
      <c r="Q957">
        <v>3.6</v>
      </c>
      <c r="R957" s="1" t="str">
        <f t="shared" si="17"/>
        <v>III</v>
      </c>
    </row>
    <row r="958" spans="1:18">
      <c r="A958">
        <v>2995</v>
      </c>
      <c r="B958" t="s">
        <v>76</v>
      </c>
      <c r="C958">
        <v>0.61</v>
      </c>
      <c r="D958">
        <v>0.47499999999999998</v>
      </c>
      <c r="E958">
        <v>0.17499999999999999</v>
      </c>
      <c r="F958">
        <v>1.024</v>
      </c>
      <c r="G958">
        <v>0.40899999999999997</v>
      </c>
      <c r="H958">
        <v>0.26100000000000001</v>
      </c>
      <c r="I958">
        <v>0.32200000000000001</v>
      </c>
      <c r="J958">
        <v>9</v>
      </c>
      <c r="K958">
        <v>8</v>
      </c>
      <c r="L958" t="s">
        <v>55</v>
      </c>
      <c r="M958" t="s">
        <v>56</v>
      </c>
      <c r="N958" t="s">
        <v>57</v>
      </c>
      <c r="O958">
        <v>10</v>
      </c>
      <c r="P958" t="s">
        <v>11</v>
      </c>
      <c r="Q958">
        <v>24.1</v>
      </c>
      <c r="R958" s="1" t="str">
        <f t="shared" ref="R958:R989" si="18">IF(OR(AND(J958 &gt; 15, B958 = "Infant"), AND(D958 = "Male", C958 &gt; 0.75),
    OR(I958 &gt; 0.8, G958 &gt; 0.5), G958 &gt; 1.2),
    "I",
    IF(OR(AND(I958 &lt; 0.4, G958 &lt; 0.4), AND(J958 &gt; 15, D958 = "Male"), AND(J958 &gt; 18, D958 = "Female"), C958 &lt; 0.36),
    "II",
    "III"))</f>
        <v>III</v>
      </c>
    </row>
    <row r="959" spans="1:18">
      <c r="A959">
        <v>1368</v>
      </c>
      <c r="B959" t="s">
        <v>76</v>
      </c>
      <c r="C959">
        <v>0.61</v>
      </c>
      <c r="D959">
        <v>0.48</v>
      </c>
      <c r="E959">
        <v>0.17</v>
      </c>
      <c r="F959">
        <v>1.137</v>
      </c>
      <c r="G959">
        <v>0.45650000000000002</v>
      </c>
      <c r="H959">
        <v>0.28999999999999998</v>
      </c>
      <c r="I959">
        <v>0.34699999999999998</v>
      </c>
      <c r="J959">
        <v>10</v>
      </c>
      <c r="K959">
        <v>6</v>
      </c>
      <c r="L959" t="s">
        <v>46</v>
      </c>
      <c r="M959" t="s">
        <v>47</v>
      </c>
      <c r="N959" t="s">
        <v>48</v>
      </c>
      <c r="O959">
        <v>10</v>
      </c>
      <c r="P959" t="s">
        <v>11</v>
      </c>
      <c r="Q959">
        <v>24.1</v>
      </c>
      <c r="R959" s="1" t="str">
        <f t="shared" si="18"/>
        <v>III</v>
      </c>
    </row>
    <row r="960" spans="1:18">
      <c r="A960">
        <v>1925</v>
      </c>
      <c r="B960" t="s">
        <v>76</v>
      </c>
      <c r="C960">
        <v>0.61</v>
      </c>
      <c r="D960">
        <v>0.46</v>
      </c>
      <c r="E960">
        <v>0.155</v>
      </c>
      <c r="F960">
        <v>0.95699999999999996</v>
      </c>
      <c r="G960">
        <v>0.42549999999999999</v>
      </c>
      <c r="H960">
        <v>0.19750000000000001</v>
      </c>
      <c r="I960">
        <v>0.26500000000000001</v>
      </c>
      <c r="J960">
        <v>8</v>
      </c>
      <c r="K960">
        <v>2</v>
      </c>
      <c r="L960" t="s">
        <v>49</v>
      </c>
      <c r="M960" t="s">
        <v>50</v>
      </c>
      <c r="N960" t="s">
        <v>51</v>
      </c>
      <c r="O960">
        <v>1</v>
      </c>
      <c r="P960" t="s">
        <v>4</v>
      </c>
      <c r="Q960">
        <v>22.1</v>
      </c>
      <c r="R960" s="1" t="str">
        <f t="shared" si="18"/>
        <v>III</v>
      </c>
    </row>
    <row r="961" spans="1:18">
      <c r="A961">
        <v>3918</v>
      </c>
      <c r="B961" t="s">
        <v>76</v>
      </c>
      <c r="C961">
        <v>0.61499999999999999</v>
      </c>
      <c r="D961">
        <v>0.46</v>
      </c>
      <c r="E961">
        <v>0.19</v>
      </c>
      <c r="F961">
        <v>1.0660000000000001</v>
      </c>
      <c r="G961">
        <v>0.4335</v>
      </c>
      <c r="H961">
        <v>0.22600000000000001</v>
      </c>
      <c r="I961">
        <v>0.33</v>
      </c>
      <c r="J961">
        <v>13</v>
      </c>
      <c r="K961">
        <v>1</v>
      </c>
      <c r="L961" t="s">
        <v>70</v>
      </c>
      <c r="M961" t="s">
        <v>71</v>
      </c>
      <c r="N961" t="s">
        <v>45</v>
      </c>
      <c r="O961">
        <v>4</v>
      </c>
      <c r="P961" t="s">
        <v>8</v>
      </c>
      <c r="Q961">
        <v>6.1</v>
      </c>
      <c r="R961" s="1" t="str">
        <f t="shared" si="18"/>
        <v>III</v>
      </c>
    </row>
    <row r="962" spans="1:18">
      <c r="A962">
        <v>449</v>
      </c>
      <c r="B962" t="s">
        <v>76</v>
      </c>
      <c r="C962">
        <v>0.60499999999999998</v>
      </c>
      <c r="D962">
        <v>0.5</v>
      </c>
      <c r="E962">
        <v>0.17499999999999999</v>
      </c>
      <c r="F962">
        <v>1.0980000000000001</v>
      </c>
      <c r="G962">
        <v>0.47649999999999998</v>
      </c>
      <c r="H962">
        <v>0.23200000000000001</v>
      </c>
      <c r="I962">
        <v>0.375</v>
      </c>
      <c r="J962">
        <v>12</v>
      </c>
      <c r="K962">
        <v>10</v>
      </c>
      <c r="L962" t="s">
        <v>37</v>
      </c>
      <c r="M962" t="s">
        <v>38</v>
      </c>
      <c r="N962" t="s">
        <v>39</v>
      </c>
      <c r="O962">
        <v>8</v>
      </c>
      <c r="P962" t="s">
        <v>13</v>
      </c>
      <c r="Q962">
        <v>12.3</v>
      </c>
      <c r="R962" s="1" t="str">
        <f t="shared" si="18"/>
        <v>III</v>
      </c>
    </row>
    <row r="963" spans="1:18">
      <c r="A963">
        <v>1369</v>
      </c>
      <c r="B963" t="s">
        <v>76</v>
      </c>
      <c r="C963">
        <v>0.61</v>
      </c>
      <c r="D963">
        <v>0.46</v>
      </c>
      <c r="E963">
        <v>0.16</v>
      </c>
      <c r="F963">
        <v>1</v>
      </c>
      <c r="G963">
        <v>0.49399999999999999</v>
      </c>
      <c r="H963">
        <v>0.19700000000000001</v>
      </c>
      <c r="I963">
        <v>0.27500000000000002</v>
      </c>
      <c r="J963">
        <v>10</v>
      </c>
      <c r="K963">
        <v>7</v>
      </c>
      <c r="L963" t="s">
        <v>62</v>
      </c>
      <c r="M963" t="s">
        <v>63</v>
      </c>
      <c r="N963" t="s">
        <v>64</v>
      </c>
      <c r="O963">
        <v>10</v>
      </c>
      <c r="P963" t="s">
        <v>11</v>
      </c>
      <c r="Q963">
        <v>24.1</v>
      </c>
      <c r="R963" s="1" t="str">
        <f t="shared" si="18"/>
        <v>III</v>
      </c>
    </row>
    <row r="964" spans="1:18">
      <c r="A964">
        <v>369</v>
      </c>
      <c r="B964" t="s">
        <v>76</v>
      </c>
      <c r="C964">
        <v>0.63</v>
      </c>
      <c r="D964">
        <v>0.49</v>
      </c>
      <c r="E964">
        <v>0.18</v>
      </c>
      <c r="F964">
        <v>1.1299999999999999</v>
      </c>
      <c r="G964">
        <v>0.45800000000000002</v>
      </c>
      <c r="H964">
        <v>0.27650000000000002</v>
      </c>
      <c r="I964">
        <v>0.315</v>
      </c>
      <c r="J964">
        <v>12</v>
      </c>
      <c r="K964">
        <v>12</v>
      </c>
      <c r="L964" t="s">
        <v>58</v>
      </c>
      <c r="M964" t="s">
        <v>59</v>
      </c>
      <c r="N964" t="s">
        <v>45</v>
      </c>
      <c r="O964">
        <v>10</v>
      </c>
      <c r="P964" t="s">
        <v>11</v>
      </c>
      <c r="Q964">
        <v>24.1</v>
      </c>
      <c r="R964" s="1" t="str">
        <f t="shared" si="18"/>
        <v>III</v>
      </c>
    </row>
    <row r="965" spans="1:18">
      <c r="A965">
        <v>293</v>
      </c>
      <c r="B965" t="s">
        <v>76</v>
      </c>
      <c r="C965">
        <v>0.61</v>
      </c>
      <c r="D965">
        <v>0.47499999999999998</v>
      </c>
      <c r="E965">
        <v>0.16500000000000001</v>
      </c>
      <c r="F965">
        <v>1.1160000000000001</v>
      </c>
      <c r="G965">
        <v>0.42799999999999999</v>
      </c>
      <c r="H965">
        <v>0.2205</v>
      </c>
      <c r="I965">
        <v>0.315</v>
      </c>
      <c r="J965">
        <v>15</v>
      </c>
      <c r="K965">
        <v>14</v>
      </c>
      <c r="L965" t="s">
        <v>72</v>
      </c>
      <c r="M965" t="s">
        <v>73</v>
      </c>
      <c r="N965" t="s">
        <v>74</v>
      </c>
      <c r="O965">
        <v>5</v>
      </c>
      <c r="P965" t="s">
        <v>12</v>
      </c>
      <c r="Q965">
        <v>12.8</v>
      </c>
      <c r="R965" s="1" t="str">
        <f t="shared" si="18"/>
        <v>III</v>
      </c>
    </row>
    <row r="966" spans="1:18">
      <c r="A966">
        <v>2940</v>
      </c>
      <c r="B966" t="s">
        <v>76</v>
      </c>
      <c r="C966">
        <v>0.625</v>
      </c>
      <c r="D966">
        <v>0.49</v>
      </c>
      <c r="E966">
        <v>0.14499999999999999</v>
      </c>
      <c r="F966">
        <v>0.92</v>
      </c>
      <c r="G966">
        <v>0.437</v>
      </c>
      <c r="H966">
        <v>0.17349999999999999</v>
      </c>
      <c r="I966">
        <v>0.28000000000000003</v>
      </c>
      <c r="J966">
        <v>10</v>
      </c>
      <c r="K966">
        <v>7</v>
      </c>
      <c r="L966" t="s">
        <v>62</v>
      </c>
      <c r="M966" t="s">
        <v>63</v>
      </c>
      <c r="N966" t="s">
        <v>64</v>
      </c>
      <c r="O966">
        <v>1</v>
      </c>
      <c r="P966" t="s">
        <v>4</v>
      </c>
      <c r="Q966">
        <v>22.1</v>
      </c>
      <c r="R966" s="1" t="str">
        <f t="shared" si="18"/>
        <v>III</v>
      </c>
    </row>
    <row r="967" spans="1:18">
      <c r="A967">
        <v>3668</v>
      </c>
      <c r="B967" t="s">
        <v>76</v>
      </c>
      <c r="C967">
        <v>0.58499999999999996</v>
      </c>
      <c r="D967">
        <v>0.42</v>
      </c>
      <c r="E967">
        <v>0.155</v>
      </c>
      <c r="F967">
        <v>1.034</v>
      </c>
      <c r="G967">
        <v>0.437</v>
      </c>
      <c r="H967">
        <v>0.2225</v>
      </c>
      <c r="I967">
        <v>0.32</v>
      </c>
      <c r="J967">
        <v>11</v>
      </c>
      <c r="K967">
        <v>15</v>
      </c>
      <c r="L967" t="s">
        <v>60</v>
      </c>
      <c r="M967" t="s">
        <v>61</v>
      </c>
      <c r="N967" t="s">
        <v>45</v>
      </c>
      <c r="O967">
        <v>3</v>
      </c>
      <c r="P967" t="s">
        <v>10</v>
      </c>
      <c r="Q967">
        <v>3.6</v>
      </c>
      <c r="R967" s="1" t="str">
        <f t="shared" si="18"/>
        <v>III</v>
      </c>
    </row>
    <row r="968" spans="1:18">
      <c r="A968">
        <v>1942</v>
      </c>
      <c r="B968" t="s">
        <v>76</v>
      </c>
      <c r="C968">
        <v>0.625</v>
      </c>
      <c r="D968">
        <v>0.47</v>
      </c>
      <c r="E968">
        <v>0.14499999999999999</v>
      </c>
      <c r="F968">
        <v>0.98399999999999999</v>
      </c>
      <c r="G968">
        <v>0.47499999999999998</v>
      </c>
      <c r="H968">
        <v>0.2</v>
      </c>
      <c r="I968">
        <v>0.26500000000000001</v>
      </c>
      <c r="J968">
        <v>11</v>
      </c>
      <c r="K968">
        <v>7</v>
      </c>
      <c r="L968" t="s">
        <v>62</v>
      </c>
      <c r="M968" t="s">
        <v>63</v>
      </c>
      <c r="N968" t="s">
        <v>64</v>
      </c>
      <c r="O968">
        <v>6</v>
      </c>
      <c r="P968" t="s">
        <v>7</v>
      </c>
      <c r="Q968">
        <v>14.1</v>
      </c>
      <c r="R968" s="1" t="str">
        <f t="shared" si="18"/>
        <v>III</v>
      </c>
    </row>
    <row r="969" spans="1:18">
      <c r="A969">
        <v>1152</v>
      </c>
      <c r="B969" t="s">
        <v>76</v>
      </c>
      <c r="C969">
        <v>0.58499999999999996</v>
      </c>
      <c r="D969">
        <v>0.46500000000000002</v>
      </c>
      <c r="E969">
        <v>0.16</v>
      </c>
      <c r="F969">
        <v>0.95550000000000002</v>
      </c>
      <c r="G969">
        <v>0.45950000000000002</v>
      </c>
      <c r="H969">
        <v>0.23599999999999999</v>
      </c>
      <c r="I969">
        <v>0.26500000000000001</v>
      </c>
      <c r="J969">
        <v>7</v>
      </c>
      <c r="K969">
        <v>5</v>
      </c>
      <c r="L969" t="s">
        <v>67</v>
      </c>
      <c r="M969" t="s">
        <v>68</v>
      </c>
      <c r="N969" t="s">
        <v>69</v>
      </c>
      <c r="O969">
        <v>8</v>
      </c>
      <c r="P969" t="s">
        <v>13</v>
      </c>
      <c r="Q969">
        <v>12.3</v>
      </c>
      <c r="R969" s="1" t="str">
        <f t="shared" si="18"/>
        <v>III</v>
      </c>
    </row>
    <row r="970" spans="1:18">
      <c r="A970">
        <v>2660</v>
      </c>
      <c r="B970" t="s">
        <v>76</v>
      </c>
      <c r="C970">
        <v>0.55000000000000004</v>
      </c>
      <c r="D970">
        <v>0.44</v>
      </c>
      <c r="E970">
        <v>0.13500000000000001</v>
      </c>
      <c r="F970">
        <v>0.84350000000000003</v>
      </c>
      <c r="G970">
        <v>0.434</v>
      </c>
      <c r="H970">
        <v>0.19950000000000001</v>
      </c>
      <c r="I970">
        <v>0.185</v>
      </c>
      <c r="J970">
        <v>8</v>
      </c>
      <c r="K970">
        <v>14</v>
      </c>
      <c r="L970" t="s">
        <v>72</v>
      </c>
      <c r="M970" t="s">
        <v>73</v>
      </c>
      <c r="N970" t="s">
        <v>74</v>
      </c>
      <c r="O970">
        <v>7</v>
      </c>
      <c r="P970" t="s">
        <v>6</v>
      </c>
      <c r="Q970">
        <v>2.5</v>
      </c>
      <c r="R970" s="1" t="str">
        <f t="shared" si="18"/>
        <v>III</v>
      </c>
    </row>
    <row r="971" spans="1:18">
      <c r="A971">
        <v>1373</v>
      </c>
      <c r="B971" t="s">
        <v>76</v>
      </c>
      <c r="C971">
        <v>0.61499999999999999</v>
      </c>
      <c r="D971">
        <v>0.47499999999999998</v>
      </c>
      <c r="E971">
        <v>0.16500000000000001</v>
      </c>
      <c r="F971">
        <v>1.0229999999999999</v>
      </c>
      <c r="G971">
        <v>0.49049999999999999</v>
      </c>
      <c r="H971">
        <v>0.19550000000000001</v>
      </c>
      <c r="I971">
        <v>0.30349999999999999</v>
      </c>
      <c r="J971">
        <v>12</v>
      </c>
      <c r="K971">
        <v>7</v>
      </c>
      <c r="L971" t="s">
        <v>62</v>
      </c>
      <c r="M971" t="s">
        <v>63</v>
      </c>
      <c r="N971" t="s">
        <v>64</v>
      </c>
      <c r="O971">
        <v>2</v>
      </c>
      <c r="P971" t="s">
        <v>5</v>
      </c>
      <c r="Q971">
        <v>18</v>
      </c>
      <c r="R971" s="1" t="str">
        <f t="shared" si="18"/>
        <v>III</v>
      </c>
    </row>
    <row r="972" spans="1:18">
      <c r="A972">
        <v>1783</v>
      </c>
      <c r="B972" t="s">
        <v>76</v>
      </c>
      <c r="C972">
        <v>0.52500000000000002</v>
      </c>
      <c r="D972">
        <v>0.36499999999999999</v>
      </c>
      <c r="E972">
        <v>0.17</v>
      </c>
      <c r="F972">
        <v>0.96050000000000002</v>
      </c>
      <c r="G972">
        <v>0.438</v>
      </c>
      <c r="H972">
        <v>0.2225</v>
      </c>
      <c r="I972">
        <v>0.27600000000000002</v>
      </c>
      <c r="J972">
        <v>10</v>
      </c>
      <c r="K972">
        <v>11</v>
      </c>
      <c r="L972" t="s">
        <v>65</v>
      </c>
      <c r="M972" t="s">
        <v>66</v>
      </c>
      <c r="N972" t="s">
        <v>45</v>
      </c>
      <c r="O972">
        <v>5</v>
      </c>
      <c r="P972" t="s">
        <v>12</v>
      </c>
      <c r="Q972">
        <v>12.8</v>
      </c>
      <c r="R972" s="1" t="str">
        <f t="shared" si="18"/>
        <v>III</v>
      </c>
    </row>
    <row r="973" spans="1:18">
      <c r="A973">
        <v>848</v>
      </c>
      <c r="B973" t="s">
        <v>76</v>
      </c>
      <c r="C973">
        <v>0.54500000000000004</v>
      </c>
      <c r="D973">
        <v>0.44</v>
      </c>
      <c r="E973">
        <v>0.13500000000000001</v>
      </c>
      <c r="F973">
        <v>0.91849999999999998</v>
      </c>
      <c r="G973">
        <v>0.42899999999999999</v>
      </c>
      <c r="H973">
        <v>0.20150000000000001</v>
      </c>
      <c r="I973">
        <v>0.23749999999999999</v>
      </c>
      <c r="J973">
        <v>10</v>
      </c>
      <c r="K973">
        <v>13</v>
      </c>
      <c r="L973" t="s">
        <v>43</v>
      </c>
      <c r="M973" t="s">
        <v>44</v>
      </c>
      <c r="N973" t="s">
        <v>45</v>
      </c>
      <c r="O973">
        <v>4</v>
      </c>
      <c r="P973" t="s">
        <v>8</v>
      </c>
      <c r="Q973">
        <v>6.1</v>
      </c>
      <c r="R973" s="1" t="str">
        <f t="shared" si="18"/>
        <v>III</v>
      </c>
    </row>
    <row r="974" spans="1:18">
      <c r="A974">
        <v>3736</v>
      </c>
      <c r="B974" t="s">
        <v>76</v>
      </c>
      <c r="C974">
        <v>0.61499999999999999</v>
      </c>
      <c r="D974">
        <v>0.47499999999999998</v>
      </c>
      <c r="E974">
        <v>0.15</v>
      </c>
      <c r="F974">
        <v>1.0375000000000001</v>
      </c>
      <c r="G974">
        <v>0.47599999999999998</v>
      </c>
      <c r="H974">
        <v>0.23250000000000001</v>
      </c>
      <c r="I974">
        <v>0.28299999999999997</v>
      </c>
      <c r="J974">
        <v>9</v>
      </c>
      <c r="K974">
        <v>13</v>
      </c>
      <c r="L974" t="s">
        <v>43</v>
      </c>
      <c r="M974" t="s">
        <v>44</v>
      </c>
      <c r="N974" t="s">
        <v>45</v>
      </c>
      <c r="O974">
        <v>5</v>
      </c>
      <c r="P974" t="s">
        <v>12</v>
      </c>
      <c r="Q974">
        <v>12.8</v>
      </c>
      <c r="R974" s="1" t="str">
        <f t="shared" si="18"/>
        <v>III</v>
      </c>
    </row>
    <row r="975" spans="1:18">
      <c r="A975">
        <v>1169</v>
      </c>
      <c r="B975" t="s">
        <v>76</v>
      </c>
      <c r="C975">
        <v>0.62</v>
      </c>
      <c r="D975">
        <v>0.45</v>
      </c>
      <c r="E975">
        <v>0.2</v>
      </c>
      <c r="F975">
        <v>0.85799999999999998</v>
      </c>
      <c r="G975">
        <v>0.42849999999999999</v>
      </c>
      <c r="H975">
        <v>0.1525</v>
      </c>
      <c r="I975">
        <v>0.24049999999999999</v>
      </c>
      <c r="J975">
        <v>8</v>
      </c>
      <c r="K975">
        <v>12</v>
      </c>
      <c r="L975" t="s">
        <v>58</v>
      </c>
      <c r="M975" t="s">
        <v>59</v>
      </c>
      <c r="N975" t="s">
        <v>45</v>
      </c>
      <c r="O975">
        <v>6</v>
      </c>
      <c r="P975" t="s">
        <v>7</v>
      </c>
      <c r="Q975">
        <v>14.1</v>
      </c>
      <c r="R975" s="1" t="str">
        <f t="shared" si="18"/>
        <v>III</v>
      </c>
    </row>
    <row r="976" spans="1:18">
      <c r="A976">
        <v>1654</v>
      </c>
      <c r="B976" t="s">
        <v>76</v>
      </c>
      <c r="C976">
        <v>0.59499999999999997</v>
      </c>
      <c r="D976">
        <v>0.45</v>
      </c>
      <c r="E976">
        <v>0.14499999999999999</v>
      </c>
      <c r="F976">
        <v>0.95899999999999996</v>
      </c>
      <c r="G976">
        <v>0.46300000000000002</v>
      </c>
      <c r="H976">
        <v>0.20649999999999999</v>
      </c>
      <c r="I976">
        <v>0.2535</v>
      </c>
      <c r="J976">
        <v>10</v>
      </c>
      <c r="K976">
        <v>3</v>
      </c>
      <c r="L976" t="s">
        <v>52</v>
      </c>
      <c r="M976" t="s">
        <v>53</v>
      </c>
      <c r="N976" t="s">
        <v>54</v>
      </c>
      <c r="O976">
        <v>5</v>
      </c>
      <c r="P976" t="s">
        <v>12</v>
      </c>
      <c r="Q976">
        <v>12.8</v>
      </c>
      <c r="R976" s="1" t="str">
        <f t="shared" si="18"/>
        <v>III</v>
      </c>
    </row>
    <row r="977" spans="1:18">
      <c r="A977">
        <v>1488</v>
      </c>
      <c r="B977" t="s">
        <v>76</v>
      </c>
      <c r="C977">
        <v>0.6</v>
      </c>
      <c r="D977">
        <v>0.45500000000000002</v>
      </c>
      <c r="E977">
        <v>0.155</v>
      </c>
      <c r="F977">
        <v>0.94499999999999995</v>
      </c>
      <c r="G977">
        <v>0.4365</v>
      </c>
      <c r="H977">
        <v>0.20849999999999999</v>
      </c>
      <c r="I977">
        <v>0.25</v>
      </c>
      <c r="J977">
        <v>8</v>
      </c>
      <c r="K977">
        <v>7</v>
      </c>
      <c r="L977" t="s">
        <v>62</v>
      </c>
      <c r="M977" t="s">
        <v>63</v>
      </c>
      <c r="N977" t="s">
        <v>64</v>
      </c>
      <c r="O977">
        <v>7</v>
      </c>
      <c r="P977" t="s">
        <v>6</v>
      </c>
      <c r="Q977">
        <v>2.5</v>
      </c>
      <c r="R977" s="1" t="str">
        <f t="shared" si="18"/>
        <v>III</v>
      </c>
    </row>
    <row r="978" spans="1:18">
      <c r="A978">
        <v>3311</v>
      </c>
      <c r="B978" t="s">
        <v>76</v>
      </c>
      <c r="C978">
        <v>0.62</v>
      </c>
      <c r="D978">
        <v>0.48499999999999999</v>
      </c>
      <c r="E978">
        <v>0.16500000000000001</v>
      </c>
      <c r="F978">
        <v>1.1659999999999999</v>
      </c>
      <c r="G978">
        <v>0.48299999999999998</v>
      </c>
      <c r="H978">
        <v>0.23799999999999999</v>
      </c>
      <c r="I978">
        <v>0.35499999999999998</v>
      </c>
      <c r="J978">
        <v>13</v>
      </c>
      <c r="K978">
        <v>11</v>
      </c>
      <c r="L978" t="s">
        <v>65</v>
      </c>
      <c r="M978" t="s">
        <v>66</v>
      </c>
      <c r="N978" t="s">
        <v>45</v>
      </c>
      <c r="O978">
        <v>1</v>
      </c>
      <c r="P978" t="s">
        <v>4</v>
      </c>
      <c r="Q978">
        <v>22.1</v>
      </c>
      <c r="R978" s="1" t="str">
        <f t="shared" si="18"/>
        <v>III</v>
      </c>
    </row>
    <row r="979" spans="1:18">
      <c r="A979">
        <v>3501</v>
      </c>
      <c r="B979" t="s">
        <v>76</v>
      </c>
      <c r="C979">
        <v>0.6</v>
      </c>
      <c r="D979">
        <v>0.41</v>
      </c>
      <c r="E979">
        <v>0.14499999999999999</v>
      </c>
      <c r="F979">
        <v>0.93899999999999995</v>
      </c>
      <c r="G979">
        <v>0.44750000000000001</v>
      </c>
      <c r="H979">
        <v>0.19600000000000001</v>
      </c>
      <c r="I979">
        <v>0.26800000000000002</v>
      </c>
      <c r="J979">
        <v>8</v>
      </c>
      <c r="K979">
        <v>10</v>
      </c>
      <c r="L979" t="s">
        <v>37</v>
      </c>
      <c r="M979" t="s">
        <v>38</v>
      </c>
      <c r="N979" t="s">
        <v>39</v>
      </c>
      <c r="O979">
        <v>8</v>
      </c>
      <c r="P979" t="s">
        <v>13</v>
      </c>
      <c r="Q979">
        <v>12.3</v>
      </c>
      <c r="R979" s="1" t="str">
        <f t="shared" si="18"/>
        <v>III</v>
      </c>
    </row>
    <row r="980" spans="1:18">
      <c r="A980">
        <v>3297</v>
      </c>
      <c r="B980" t="s">
        <v>76</v>
      </c>
      <c r="C980">
        <v>0.60499999999999998</v>
      </c>
      <c r="D980">
        <v>0.48499999999999999</v>
      </c>
      <c r="E980">
        <v>0.16500000000000001</v>
      </c>
      <c r="F980">
        <v>1.0734999999999999</v>
      </c>
      <c r="G980">
        <v>0.437</v>
      </c>
      <c r="H980">
        <v>0.20499999999999999</v>
      </c>
      <c r="I980">
        <v>0.33</v>
      </c>
      <c r="J980">
        <v>14</v>
      </c>
      <c r="K980">
        <v>15</v>
      </c>
      <c r="L980" t="s">
        <v>60</v>
      </c>
      <c r="M980" t="s">
        <v>61</v>
      </c>
      <c r="N980" t="s">
        <v>45</v>
      </c>
      <c r="O980">
        <v>1</v>
      </c>
      <c r="P980" t="s">
        <v>4</v>
      </c>
      <c r="Q980">
        <v>22.1</v>
      </c>
      <c r="R980" s="1" t="str">
        <f t="shared" si="18"/>
        <v>III</v>
      </c>
    </row>
    <row r="981" spans="1:18">
      <c r="A981">
        <v>858</v>
      </c>
      <c r="B981" t="s">
        <v>76</v>
      </c>
      <c r="C981">
        <v>0.59</v>
      </c>
      <c r="D981">
        <v>0.46</v>
      </c>
      <c r="E981">
        <v>0.13</v>
      </c>
      <c r="F981">
        <v>1.1020000000000001</v>
      </c>
      <c r="G981">
        <v>0.45500000000000002</v>
      </c>
      <c r="H981">
        <v>0.20549999999999999</v>
      </c>
      <c r="I981">
        <v>0.33</v>
      </c>
      <c r="J981">
        <v>12</v>
      </c>
      <c r="K981">
        <v>14</v>
      </c>
      <c r="L981" t="s">
        <v>72</v>
      </c>
      <c r="M981" t="s">
        <v>73</v>
      </c>
      <c r="N981" t="s">
        <v>74</v>
      </c>
      <c r="O981">
        <v>3</v>
      </c>
      <c r="P981" t="s">
        <v>10</v>
      </c>
      <c r="Q981">
        <v>3.6</v>
      </c>
      <c r="R981" s="1" t="str">
        <f t="shared" si="18"/>
        <v>III</v>
      </c>
    </row>
    <row r="982" spans="1:18">
      <c r="A982">
        <v>1677</v>
      </c>
      <c r="B982" t="s">
        <v>76</v>
      </c>
      <c r="C982">
        <v>0.61499999999999999</v>
      </c>
      <c r="D982">
        <v>0.47</v>
      </c>
      <c r="E982">
        <v>0.16</v>
      </c>
      <c r="F982">
        <v>1.0175000000000001</v>
      </c>
      <c r="G982">
        <v>0.47299999999999998</v>
      </c>
      <c r="H982">
        <v>0.23949999999999999</v>
      </c>
      <c r="I982">
        <v>0.28000000000000003</v>
      </c>
      <c r="J982">
        <v>10</v>
      </c>
      <c r="K982">
        <v>6</v>
      </c>
      <c r="L982" t="s">
        <v>46</v>
      </c>
      <c r="M982" t="s">
        <v>47</v>
      </c>
      <c r="N982" t="s">
        <v>48</v>
      </c>
      <c r="O982">
        <v>2</v>
      </c>
      <c r="P982" t="s">
        <v>5</v>
      </c>
      <c r="Q982">
        <v>18</v>
      </c>
      <c r="R982" s="1" t="str">
        <f t="shared" si="18"/>
        <v>III</v>
      </c>
    </row>
    <row r="983" spans="1:18">
      <c r="A983">
        <v>3061</v>
      </c>
      <c r="B983" t="s">
        <v>76</v>
      </c>
      <c r="C983">
        <v>0.63</v>
      </c>
      <c r="D983">
        <v>0.51500000000000001</v>
      </c>
      <c r="E983">
        <v>0.17499999999999999</v>
      </c>
      <c r="F983">
        <v>1.1955</v>
      </c>
      <c r="G983">
        <v>0.49199999999999999</v>
      </c>
      <c r="H983">
        <v>0.247</v>
      </c>
      <c r="I983">
        <v>0.37</v>
      </c>
      <c r="J983">
        <v>11</v>
      </c>
      <c r="K983">
        <v>12</v>
      </c>
      <c r="L983" t="s">
        <v>58</v>
      </c>
      <c r="M983" t="s">
        <v>59</v>
      </c>
      <c r="N983" t="s">
        <v>45</v>
      </c>
      <c r="O983">
        <v>9</v>
      </c>
      <c r="P983" t="s">
        <v>9</v>
      </c>
      <c r="Q983">
        <v>1.9</v>
      </c>
      <c r="R983" s="1" t="str">
        <f t="shared" si="18"/>
        <v>III</v>
      </c>
    </row>
    <row r="984" spans="1:18">
      <c r="A984">
        <v>1490</v>
      </c>
      <c r="B984" t="s">
        <v>76</v>
      </c>
      <c r="C984">
        <v>0.60499999999999998</v>
      </c>
      <c r="D984">
        <v>0.48499999999999999</v>
      </c>
      <c r="E984">
        <v>0.16500000000000001</v>
      </c>
      <c r="F984">
        <v>0.95150000000000001</v>
      </c>
      <c r="G984">
        <v>0.45350000000000001</v>
      </c>
      <c r="H984">
        <v>0.193</v>
      </c>
      <c r="I984">
        <v>0.27650000000000002</v>
      </c>
      <c r="J984">
        <v>11</v>
      </c>
      <c r="K984">
        <v>9</v>
      </c>
      <c r="L984" t="s">
        <v>34</v>
      </c>
      <c r="M984" t="s">
        <v>35</v>
      </c>
      <c r="N984" t="s">
        <v>36</v>
      </c>
      <c r="O984">
        <v>8</v>
      </c>
      <c r="P984" t="s">
        <v>13</v>
      </c>
      <c r="Q984">
        <v>12.3</v>
      </c>
      <c r="R984" s="1" t="str">
        <f t="shared" si="18"/>
        <v>III</v>
      </c>
    </row>
    <row r="985" spans="1:18">
      <c r="A985">
        <v>2685</v>
      </c>
      <c r="B985" t="s">
        <v>76</v>
      </c>
      <c r="C985">
        <v>0.625</v>
      </c>
      <c r="D985">
        <v>0.49</v>
      </c>
      <c r="E985">
        <v>0.155</v>
      </c>
      <c r="F985">
        <v>1.115</v>
      </c>
      <c r="G985">
        <v>0.48399999999999999</v>
      </c>
      <c r="H985">
        <v>0.27700000000000002</v>
      </c>
      <c r="I985">
        <v>0.3095</v>
      </c>
      <c r="J985">
        <v>9</v>
      </c>
      <c r="K985">
        <v>8</v>
      </c>
      <c r="L985" t="s">
        <v>55</v>
      </c>
      <c r="M985" t="s">
        <v>56</v>
      </c>
      <c r="N985" t="s">
        <v>57</v>
      </c>
      <c r="O985">
        <v>9</v>
      </c>
      <c r="P985" t="s">
        <v>9</v>
      </c>
      <c r="Q985">
        <v>1.9</v>
      </c>
      <c r="R985" s="1" t="str">
        <f t="shared" si="18"/>
        <v>III</v>
      </c>
    </row>
    <row r="986" spans="1:18">
      <c r="A986">
        <v>3299</v>
      </c>
      <c r="B986" t="s">
        <v>76</v>
      </c>
      <c r="C986">
        <v>0.62</v>
      </c>
      <c r="D986">
        <v>0.5</v>
      </c>
      <c r="E986">
        <v>0.17499999999999999</v>
      </c>
      <c r="F986">
        <v>1.1459999999999999</v>
      </c>
      <c r="G986">
        <v>0.47699999999999998</v>
      </c>
      <c r="H986">
        <v>0.23</v>
      </c>
      <c r="I986">
        <v>0.39</v>
      </c>
      <c r="J986">
        <v>13</v>
      </c>
      <c r="K986">
        <v>1</v>
      </c>
      <c r="L986" t="s">
        <v>70</v>
      </c>
      <c r="M986" t="s">
        <v>71</v>
      </c>
      <c r="N986" t="s">
        <v>45</v>
      </c>
      <c r="O986">
        <v>5</v>
      </c>
      <c r="P986" t="s">
        <v>12</v>
      </c>
      <c r="Q986">
        <v>12.8</v>
      </c>
      <c r="R986" s="1" t="str">
        <f t="shared" si="18"/>
        <v>III</v>
      </c>
    </row>
    <row r="987" spans="1:18">
      <c r="A987">
        <v>3898</v>
      </c>
      <c r="B987" t="s">
        <v>76</v>
      </c>
      <c r="C987">
        <v>0.61499999999999999</v>
      </c>
      <c r="D987">
        <v>0.5</v>
      </c>
      <c r="E987">
        <v>0.16500000000000001</v>
      </c>
      <c r="F987">
        <v>1.1765000000000001</v>
      </c>
      <c r="G987">
        <v>0.48799999999999999</v>
      </c>
      <c r="H987">
        <v>0.24399999999999999</v>
      </c>
      <c r="I987">
        <v>0.34499999999999997</v>
      </c>
      <c r="J987">
        <v>17</v>
      </c>
      <c r="K987">
        <v>1</v>
      </c>
      <c r="L987" t="s">
        <v>70</v>
      </c>
      <c r="M987" t="s">
        <v>71</v>
      </c>
      <c r="N987" t="s">
        <v>45</v>
      </c>
      <c r="O987">
        <v>1</v>
      </c>
      <c r="P987" t="s">
        <v>4</v>
      </c>
      <c r="Q987">
        <v>22.1</v>
      </c>
      <c r="R987" s="1" t="str">
        <f t="shared" si="18"/>
        <v>III</v>
      </c>
    </row>
    <row r="988" spans="1:18">
      <c r="A988">
        <v>1660</v>
      </c>
      <c r="B988" t="s">
        <v>76</v>
      </c>
      <c r="C988">
        <v>0.6</v>
      </c>
      <c r="D988">
        <v>0.48</v>
      </c>
      <c r="E988">
        <v>0.18</v>
      </c>
      <c r="F988">
        <v>1.0645</v>
      </c>
      <c r="G988">
        <v>0.44950000000000001</v>
      </c>
      <c r="H988">
        <v>0.2455</v>
      </c>
      <c r="I988">
        <v>0.32500000000000001</v>
      </c>
      <c r="J988">
        <v>10</v>
      </c>
      <c r="K988">
        <v>6</v>
      </c>
      <c r="L988" t="s">
        <v>46</v>
      </c>
      <c r="M988" t="s">
        <v>47</v>
      </c>
      <c r="N988" t="s">
        <v>48</v>
      </c>
      <c r="O988">
        <v>4</v>
      </c>
      <c r="P988" t="s">
        <v>8</v>
      </c>
      <c r="Q988">
        <v>6.1</v>
      </c>
      <c r="R988" s="1" t="str">
        <f t="shared" si="18"/>
        <v>III</v>
      </c>
    </row>
    <row r="989" spans="1:18">
      <c r="A989">
        <v>3506</v>
      </c>
      <c r="B989" t="s">
        <v>76</v>
      </c>
      <c r="C989">
        <v>0.625</v>
      </c>
      <c r="D989">
        <v>0.495</v>
      </c>
      <c r="E989">
        <v>0.18</v>
      </c>
      <c r="F989">
        <v>1.0814999999999999</v>
      </c>
      <c r="G989">
        <v>0.47149999999999997</v>
      </c>
      <c r="H989">
        <v>0.254</v>
      </c>
      <c r="I989">
        <v>0.3135</v>
      </c>
      <c r="J989">
        <v>10</v>
      </c>
      <c r="K989">
        <v>1</v>
      </c>
      <c r="L989" t="s">
        <v>70</v>
      </c>
      <c r="M989" t="s">
        <v>71</v>
      </c>
      <c r="N989" t="s">
        <v>45</v>
      </c>
      <c r="O989">
        <v>4</v>
      </c>
      <c r="P989" t="s">
        <v>8</v>
      </c>
      <c r="Q989">
        <v>6.1</v>
      </c>
      <c r="R989" s="1" t="str">
        <f t="shared" si="18"/>
        <v>III</v>
      </c>
    </row>
    <row r="990" spans="1:18">
      <c r="A990">
        <v>3681</v>
      </c>
      <c r="B990" t="s">
        <v>76</v>
      </c>
      <c r="C990">
        <v>0.61</v>
      </c>
      <c r="D990">
        <v>0.495</v>
      </c>
      <c r="E990">
        <v>0.16500000000000001</v>
      </c>
      <c r="F990">
        <v>1.0834999999999999</v>
      </c>
      <c r="G990">
        <v>0.45250000000000001</v>
      </c>
      <c r="H990">
        <v>0.27300000000000002</v>
      </c>
      <c r="I990">
        <v>0.317</v>
      </c>
      <c r="J990">
        <v>9</v>
      </c>
      <c r="K990">
        <v>9</v>
      </c>
      <c r="L990" t="s">
        <v>34</v>
      </c>
      <c r="M990" t="s">
        <v>35</v>
      </c>
      <c r="N990" t="s">
        <v>36</v>
      </c>
      <c r="O990">
        <v>3</v>
      </c>
      <c r="P990" t="s">
        <v>10</v>
      </c>
      <c r="Q990">
        <v>3.6</v>
      </c>
      <c r="R990" s="1" t="str">
        <f t="shared" ref="R990:R1011" si="19">IF(OR(AND(J990 &gt; 15, B990 = "Infant"), AND(D990 = "Male", C990 &gt; 0.75),
    OR(I990 &gt; 0.8, G990 &gt; 0.5), G990 &gt; 1.2),
    "I",
    IF(OR(AND(I990 &lt; 0.4, G990 &lt; 0.4), AND(J990 &gt; 15, D990 = "Male"), AND(J990 &gt; 18, D990 = "Female"), C990 &lt; 0.36),
    "II",
    "III"))</f>
        <v>III</v>
      </c>
    </row>
    <row r="991" spans="1:18">
      <c r="A991">
        <v>2078</v>
      </c>
      <c r="B991" t="s">
        <v>76</v>
      </c>
      <c r="C991">
        <v>0.61</v>
      </c>
      <c r="D991">
        <v>0.43</v>
      </c>
      <c r="E991">
        <v>0.14000000000000001</v>
      </c>
      <c r="F991">
        <v>0.90900000000000003</v>
      </c>
      <c r="G991">
        <v>0.438</v>
      </c>
      <c r="H991">
        <v>0.2</v>
      </c>
      <c r="I991">
        <v>0.22</v>
      </c>
      <c r="J991">
        <v>8</v>
      </c>
      <c r="K991">
        <v>15</v>
      </c>
      <c r="L991" t="s">
        <v>60</v>
      </c>
      <c r="M991" t="s">
        <v>61</v>
      </c>
      <c r="N991" t="s">
        <v>45</v>
      </c>
      <c r="O991">
        <v>3</v>
      </c>
      <c r="P991" t="s">
        <v>10</v>
      </c>
      <c r="Q991">
        <v>3.6</v>
      </c>
      <c r="R991" s="1" t="str">
        <f t="shared" si="19"/>
        <v>III</v>
      </c>
    </row>
    <row r="992" spans="1:18">
      <c r="A992">
        <v>558</v>
      </c>
      <c r="B992" t="s">
        <v>76</v>
      </c>
      <c r="C992">
        <v>0.66</v>
      </c>
      <c r="D992">
        <v>0.5</v>
      </c>
      <c r="E992">
        <v>0.16500000000000001</v>
      </c>
      <c r="F992">
        <v>1.1904999999999999</v>
      </c>
      <c r="G992">
        <v>0.45850000000000002</v>
      </c>
      <c r="H992">
        <v>0.29799999999999999</v>
      </c>
      <c r="I992">
        <v>0.37</v>
      </c>
      <c r="J992">
        <v>12</v>
      </c>
      <c r="K992">
        <v>6</v>
      </c>
      <c r="L992" t="s">
        <v>46</v>
      </c>
      <c r="M992" t="s">
        <v>47</v>
      </c>
      <c r="N992" t="s">
        <v>48</v>
      </c>
      <c r="O992">
        <v>4</v>
      </c>
      <c r="P992" t="s">
        <v>8</v>
      </c>
      <c r="Q992">
        <v>6.1</v>
      </c>
      <c r="R992" s="1" t="str">
        <f t="shared" si="19"/>
        <v>III</v>
      </c>
    </row>
    <row r="993" spans="1:18">
      <c r="A993">
        <v>2166</v>
      </c>
      <c r="B993" t="s">
        <v>76</v>
      </c>
      <c r="C993">
        <v>0.61</v>
      </c>
      <c r="D993">
        <v>0.45</v>
      </c>
      <c r="E993">
        <v>0.16</v>
      </c>
      <c r="F993">
        <v>1.1359999999999999</v>
      </c>
      <c r="G993">
        <v>0.41399999999999998</v>
      </c>
      <c r="H993">
        <v>0.311</v>
      </c>
      <c r="I993">
        <v>0.3</v>
      </c>
      <c r="J993">
        <v>9</v>
      </c>
      <c r="K993">
        <v>2</v>
      </c>
      <c r="L993" t="s">
        <v>49</v>
      </c>
      <c r="M993" t="s">
        <v>50</v>
      </c>
      <c r="N993" t="s">
        <v>51</v>
      </c>
      <c r="O993">
        <v>3</v>
      </c>
      <c r="P993" t="s">
        <v>10</v>
      </c>
      <c r="Q993">
        <v>3.6</v>
      </c>
      <c r="R993" s="1" t="str">
        <f t="shared" si="19"/>
        <v>III</v>
      </c>
    </row>
    <row r="994" spans="1:18">
      <c r="A994">
        <v>1154</v>
      </c>
      <c r="B994" t="s">
        <v>76</v>
      </c>
      <c r="C994">
        <v>0.6</v>
      </c>
      <c r="D994">
        <v>0.47499999999999998</v>
      </c>
      <c r="E994">
        <v>0.16</v>
      </c>
      <c r="F994">
        <v>1.0265</v>
      </c>
      <c r="G994">
        <v>0.48499999999999999</v>
      </c>
      <c r="H994">
        <v>0.2495</v>
      </c>
      <c r="I994">
        <v>0.25650000000000001</v>
      </c>
      <c r="J994">
        <v>9</v>
      </c>
      <c r="K994">
        <v>14</v>
      </c>
      <c r="L994" t="s">
        <v>72</v>
      </c>
      <c r="M994" t="s">
        <v>73</v>
      </c>
      <c r="N994" t="s">
        <v>74</v>
      </c>
      <c r="O994">
        <v>7</v>
      </c>
      <c r="P994" t="s">
        <v>6</v>
      </c>
      <c r="Q994">
        <v>2.5</v>
      </c>
      <c r="R994" s="1" t="str">
        <f t="shared" si="19"/>
        <v>III</v>
      </c>
    </row>
    <row r="995" spans="1:18">
      <c r="A995">
        <v>3882</v>
      </c>
      <c r="B995" t="s">
        <v>76</v>
      </c>
      <c r="C995">
        <v>0.56499999999999995</v>
      </c>
      <c r="D995">
        <v>0.45500000000000002</v>
      </c>
      <c r="E995">
        <v>0.13</v>
      </c>
      <c r="F995">
        <v>1.0580000000000001</v>
      </c>
      <c r="G995">
        <v>0.439</v>
      </c>
      <c r="H995">
        <v>0.26450000000000001</v>
      </c>
      <c r="I995">
        <v>0.3</v>
      </c>
      <c r="J995">
        <v>10</v>
      </c>
      <c r="K995">
        <v>12</v>
      </c>
      <c r="L995" t="s">
        <v>58</v>
      </c>
      <c r="M995" t="s">
        <v>59</v>
      </c>
      <c r="N995" t="s">
        <v>45</v>
      </c>
      <c r="O995">
        <v>6</v>
      </c>
      <c r="P995" t="s">
        <v>7</v>
      </c>
      <c r="Q995">
        <v>14.1</v>
      </c>
      <c r="R995" s="1" t="str">
        <f t="shared" si="19"/>
        <v>III</v>
      </c>
    </row>
    <row r="996" spans="1:18">
      <c r="A996">
        <v>504</v>
      </c>
      <c r="B996" t="s">
        <v>76</v>
      </c>
      <c r="C996">
        <v>0.6</v>
      </c>
      <c r="D996">
        <v>0.505</v>
      </c>
      <c r="E996">
        <v>0.19</v>
      </c>
      <c r="F996">
        <v>1.129</v>
      </c>
      <c r="G996">
        <v>0.4385</v>
      </c>
      <c r="H996">
        <v>0.25600000000000001</v>
      </c>
      <c r="I996">
        <v>0.36</v>
      </c>
      <c r="J996">
        <v>13</v>
      </c>
      <c r="K996">
        <v>15</v>
      </c>
      <c r="L996" t="s">
        <v>60</v>
      </c>
      <c r="M996" t="s">
        <v>61</v>
      </c>
      <c r="N996" t="s">
        <v>45</v>
      </c>
      <c r="O996">
        <v>7</v>
      </c>
      <c r="P996" t="s">
        <v>6</v>
      </c>
      <c r="Q996">
        <v>2.5</v>
      </c>
      <c r="R996" s="1" t="str">
        <f t="shared" si="19"/>
        <v>III</v>
      </c>
    </row>
    <row r="997" spans="1:18">
      <c r="A997">
        <v>1389</v>
      </c>
      <c r="B997" t="s">
        <v>76</v>
      </c>
      <c r="C997">
        <v>0.63</v>
      </c>
      <c r="D997">
        <v>0.495</v>
      </c>
      <c r="E997">
        <v>0.16</v>
      </c>
      <c r="F997">
        <v>1.093</v>
      </c>
      <c r="G997">
        <v>0.497</v>
      </c>
      <c r="H997">
        <v>0.221</v>
      </c>
      <c r="I997">
        <v>0.315</v>
      </c>
      <c r="J997">
        <v>12</v>
      </c>
      <c r="K997">
        <v>5</v>
      </c>
      <c r="L997" t="s">
        <v>67</v>
      </c>
      <c r="M997" t="s">
        <v>68</v>
      </c>
      <c r="N997" t="s">
        <v>69</v>
      </c>
      <c r="O997">
        <v>10</v>
      </c>
      <c r="P997" t="s">
        <v>11</v>
      </c>
      <c r="Q997">
        <v>24.1</v>
      </c>
      <c r="R997" s="1" t="str">
        <f t="shared" si="19"/>
        <v>III</v>
      </c>
    </row>
    <row r="998" spans="1:18">
      <c r="A998">
        <v>2671</v>
      </c>
      <c r="B998" t="s">
        <v>76</v>
      </c>
      <c r="C998">
        <v>0.59</v>
      </c>
      <c r="D998">
        <v>0.46</v>
      </c>
      <c r="E998">
        <v>0.14000000000000001</v>
      </c>
      <c r="F998">
        <v>1.004</v>
      </c>
      <c r="G998">
        <v>0.496</v>
      </c>
      <c r="H998">
        <v>0.2165</v>
      </c>
      <c r="I998">
        <v>0.26</v>
      </c>
      <c r="J998">
        <v>9</v>
      </c>
      <c r="K998">
        <v>10</v>
      </c>
      <c r="L998" t="s">
        <v>37</v>
      </c>
      <c r="M998" t="s">
        <v>38</v>
      </c>
      <c r="N998" t="s">
        <v>39</v>
      </c>
      <c r="O998">
        <v>5</v>
      </c>
      <c r="P998" t="s">
        <v>12</v>
      </c>
      <c r="Q998">
        <v>12.8</v>
      </c>
      <c r="R998" s="1" t="str">
        <f t="shared" si="19"/>
        <v>III</v>
      </c>
    </row>
    <row r="999" spans="1:18">
      <c r="A999">
        <v>2781</v>
      </c>
      <c r="B999" t="s">
        <v>76</v>
      </c>
      <c r="C999">
        <v>0.59</v>
      </c>
      <c r="D999">
        <v>0.47499999999999998</v>
      </c>
      <c r="E999">
        <v>0.14000000000000001</v>
      </c>
      <c r="F999">
        <v>0.97699999999999998</v>
      </c>
      <c r="G999">
        <v>0.46250000000000002</v>
      </c>
      <c r="H999">
        <v>0.20250000000000001</v>
      </c>
      <c r="I999">
        <v>0.27500000000000002</v>
      </c>
      <c r="J999">
        <v>10</v>
      </c>
      <c r="K999">
        <v>5</v>
      </c>
      <c r="L999" t="s">
        <v>67</v>
      </c>
      <c r="M999" t="s">
        <v>68</v>
      </c>
      <c r="N999" t="s">
        <v>69</v>
      </c>
      <c r="O999">
        <v>9</v>
      </c>
      <c r="P999" t="s">
        <v>9</v>
      </c>
      <c r="Q999">
        <v>1.9</v>
      </c>
      <c r="R999" s="1" t="str">
        <f t="shared" si="19"/>
        <v>III</v>
      </c>
    </row>
    <row r="1000" spans="1:18">
      <c r="A1000">
        <v>577</v>
      </c>
      <c r="B1000" t="s">
        <v>76</v>
      </c>
      <c r="C1000">
        <v>0.56000000000000005</v>
      </c>
      <c r="D1000">
        <v>0.42499999999999999</v>
      </c>
      <c r="E1000">
        <v>0.14000000000000001</v>
      </c>
      <c r="F1000">
        <v>0.91749999999999998</v>
      </c>
      <c r="G1000">
        <v>0.40050000000000002</v>
      </c>
      <c r="H1000">
        <v>0.19750000000000001</v>
      </c>
      <c r="I1000">
        <v>0.26</v>
      </c>
      <c r="J1000">
        <v>10</v>
      </c>
      <c r="K1000">
        <v>5</v>
      </c>
      <c r="L1000" t="s">
        <v>67</v>
      </c>
      <c r="M1000" t="s">
        <v>68</v>
      </c>
      <c r="N1000" t="s">
        <v>69</v>
      </c>
      <c r="O1000">
        <v>9</v>
      </c>
      <c r="P1000" t="s">
        <v>9</v>
      </c>
      <c r="Q1000">
        <v>1.9</v>
      </c>
      <c r="R1000" s="1" t="str">
        <f t="shared" si="19"/>
        <v>III</v>
      </c>
    </row>
    <row r="1001" spans="1:18">
      <c r="A1001">
        <v>4096</v>
      </c>
      <c r="B1001" t="s">
        <v>76</v>
      </c>
      <c r="C1001">
        <v>0.63500000000000001</v>
      </c>
      <c r="D1001">
        <v>0.48499999999999999</v>
      </c>
      <c r="E1001">
        <v>0.155</v>
      </c>
      <c r="F1001">
        <v>1.073</v>
      </c>
      <c r="G1001">
        <v>0.46700000000000003</v>
      </c>
      <c r="H1001">
        <v>0.19750000000000001</v>
      </c>
      <c r="I1001">
        <v>0.35</v>
      </c>
      <c r="J1001">
        <v>11</v>
      </c>
      <c r="K1001">
        <v>11</v>
      </c>
      <c r="L1001" t="s">
        <v>65</v>
      </c>
      <c r="M1001" t="s">
        <v>66</v>
      </c>
      <c r="N1001" t="s">
        <v>45</v>
      </c>
      <c r="O1001">
        <v>9</v>
      </c>
      <c r="P1001" t="s">
        <v>9</v>
      </c>
      <c r="Q1001">
        <v>1.9</v>
      </c>
      <c r="R1001" s="1" t="str">
        <f t="shared" si="19"/>
        <v>III</v>
      </c>
    </row>
    <row r="1002" spans="1:18">
      <c r="A1002">
        <v>3459</v>
      </c>
      <c r="B1002" t="s">
        <v>76</v>
      </c>
      <c r="C1002">
        <v>0.61</v>
      </c>
      <c r="D1002">
        <v>0.47</v>
      </c>
      <c r="E1002">
        <v>0.16</v>
      </c>
      <c r="F1002">
        <v>1.0745</v>
      </c>
      <c r="G1002">
        <v>0.49249999999999999</v>
      </c>
      <c r="H1002">
        <v>0.23599999999999999</v>
      </c>
      <c r="I1002">
        <v>0.28999999999999998</v>
      </c>
      <c r="J1002">
        <v>8</v>
      </c>
      <c r="K1002">
        <v>10</v>
      </c>
      <c r="L1002" t="s">
        <v>37</v>
      </c>
      <c r="M1002" t="s">
        <v>38</v>
      </c>
      <c r="N1002" t="s">
        <v>39</v>
      </c>
      <c r="O1002">
        <v>6</v>
      </c>
      <c r="P1002" t="s">
        <v>7</v>
      </c>
      <c r="Q1002">
        <v>14.1</v>
      </c>
      <c r="R1002" s="1" t="str">
        <f t="shared" si="19"/>
        <v>III</v>
      </c>
    </row>
    <row r="1003" spans="1:18">
      <c r="A1003">
        <v>3653</v>
      </c>
      <c r="B1003" t="s">
        <v>76</v>
      </c>
      <c r="C1003">
        <v>0.52500000000000002</v>
      </c>
      <c r="D1003">
        <v>0.42499999999999999</v>
      </c>
      <c r="E1003">
        <v>0.14000000000000001</v>
      </c>
      <c r="F1003">
        <v>0.87350000000000005</v>
      </c>
      <c r="G1003">
        <v>0.42049999999999998</v>
      </c>
      <c r="H1003">
        <v>0.182</v>
      </c>
      <c r="I1003">
        <v>0.2225</v>
      </c>
      <c r="J1003">
        <v>10</v>
      </c>
      <c r="K1003">
        <v>3</v>
      </c>
      <c r="L1003" t="s">
        <v>52</v>
      </c>
      <c r="M1003" t="s">
        <v>53</v>
      </c>
      <c r="N1003" t="s">
        <v>54</v>
      </c>
      <c r="O1003">
        <v>7</v>
      </c>
      <c r="P1003" t="s">
        <v>6</v>
      </c>
      <c r="Q1003">
        <v>2.5</v>
      </c>
      <c r="R1003" s="1" t="str">
        <f t="shared" si="19"/>
        <v>III</v>
      </c>
    </row>
    <row r="1004" spans="1:18">
      <c r="A1004">
        <v>1140</v>
      </c>
      <c r="B1004" t="s">
        <v>76</v>
      </c>
      <c r="C1004">
        <v>0.57499999999999996</v>
      </c>
      <c r="D1004">
        <v>0.47</v>
      </c>
      <c r="E1004">
        <v>0.16500000000000001</v>
      </c>
      <c r="F1004">
        <v>0.86899999999999999</v>
      </c>
      <c r="G1004">
        <v>0.435</v>
      </c>
      <c r="H1004">
        <v>0.19700000000000001</v>
      </c>
      <c r="I1004">
        <v>0.23799999999999999</v>
      </c>
      <c r="J1004">
        <v>9</v>
      </c>
      <c r="K1004">
        <v>5</v>
      </c>
      <c r="L1004" t="s">
        <v>67</v>
      </c>
      <c r="M1004" t="s">
        <v>68</v>
      </c>
      <c r="N1004" t="s">
        <v>69</v>
      </c>
      <c r="O1004">
        <v>8</v>
      </c>
      <c r="P1004" t="s">
        <v>13</v>
      </c>
      <c r="Q1004">
        <v>12.3</v>
      </c>
      <c r="R1004" s="1" t="str">
        <f t="shared" si="19"/>
        <v>III</v>
      </c>
    </row>
    <row r="1005" spans="1:18">
      <c r="A1005">
        <v>2667</v>
      </c>
      <c r="B1005" t="s">
        <v>76</v>
      </c>
      <c r="C1005">
        <v>0.57999999999999996</v>
      </c>
      <c r="D1005">
        <v>0.45500000000000002</v>
      </c>
      <c r="E1005">
        <v>0.13</v>
      </c>
      <c r="F1005">
        <v>0.85199999999999998</v>
      </c>
      <c r="G1005">
        <v>0.41</v>
      </c>
      <c r="H1005">
        <v>0.17249999999999999</v>
      </c>
      <c r="I1005">
        <v>0.22500000000000001</v>
      </c>
      <c r="J1005">
        <v>8</v>
      </c>
      <c r="K1005">
        <v>10</v>
      </c>
      <c r="L1005" t="s">
        <v>37</v>
      </c>
      <c r="M1005" t="s">
        <v>38</v>
      </c>
      <c r="N1005" t="s">
        <v>39</v>
      </c>
      <c r="O1005">
        <v>7</v>
      </c>
      <c r="P1005" t="s">
        <v>6</v>
      </c>
      <c r="Q1005">
        <v>2.5</v>
      </c>
      <c r="R1005" s="1" t="str">
        <f t="shared" si="19"/>
        <v>III</v>
      </c>
    </row>
    <row r="1006" spans="1:18">
      <c r="A1006">
        <v>3916</v>
      </c>
      <c r="B1006" t="s">
        <v>76</v>
      </c>
      <c r="C1006">
        <v>0.56000000000000005</v>
      </c>
      <c r="D1006">
        <v>0.44500000000000001</v>
      </c>
      <c r="E1006">
        <v>0.16500000000000001</v>
      </c>
      <c r="F1006">
        <v>1.0285</v>
      </c>
      <c r="G1006">
        <v>0.45350000000000001</v>
      </c>
      <c r="H1006">
        <v>0.253</v>
      </c>
      <c r="I1006">
        <v>0.27500000000000002</v>
      </c>
      <c r="J1006">
        <v>11</v>
      </c>
      <c r="K1006">
        <v>15</v>
      </c>
      <c r="L1006" t="s">
        <v>60</v>
      </c>
      <c r="M1006" t="s">
        <v>61</v>
      </c>
      <c r="N1006" t="s">
        <v>45</v>
      </c>
      <c r="O1006">
        <v>8</v>
      </c>
      <c r="P1006" t="s">
        <v>13</v>
      </c>
      <c r="Q1006">
        <v>12.3</v>
      </c>
      <c r="R1006" s="1" t="str">
        <f t="shared" si="19"/>
        <v>III</v>
      </c>
    </row>
    <row r="1007" spans="1:18">
      <c r="A1007">
        <v>3165</v>
      </c>
      <c r="B1007" t="s">
        <v>76</v>
      </c>
      <c r="C1007">
        <v>0.64</v>
      </c>
      <c r="D1007">
        <v>0.47499999999999998</v>
      </c>
      <c r="E1007">
        <v>0.19</v>
      </c>
      <c r="F1007">
        <v>1.151</v>
      </c>
      <c r="G1007">
        <v>0.4365</v>
      </c>
      <c r="H1007">
        <v>0.28100000000000003</v>
      </c>
      <c r="I1007">
        <v>0.3805</v>
      </c>
      <c r="J1007">
        <v>13</v>
      </c>
      <c r="K1007">
        <v>6</v>
      </c>
      <c r="L1007" t="s">
        <v>46</v>
      </c>
      <c r="M1007" t="s">
        <v>47</v>
      </c>
      <c r="N1007" t="s">
        <v>48</v>
      </c>
      <c r="O1007">
        <v>3</v>
      </c>
      <c r="P1007" t="s">
        <v>10</v>
      </c>
      <c r="Q1007">
        <v>3.6</v>
      </c>
      <c r="R1007" s="1" t="str">
        <f t="shared" si="19"/>
        <v>III</v>
      </c>
    </row>
    <row r="1008" spans="1:18">
      <c r="A1008">
        <v>485</v>
      </c>
      <c r="B1008" t="s">
        <v>76</v>
      </c>
      <c r="C1008">
        <v>0.63</v>
      </c>
      <c r="D1008">
        <v>0.48</v>
      </c>
      <c r="E1008">
        <v>0.14499999999999999</v>
      </c>
      <c r="F1008">
        <v>1.0115000000000001</v>
      </c>
      <c r="G1008">
        <v>0.42349999999999999</v>
      </c>
      <c r="H1008">
        <v>0.23699999999999999</v>
      </c>
      <c r="I1008">
        <v>0.30499999999999999</v>
      </c>
      <c r="J1008">
        <v>12</v>
      </c>
      <c r="K1008">
        <v>12</v>
      </c>
      <c r="L1008" t="s">
        <v>58</v>
      </c>
      <c r="M1008" t="s">
        <v>59</v>
      </c>
      <c r="N1008" t="s">
        <v>45</v>
      </c>
      <c r="O1008">
        <v>2</v>
      </c>
      <c r="P1008" t="s">
        <v>5</v>
      </c>
      <c r="Q1008">
        <v>18</v>
      </c>
      <c r="R1008" s="1" t="str">
        <f t="shared" si="19"/>
        <v>III</v>
      </c>
    </row>
    <row r="1009" spans="1:18">
      <c r="A1009">
        <v>23</v>
      </c>
      <c r="B1009" t="s">
        <v>76</v>
      </c>
      <c r="C1009">
        <v>0.56499999999999995</v>
      </c>
      <c r="D1009">
        <v>0.44</v>
      </c>
      <c r="E1009">
        <v>0.155</v>
      </c>
      <c r="F1009">
        <v>0.9395</v>
      </c>
      <c r="G1009">
        <v>0.42749999999999999</v>
      </c>
      <c r="H1009">
        <v>0.214</v>
      </c>
      <c r="I1009">
        <v>0.27</v>
      </c>
      <c r="J1009">
        <v>12</v>
      </c>
      <c r="K1009">
        <v>8</v>
      </c>
      <c r="L1009" t="s">
        <v>55</v>
      </c>
      <c r="M1009" t="s">
        <v>56</v>
      </c>
      <c r="N1009" t="s">
        <v>57</v>
      </c>
      <c r="O1009">
        <v>8</v>
      </c>
      <c r="P1009" t="s">
        <v>13</v>
      </c>
      <c r="Q1009">
        <v>12.3</v>
      </c>
      <c r="R1009" s="1" t="str">
        <f t="shared" si="19"/>
        <v>III</v>
      </c>
    </row>
    <row r="1010" spans="1:18">
      <c r="A1010">
        <v>2840</v>
      </c>
      <c r="B1010" t="s">
        <v>76</v>
      </c>
      <c r="C1010">
        <v>0.59</v>
      </c>
      <c r="D1010">
        <v>0.45500000000000002</v>
      </c>
      <c r="E1010">
        <v>0.15</v>
      </c>
      <c r="F1010">
        <v>0.97599999999999998</v>
      </c>
      <c r="G1010">
        <v>0.46500000000000002</v>
      </c>
      <c r="H1010">
        <v>0.20549999999999999</v>
      </c>
      <c r="I1010">
        <v>0.27650000000000002</v>
      </c>
      <c r="J1010">
        <v>10</v>
      </c>
      <c r="K1010">
        <v>10</v>
      </c>
      <c r="L1010" t="s">
        <v>37</v>
      </c>
      <c r="M1010" t="s">
        <v>38</v>
      </c>
      <c r="N1010" t="s">
        <v>39</v>
      </c>
      <c r="O1010">
        <v>8</v>
      </c>
      <c r="P1010" t="s">
        <v>13</v>
      </c>
      <c r="Q1010">
        <v>12.3</v>
      </c>
      <c r="R1010" s="1" t="str">
        <f t="shared" si="19"/>
        <v>III</v>
      </c>
    </row>
    <row r="1011" spans="1:18">
      <c r="A1011">
        <v>1915</v>
      </c>
      <c r="B1011" t="s">
        <v>76</v>
      </c>
      <c r="C1011">
        <v>0.59499999999999997</v>
      </c>
      <c r="D1011">
        <v>0.45500000000000002</v>
      </c>
      <c r="E1011">
        <v>0.15</v>
      </c>
      <c r="F1011">
        <v>0.88600000000000001</v>
      </c>
      <c r="G1011">
        <v>0.43149999999999999</v>
      </c>
      <c r="H1011">
        <v>0.20100000000000001</v>
      </c>
      <c r="I1011">
        <v>0.223</v>
      </c>
      <c r="J1011">
        <v>10</v>
      </c>
      <c r="K1011">
        <v>4</v>
      </c>
      <c r="L1011" t="s">
        <v>40</v>
      </c>
      <c r="M1011" t="s">
        <v>41</v>
      </c>
      <c r="N1011" t="s">
        <v>42</v>
      </c>
      <c r="O1011">
        <v>7</v>
      </c>
      <c r="P1011" t="s">
        <v>6</v>
      </c>
      <c r="Q1011">
        <v>2.5</v>
      </c>
      <c r="R1011" s="1" t="str">
        <f t="shared" si="19"/>
        <v>III</v>
      </c>
    </row>
    <row r="1012" spans="1:18">
      <c r="B1012" t="s">
        <v>76</v>
      </c>
      <c r="R1012" s="1"/>
    </row>
    <row r="1013" spans="1:18">
      <c r="R1013" s="1"/>
    </row>
    <row r="1014" spans="1:18">
      <c r="R1014" s="1"/>
    </row>
    <row r="1015" spans="1:18">
      <c r="R1015" s="1"/>
    </row>
    <row r="1016" spans="1:18">
      <c r="R1016" s="1"/>
    </row>
    <row r="1017" spans="1:18">
      <c r="R1017" s="1"/>
    </row>
    <row r="1018" spans="1:18">
      <c r="R1018" s="1"/>
    </row>
    <row r="1019" spans="1:18">
      <c r="R1019" s="1"/>
    </row>
    <row r="1020" spans="1:18">
      <c r="R1020" s="1"/>
    </row>
    <row r="1021" spans="1:18">
      <c r="R1021" s="1"/>
    </row>
    <row r="1022" spans="1:18">
      <c r="R1022" s="1"/>
    </row>
    <row r="1023" spans="1:18">
      <c r="R1023" s="1"/>
    </row>
    <row r="1024" spans="1:18">
      <c r="R1024" s="1"/>
    </row>
    <row r="1025" spans="18:18">
      <c r="R1025" s="1"/>
    </row>
    <row r="1026" spans="18:18">
      <c r="R1026" s="1"/>
    </row>
    <row r="1027" spans="18:18">
      <c r="R1027" s="1"/>
    </row>
    <row r="1028" spans="18:18">
      <c r="R1028" s="1"/>
    </row>
    <row r="1029" spans="18:18">
      <c r="R1029" s="1"/>
    </row>
    <row r="1030" spans="18:18">
      <c r="R1030" s="1"/>
    </row>
    <row r="1031" spans="18:18">
      <c r="R1031" s="1"/>
    </row>
  </sheetData>
  <sortState xmlns:xlrd2="http://schemas.microsoft.com/office/spreadsheetml/2017/richdata2" ref="A2:R1031">
    <sortCondition ref="R2:R1031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C4E3-06A3-461A-A5C1-F2FA60C30AE7}">
  <dimension ref="A1:Z1002"/>
  <sheetViews>
    <sheetView workbookViewId="0">
      <selection activeCell="AA16" sqref="AA16"/>
    </sheetView>
  </sheetViews>
  <sheetFormatPr defaultRowHeight="15"/>
  <cols>
    <col min="1" max="1" width="13" bestFit="1" customWidth="1"/>
    <col min="2" max="2" width="9.7109375" bestFit="1" customWidth="1"/>
    <col min="4" max="4" width="11.42578125" bestFit="1" customWidth="1"/>
    <col min="6" max="6" width="15.5703125" bestFit="1" customWidth="1"/>
    <col min="7" max="7" width="17.5703125" bestFit="1" customWidth="1"/>
    <col min="8" max="8" width="16.5703125" bestFit="1" customWidth="1"/>
    <col min="9" max="9" width="14.42578125" bestFit="1" customWidth="1"/>
    <col min="11" max="11" width="11.42578125" bestFit="1" customWidth="1"/>
    <col min="12" max="12" width="16.28515625" bestFit="1" customWidth="1"/>
    <col min="13" max="13" width="15.5703125" bestFit="1" customWidth="1"/>
    <col min="14" max="14" width="30.7109375" bestFit="1" customWidth="1"/>
    <col min="16" max="16" width="19.7109375" bestFit="1" customWidth="1"/>
    <col min="17" max="17" width="11.85546875" bestFit="1" customWidth="1"/>
    <col min="18" max="18" width="11.140625" bestFit="1" customWidth="1"/>
    <col min="19" max="19" width="17.42578125" bestFit="1" customWidth="1"/>
    <col min="22" max="22" width="11.28515625" bestFit="1" customWidth="1"/>
    <col min="23" max="23" width="19.28515625" bestFit="1" customWidth="1"/>
    <col min="24" max="24" width="30.7109375" bestFit="1" customWidth="1"/>
    <col min="25" max="25" width="31.28515625" bestFit="1" customWidth="1"/>
    <col min="26" max="26" width="18.85546875" bestFit="1" customWidth="1"/>
  </cols>
  <sheetData>
    <row r="1" spans="1:26">
      <c r="A1" t="s">
        <v>77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79</v>
      </c>
      <c r="Q1" t="s">
        <v>32</v>
      </c>
      <c r="R1" t="s">
        <v>80</v>
      </c>
      <c r="S1" t="s">
        <v>81</v>
      </c>
    </row>
    <row r="2" spans="1:26" ht="15.75" customHeight="1">
      <c r="A2">
        <v>2424</v>
      </c>
      <c r="B2" t="s">
        <v>33</v>
      </c>
      <c r="C2">
        <v>0.41</v>
      </c>
      <c r="D2">
        <v>0.315</v>
      </c>
      <c r="E2">
        <v>0.11</v>
      </c>
      <c r="F2">
        <v>0.32100000000000001</v>
      </c>
      <c r="G2">
        <v>0.1255</v>
      </c>
      <c r="H2">
        <v>6.5500000000000003E-2</v>
      </c>
      <c r="I2">
        <v>9.5000000000000001E-2</v>
      </c>
      <c r="J2">
        <v>10</v>
      </c>
      <c r="K2">
        <v>9</v>
      </c>
      <c r="L2" t="s">
        <v>34</v>
      </c>
      <c r="M2" t="s">
        <v>35</v>
      </c>
      <c r="N2" t="s">
        <v>36</v>
      </c>
      <c r="O2">
        <v>9</v>
      </c>
      <c r="P2" t="s">
        <v>9</v>
      </c>
      <c r="Q2">
        <v>1.9</v>
      </c>
      <c r="R2" t="str">
        <f>IF(OR(AND(J2 &gt; 15, B2 = "Infant"), AND(D2 = "Male", C2 &gt; 0.75),
    OR(I2 &gt; 0.8, G2 &gt; 0.5), G2 &gt; 1.2),
    "I",
    IF(OR(AND(I2 &lt; 0.4, G2 &lt; 0.4), AND(J2 &gt; 15, D2 = "Male"), AND(J2 &gt; 18, D2 = "Female"), C2 &lt; 0.36),
    "II",
    "III"))</f>
        <v>II</v>
      </c>
      <c r="S2">
        <f>IF(OR(AND(J2 &gt; 15, B2 = "Infant"), AND(D2 = "Male", C2 &gt; 0.75), OR(I2 &gt; 0.8, G2 &gt; 0.5), G2 &gt; 1.2), (1 + (1/3)*(C2 - 0.5) + (1/3)*(D2 - 0.4) + (1/3)*(E2 - 0.4)) * F2 * 0.5 * 1.5, IF(OR(AND(I2 &lt; 0.4, G2 &lt; 0.4), AND(J2 &gt; 15, D2 = "Male"), AND(J2 &gt; 18, D2 = "Female"), C2 &lt; 0.36), (1 + (1/3)*(C2 - 0.5) + (1/3)*(D2 - 0.4) + (1/3)*(E2 - 0.4)) * F2 * 0.5 * 0.8, (1 + (1/3)*(C2 - 0.5) + (1/3)*(D2 - 0.4) + (1/3)*(E2 - 0.4)) * F2 * 0.5))</f>
        <v>0.10849800000000001</v>
      </c>
      <c r="X2" s="2" t="s">
        <v>82</v>
      </c>
    </row>
    <row r="3" spans="1:26" ht="15.75" customHeight="1">
      <c r="A3">
        <v>484</v>
      </c>
      <c r="B3" t="s">
        <v>33</v>
      </c>
      <c r="C3">
        <v>0.57999999999999996</v>
      </c>
      <c r="D3">
        <v>0.46</v>
      </c>
      <c r="E3">
        <v>0.15</v>
      </c>
      <c r="F3">
        <v>0.99550000000000005</v>
      </c>
      <c r="G3">
        <v>0.42899999999999999</v>
      </c>
      <c r="H3">
        <v>0.21199999999999999</v>
      </c>
      <c r="I3">
        <v>0.26</v>
      </c>
      <c r="J3">
        <v>19</v>
      </c>
      <c r="K3">
        <v>10</v>
      </c>
      <c r="L3" t="s">
        <v>37</v>
      </c>
      <c r="M3" t="s">
        <v>38</v>
      </c>
      <c r="N3" t="s">
        <v>39</v>
      </c>
      <c r="O3">
        <v>9</v>
      </c>
      <c r="P3" t="s">
        <v>9</v>
      </c>
      <c r="Q3">
        <v>1.9</v>
      </c>
      <c r="R3" t="str">
        <f t="shared" ref="R3:R28" si="0">IF(OR(AND(J3 &gt; 15, B3 = "Infant"), AND(D3 = "Male", C3 &gt; 0.75),
    OR(I3 &gt; 0.8, G3 &gt; 0.5), G3 &gt; 1.2),
    "I",
    IF(OR(AND(I3 &lt; 0.4, G3 &lt; 0.4), AND(J3 &gt; 15, D3 = "Male"), AND(J3 &gt; 18, D3 = "Female"), C3 &lt; 0.36),
    "II",
    "III"))</f>
        <v>III</v>
      </c>
      <c r="S3">
        <f t="shared" ref="S3:S66" si="1">IF(OR(AND(J3 &gt; 15, B3 = "Infant"), AND(D3 = "Male", C3 &gt; 0.75), OR(I3 &gt; 0.8, G3 &gt; 0.5), G3 &gt; 1.2), (1 + (1/3)*(C3 - 0.5) + (1/3)*(D3 - 0.4) + (1/3)*(E3 - 0.4)) * F3 * 0.5 * 1.5, IF(OR(AND(I3 &lt; 0.4, G3 &lt; 0.4), AND(J3 &gt; 15, D3 = "Male"), AND(J3 &gt; 18, D3 = "Female"), C3 &lt; 0.36), (1 + (1/3)*(C3 - 0.5) + (1/3)*(D3 - 0.4) + (1/3)*(E3 - 0.4)) * F3 * 0.5 * 0.8, (1 + (1/3)*(C3 - 0.5) + (1/3)*(D3 - 0.4) + (1/3)*(E3 - 0.4)) * F3 * 0.5))</f>
        <v>0.47949916666666664</v>
      </c>
      <c r="W3" t="s">
        <v>17</v>
      </c>
      <c r="X3" s="3" t="s">
        <v>82</v>
      </c>
      <c r="Y3" t="s">
        <v>83</v>
      </c>
      <c r="Z3" t="s">
        <v>84</v>
      </c>
    </row>
    <row r="4" spans="1:26">
      <c r="A4">
        <v>2948</v>
      </c>
      <c r="B4" t="s">
        <v>33</v>
      </c>
      <c r="C4">
        <v>0.63500000000000001</v>
      </c>
      <c r="D4">
        <v>0.48499999999999999</v>
      </c>
      <c r="E4">
        <v>0.18</v>
      </c>
      <c r="F4">
        <v>1.1795</v>
      </c>
      <c r="G4">
        <v>0.47849999999999998</v>
      </c>
      <c r="H4">
        <v>0.27750000000000002</v>
      </c>
      <c r="I4">
        <v>0.35499999999999998</v>
      </c>
      <c r="J4">
        <v>10</v>
      </c>
      <c r="K4">
        <v>4</v>
      </c>
      <c r="L4" t="s">
        <v>40</v>
      </c>
      <c r="M4" t="s">
        <v>41</v>
      </c>
      <c r="N4" t="s">
        <v>42</v>
      </c>
      <c r="O4">
        <v>7</v>
      </c>
      <c r="P4" t="s">
        <v>6</v>
      </c>
      <c r="Q4">
        <v>2.5</v>
      </c>
      <c r="R4" t="str">
        <f t="shared" si="0"/>
        <v>III</v>
      </c>
      <c r="S4">
        <f t="shared" si="1"/>
        <v>0.58974999999999989</v>
      </c>
      <c r="W4" t="s">
        <v>76</v>
      </c>
      <c r="X4">
        <f>AVERAGEIF(B:B, "M", S:S)</f>
        <v>0.29902257090863449</v>
      </c>
      <c r="Y4">
        <f>_xlfn.MAXIFS(S:S, B:B, "M")</f>
        <v>0.93469000000000002</v>
      </c>
      <c r="Z4">
        <f>_xlfn.MINIFS(S:S, B:B, "M")</f>
        <v>3.3973333333333338E-3</v>
      </c>
    </row>
    <row r="5" spans="1:26">
      <c r="A5">
        <v>2404</v>
      </c>
      <c r="B5" t="s">
        <v>33</v>
      </c>
      <c r="C5">
        <v>0.28999999999999998</v>
      </c>
      <c r="D5">
        <v>0.22500000000000001</v>
      </c>
      <c r="E5">
        <v>0.08</v>
      </c>
      <c r="F5">
        <v>0.1295</v>
      </c>
      <c r="G5">
        <v>5.3499999999999999E-2</v>
      </c>
      <c r="H5">
        <v>2.5999999999999999E-2</v>
      </c>
      <c r="I5">
        <v>4.4999999999999998E-2</v>
      </c>
      <c r="J5">
        <v>10</v>
      </c>
      <c r="K5">
        <v>13</v>
      </c>
      <c r="L5" t="s">
        <v>43</v>
      </c>
      <c r="M5" t="s">
        <v>44</v>
      </c>
      <c r="N5" t="s">
        <v>45</v>
      </c>
      <c r="O5">
        <v>8</v>
      </c>
      <c r="P5" t="s">
        <v>13</v>
      </c>
      <c r="Q5">
        <v>12.3</v>
      </c>
      <c r="R5" t="str">
        <f t="shared" si="0"/>
        <v>II</v>
      </c>
      <c r="S5">
        <f t="shared" si="1"/>
        <v>3.9626999999999996E-2</v>
      </c>
      <c r="W5" t="s">
        <v>33</v>
      </c>
      <c r="X5">
        <f>AVERAGEIF(B:B, "F", S:S)</f>
        <v>0.28832012253193956</v>
      </c>
      <c r="Y5">
        <f>_xlfn.MAXIFS(S:S, B:B, "F")</f>
        <v>0.94087999999999994</v>
      </c>
      <c r="Z5">
        <f>_xlfn.MINIFS(S:S, B:B, "F")</f>
        <v>6.4233333333333338E-3</v>
      </c>
    </row>
    <row r="6" spans="1:26">
      <c r="A6">
        <v>1480</v>
      </c>
      <c r="B6" t="s">
        <v>33</v>
      </c>
      <c r="C6">
        <v>0.57499999999999996</v>
      </c>
      <c r="D6">
        <v>0.46</v>
      </c>
      <c r="E6">
        <v>0.16500000000000001</v>
      </c>
      <c r="F6">
        <v>0.91549999999999998</v>
      </c>
      <c r="G6">
        <v>0.40050000000000002</v>
      </c>
      <c r="H6">
        <v>0.2465</v>
      </c>
      <c r="I6">
        <v>0.23849999999999999</v>
      </c>
      <c r="J6">
        <v>8</v>
      </c>
      <c r="K6">
        <v>6</v>
      </c>
      <c r="L6" t="s">
        <v>46</v>
      </c>
      <c r="M6" t="s">
        <v>47</v>
      </c>
      <c r="N6" t="s">
        <v>48</v>
      </c>
      <c r="O6">
        <v>3</v>
      </c>
      <c r="P6" t="s">
        <v>10</v>
      </c>
      <c r="Q6">
        <v>3.6</v>
      </c>
      <c r="R6" t="str">
        <f t="shared" si="0"/>
        <v>III</v>
      </c>
      <c r="S6">
        <f t="shared" si="1"/>
        <v>0.44249166666666662</v>
      </c>
      <c r="W6" t="s">
        <v>75</v>
      </c>
      <c r="X6">
        <f>AVERAGEIF(B:B, "I", S:S)</f>
        <v>0.27492943037280709</v>
      </c>
      <c r="Y6">
        <f>_xlfn.MAXIFS(S:S, B:B, "I")</f>
        <v>0.92816937500000007</v>
      </c>
      <c r="Z6">
        <f>_xlfn.MINIFS(S:S, B:B, "I")</f>
        <v>2.0586666666666665E-3</v>
      </c>
    </row>
    <row r="7" spans="1:26">
      <c r="A7">
        <v>1150</v>
      </c>
      <c r="B7" t="s">
        <v>33</v>
      </c>
      <c r="C7">
        <v>0.57999999999999996</v>
      </c>
      <c r="D7">
        <v>0.45</v>
      </c>
      <c r="E7">
        <v>0.155</v>
      </c>
      <c r="F7">
        <v>0.93</v>
      </c>
      <c r="G7">
        <v>0.38500000000000001</v>
      </c>
      <c r="H7">
        <v>0.246</v>
      </c>
      <c r="I7">
        <v>0.26500000000000001</v>
      </c>
      <c r="J7">
        <v>9</v>
      </c>
      <c r="K7">
        <v>2</v>
      </c>
      <c r="L7" t="s">
        <v>49</v>
      </c>
      <c r="M7" t="s">
        <v>50</v>
      </c>
      <c r="N7" t="s">
        <v>51</v>
      </c>
      <c r="O7">
        <v>2</v>
      </c>
      <c r="P7" t="s">
        <v>5</v>
      </c>
      <c r="Q7">
        <v>18</v>
      </c>
      <c r="R7" t="str">
        <f t="shared" si="0"/>
        <v>II</v>
      </c>
      <c r="S7">
        <f t="shared" si="1"/>
        <v>0.35774</v>
      </c>
    </row>
    <row r="8" spans="1:26">
      <c r="A8">
        <v>1319</v>
      </c>
      <c r="B8" t="s">
        <v>33</v>
      </c>
      <c r="C8">
        <v>0.55500000000000005</v>
      </c>
      <c r="D8">
        <v>0.43</v>
      </c>
      <c r="E8">
        <v>0.14000000000000001</v>
      </c>
      <c r="F8">
        <v>0.76649999999999996</v>
      </c>
      <c r="G8">
        <v>0.34100000000000003</v>
      </c>
      <c r="H8">
        <v>0.16500000000000001</v>
      </c>
      <c r="I8">
        <v>0.23</v>
      </c>
      <c r="J8">
        <v>9</v>
      </c>
      <c r="K8">
        <v>3</v>
      </c>
      <c r="L8" t="s">
        <v>52</v>
      </c>
      <c r="M8" t="s">
        <v>53</v>
      </c>
      <c r="N8" t="s">
        <v>54</v>
      </c>
      <c r="O8">
        <v>3</v>
      </c>
      <c r="P8" t="s">
        <v>10</v>
      </c>
      <c r="Q8">
        <v>3.6</v>
      </c>
      <c r="R8" t="str">
        <f t="shared" si="0"/>
        <v>II</v>
      </c>
      <c r="S8">
        <f t="shared" si="1"/>
        <v>0.288715</v>
      </c>
    </row>
    <row r="9" spans="1:26">
      <c r="A9">
        <v>2110</v>
      </c>
      <c r="B9" t="s">
        <v>33</v>
      </c>
      <c r="C9">
        <v>0.62</v>
      </c>
      <c r="D9">
        <v>0.49</v>
      </c>
      <c r="E9">
        <v>0.17</v>
      </c>
      <c r="F9">
        <v>1.2104999999999999</v>
      </c>
      <c r="G9">
        <v>0.51849999999999996</v>
      </c>
      <c r="H9">
        <v>0.2555</v>
      </c>
      <c r="I9">
        <v>0.33500000000000002</v>
      </c>
      <c r="J9">
        <v>13</v>
      </c>
      <c r="K9">
        <v>8</v>
      </c>
      <c r="L9" t="s">
        <v>55</v>
      </c>
      <c r="M9" t="s">
        <v>56</v>
      </c>
      <c r="N9" t="s">
        <v>57</v>
      </c>
      <c r="O9">
        <v>8</v>
      </c>
      <c r="P9" t="s">
        <v>13</v>
      </c>
      <c r="Q9">
        <v>12.3</v>
      </c>
      <c r="R9" t="str">
        <f t="shared" si="0"/>
        <v>I</v>
      </c>
      <c r="S9">
        <f t="shared" si="1"/>
        <v>0.90182249999999997</v>
      </c>
    </row>
    <row r="10" spans="1:26">
      <c r="A10">
        <v>1000</v>
      </c>
      <c r="B10" t="s">
        <v>33</v>
      </c>
      <c r="C10">
        <v>0.59499999999999997</v>
      </c>
      <c r="D10">
        <v>0.47</v>
      </c>
      <c r="E10">
        <v>0.155</v>
      </c>
      <c r="F10">
        <v>1.121</v>
      </c>
      <c r="G10">
        <v>0.45150000000000001</v>
      </c>
      <c r="H10">
        <v>0.17799999999999999</v>
      </c>
      <c r="I10">
        <v>0.155</v>
      </c>
      <c r="J10">
        <v>11</v>
      </c>
      <c r="K10">
        <v>12</v>
      </c>
      <c r="L10" t="s">
        <v>58</v>
      </c>
      <c r="M10" t="s">
        <v>59</v>
      </c>
      <c r="N10" t="s">
        <v>45</v>
      </c>
      <c r="O10">
        <v>7</v>
      </c>
      <c r="P10" t="s">
        <v>6</v>
      </c>
      <c r="Q10">
        <v>2.5</v>
      </c>
      <c r="R10" t="str">
        <f t="shared" si="0"/>
        <v>III</v>
      </c>
      <c r="S10">
        <f t="shared" si="1"/>
        <v>0.54555333333333345</v>
      </c>
      <c r="W10" t="s">
        <v>85</v>
      </c>
      <c r="X10" t="s">
        <v>82</v>
      </c>
      <c r="Y10" t="s">
        <v>86</v>
      </c>
      <c r="Z10" t="s">
        <v>87</v>
      </c>
    </row>
    <row r="11" spans="1:26">
      <c r="A11">
        <v>228</v>
      </c>
      <c r="B11" t="s">
        <v>33</v>
      </c>
      <c r="C11">
        <v>0.36499999999999999</v>
      </c>
      <c r="D11">
        <v>0.27</v>
      </c>
      <c r="E11">
        <v>8.5000000000000006E-2</v>
      </c>
      <c r="F11">
        <v>0.20499999999999999</v>
      </c>
      <c r="G11">
        <v>7.8E-2</v>
      </c>
      <c r="H11">
        <v>4.8500000000000001E-2</v>
      </c>
      <c r="I11">
        <v>7.0000000000000007E-2</v>
      </c>
      <c r="J11">
        <v>7</v>
      </c>
      <c r="K11">
        <v>2</v>
      </c>
      <c r="L11" t="s">
        <v>49</v>
      </c>
      <c r="M11" t="s">
        <v>50</v>
      </c>
      <c r="N11" t="s">
        <v>51</v>
      </c>
      <c r="O11">
        <v>4</v>
      </c>
      <c r="P11" t="s">
        <v>8</v>
      </c>
      <c r="Q11">
        <v>6.1</v>
      </c>
      <c r="R11" t="str">
        <f t="shared" si="0"/>
        <v>II</v>
      </c>
      <c r="S11">
        <f t="shared" si="1"/>
        <v>6.6146666666666673E-2</v>
      </c>
      <c r="W11" t="s">
        <v>6</v>
      </c>
      <c r="X11">
        <f>AVERAGEIF(P:P, "Great Lakes", S:S)</f>
        <v>0.31894428260869578</v>
      </c>
      <c r="Y11">
        <f>_xlfn.MAXIFS(S:S, P:P, "Great Lakes")</f>
        <v>0.92802125000000002</v>
      </c>
      <c r="Z11">
        <f>_xlfn.MINIFS(S:S, P:P, "Great Lakes")</f>
        <v>5.6420000000000003E-3</v>
      </c>
    </row>
    <row r="12" spans="1:26">
      <c r="A12">
        <v>3945</v>
      </c>
      <c r="B12" t="s">
        <v>33</v>
      </c>
      <c r="C12">
        <v>0.55000000000000004</v>
      </c>
      <c r="D12">
        <v>0.44</v>
      </c>
      <c r="E12">
        <v>0.16</v>
      </c>
      <c r="F12">
        <v>0.99099999999999999</v>
      </c>
      <c r="G12">
        <v>0.34799999999999998</v>
      </c>
      <c r="H12">
        <v>0.16800000000000001</v>
      </c>
      <c r="I12">
        <v>0.375</v>
      </c>
      <c r="J12">
        <v>20</v>
      </c>
      <c r="K12">
        <v>8</v>
      </c>
      <c r="L12" t="s">
        <v>55</v>
      </c>
      <c r="M12" t="s">
        <v>56</v>
      </c>
      <c r="N12" t="s">
        <v>57</v>
      </c>
      <c r="O12">
        <v>1</v>
      </c>
      <c r="P12" t="s">
        <v>4</v>
      </c>
      <c r="Q12">
        <v>22.1</v>
      </c>
      <c r="R12" t="str">
        <f t="shared" si="0"/>
        <v>II</v>
      </c>
      <c r="S12">
        <f t="shared" si="1"/>
        <v>0.37658000000000003</v>
      </c>
      <c r="W12" t="s">
        <v>88</v>
      </c>
      <c r="X12">
        <f>AVERAGEIF(P:P, "Northeast", S:S)</f>
        <v>0.28218259048821559</v>
      </c>
      <c r="Y12">
        <f>_xlfn.MAXIFS(S:S, P:P, "Northeast")</f>
        <v>0.94087999999999994</v>
      </c>
      <c r="Z12">
        <f>_xlfn.MINIFS(S:S, P:P, "Northeast")</f>
        <v>5.1870000000000006E-3</v>
      </c>
    </row>
    <row r="13" spans="1:26">
      <c r="A13">
        <v>1308</v>
      </c>
      <c r="B13" t="s">
        <v>33</v>
      </c>
      <c r="C13">
        <v>0.54500000000000004</v>
      </c>
      <c r="D13">
        <v>0.435</v>
      </c>
      <c r="E13">
        <v>0.13500000000000001</v>
      </c>
      <c r="F13">
        <v>0.77149999999999996</v>
      </c>
      <c r="G13">
        <v>0.372</v>
      </c>
      <c r="H13">
        <v>0.14799999999999999</v>
      </c>
      <c r="I13">
        <v>0.22700000000000001</v>
      </c>
      <c r="J13">
        <v>8</v>
      </c>
      <c r="K13">
        <v>12</v>
      </c>
      <c r="L13" t="s">
        <v>58</v>
      </c>
      <c r="M13" t="s">
        <v>59</v>
      </c>
      <c r="N13" t="s">
        <v>45</v>
      </c>
      <c r="O13">
        <v>5</v>
      </c>
      <c r="P13" t="s">
        <v>12</v>
      </c>
      <c r="Q13">
        <v>12.8</v>
      </c>
      <c r="R13" t="str">
        <f t="shared" si="0"/>
        <v>II</v>
      </c>
      <c r="S13">
        <f t="shared" si="1"/>
        <v>0.28956966666666667</v>
      </c>
      <c r="W13" t="s">
        <v>11</v>
      </c>
      <c r="X13">
        <f>AVERAGEIF(P:P, "Pacific", S:S)</f>
        <v>0.30518237289562289</v>
      </c>
      <c r="Y13">
        <f>_xlfn.MAXIFS(S:S, P:P, "Pacific")</f>
        <v>0.91331812499999987</v>
      </c>
      <c r="Z13">
        <f>_xlfn.MINIFS(S:S, P:P, "Pacific")</f>
        <v>4.1436666666666662E-3</v>
      </c>
    </row>
    <row r="14" spans="1:26">
      <c r="A14">
        <v>2895</v>
      </c>
      <c r="B14" t="s">
        <v>33</v>
      </c>
      <c r="C14">
        <v>0.54</v>
      </c>
      <c r="D14">
        <v>0.42499999999999999</v>
      </c>
      <c r="E14">
        <v>0.13</v>
      </c>
      <c r="F14">
        <v>0.8155</v>
      </c>
      <c r="G14">
        <v>0.36749999999999999</v>
      </c>
      <c r="H14">
        <v>0.13650000000000001</v>
      </c>
      <c r="I14">
        <v>0.246</v>
      </c>
      <c r="J14">
        <v>11</v>
      </c>
      <c r="K14">
        <v>8</v>
      </c>
      <c r="L14" t="s">
        <v>55</v>
      </c>
      <c r="M14" t="s">
        <v>56</v>
      </c>
      <c r="N14" t="s">
        <v>57</v>
      </c>
      <c r="O14">
        <v>4</v>
      </c>
      <c r="P14" t="s">
        <v>8</v>
      </c>
      <c r="Q14">
        <v>6.1</v>
      </c>
      <c r="R14" t="str">
        <f t="shared" si="0"/>
        <v>II</v>
      </c>
      <c r="S14">
        <f t="shared" si="1"/>
        <v>0.30390966666666674</v>
      </c>
      <c r="W14" t="s">
        <v>4</v>
      </c>
      <c r="X14">
        <f>AVERAGEIF(P:P, "Florida Atlantic Coast", S:S)</f>
        <v>0.29686698897058822</v>
      </c>
      <c r="Y14" s="4">
        <f>_xlfn.MAXIFS(S:S, P:P, "Florida Atlantic Coast")</f>
        <v>0.92816937500000007</v>
      </c>
      <c r="Z14">
        <f>_xlfn.MINIFS(S:S, P:P, "Florida Atlantic Coast")</f>
        <v>1.0384666666666667E-2</v>
      </c>
    </row>
    <row r="15" spans="1:26">
      <c r="A15">
        <v>1483</v>
      </c>
      <c r="B15" t="s">
        <v>33</v>
      </c>
      <c r="C15">
        <v>0.58499999999999996</v>
      </c>
      <c r="D15">
        <v>0.45500000000000002</v>
      </c>
      <c r="E15">
        <v>0.15</v>
      </c>
      <c r="F15">
        <v>0.90600000000000003</v>
      </c>
      <c r="G15">
        <v>0.40949999999999998</v>
      </c>
      <c r="H15">
        <v>0.23</v>
      </c>
      <c r="I15">
        <v>0.23350000000000001</v>
      </c>
      <c r="J15">
        <v>8</v>
      </c>
      <c r="K15">
        <v>15</v>
      </c>
      <c r="L15" t="s">
        <v>60</v>
      </c>
      <c r="M15" t="s">
        <v>61</v>
      </c>
      <c r="N15" t="s">
        <v>45</v>
      </c>
      <c r="O15">
        <v>1</v>
      </c>
      <c r="P15" t="s">
        <v>4</v>
      </c>
      <c r="Q15">
        <v>22.1</v>
      </c>
      <c r="R15" t="str">
        <f t="shared" si="0"/>
        <v>III</v>
      </c>
      <c r="S15">
        <f t="shared" si="1"/>
        <v>0.43639</v>
      </c>
      <c r="W15" t="s">
        <v>8</v>
      </c>
      <c r="X15">
        <f>AVERAGEIF(P:P, "Mid-Atlantic", S:S)</f>
        <v>0.28590317587209307</v>
      </c>
      <c r="Y15">
        <f>_xlfn.MAXIFS(S:S, P:P, "Mid-Atlantic")</f>
        <v>0.9263587499999999</v>
      </c>
      <c r="Z15">
        <f>_xlfn.MINIFS(S:S, P:P, "Mid-Atlantic")</f>
        <v>1.6873999999999997E-2</v>
      </c>
    </row>
    <row r="16" spans="1:26">
      <c r="A16">
        <v>3411</v>
      </c>
      <c r="B16" t="s">
        <v>33</v>
      </c>
      <c r="C16">
        <v>0.41499999999999998</v>
      </c>
      <c r="D16">
        <v>0.31</v>
      </c>
      <c r="E16">
        <v>0.105</v>
      </c>
      <c r="F16">
        <v>0.35949999999999999</v>
      </c>
      <c r="G16">
        <v>0.16700000000000001</v>
      </c>
      <c r="H16">
        <v>8.3000000000000004E-2</v>
      </c>
      <c r="I16">
        <v>9.1499999999999998E-2</v>
      </c>
      <c r="J16">
        <v>6</v>
      </c>
      <c r="K16">
        <v>7</v>
      </c>
      <c r="L16" t="s">
        <v>62</v>
      </c>
      <c r="M16" t="s">
        <v>63</v>
      </c>
      <c r="N16" t="s">
        <v>64</v>
      </c>
      <c r="O16">
        <v>9</v>
      </c>
      <c r="P16" t="s">
        <v>9</v>
      </c>
      <c r="Q16">
        <v>1.9</v>
      </c>
      <c r="R16" t="str">
        <f t="shared" si="0"/>
        <v>II</v>
      </c>
      <c r="S16">
        <f t="shared" si="1"/>
        <v>0.12127133333333331</v>
      </c>
      <c r="W16" t="s">
        <v>13</v>
      </c>
      <c r="X16">
        <f>AVERAGEIF(P:P, "West Coast", S:S)</f>
        <v>0.27080616581632633</v>
      </c>
      <c r="Y16">
        <f>_xlfn.MAXIFS(S:S, P:P, "West Coast")</f>
        <v>0.90182249999999997</v>
      </c>
      <c r="Z16">
        <f>_xlfn.MINIFS(S:S, P:P, "West Coast")</f>
        <v>6.4233333333333338E-3</v>
      </c>
    </row>
    <row r="17" spans="1:26">
      <c r="A17">
        <v>2764</v>
      </c>
      <c r="B17" t="s">
        <v>33</v>
      </c>
      <c r="C17">
        <v>0.55000000000000004</v>
      </c>
      <c r="D17">
        <v>0.42499999999999999</v>
      </c>
      <c r="E17">
        <v>0.13500000000000001</v>
      </c>
      <c r="F17">
        <v>0.65600000000000003</v>
      </c>
      <c r="G17">
        <v>0.25700000000000001</v>
      </c>
      <c r="H17">
        <v>0.17</v>
      </c>
      <c r="I17">
        <v>0.20300000000000001</v>
      </c>
      <c r="J17">
        <v>10</v>
      </c>
      <c r="K17">
        <v>11</v>
      </c>
      <c r="L17" t="s">
        <v>65</v>
      </c>
      <c r="M17" t="s">
        <v>66</v>
      </c>
      <c r="N17" t="s">
        <v>45</v>
      </c>
      <c r="O17">
        <v>1</v>
      </c>
      <c r="P17" t="s">
        <v>4</v>
      </c>
      <c r="Q17">
        <v>22.1</v>
      </c>
      <c r="R17" t="str">
        <f t="shared" si="0"/>
        <v>II</v>
      </c>
      <c r="S17">
        <f t="shared" si="1"/>
        <v>0.24578133333333332</v>
      </c>
      <c r="W17" t="s">
        <v>9</v>
      </c>
      <c r="X17">
        <f>AVERAGEIF(P:P, "North Pacific", S:S)</f>
        <v>0.30460749124999997</v>
      </c>
      <c r="Y17">
        <f>_xlfn.MAXIFS(S:S, P:P, "North Pacific")</f>
        <v>0.91001749999999992</v>
      </c>
      <c r="Z17">
        <f>_xlfn.MINIFS(S:S, P:P, "North Pacific")</f>
        <v>1.7262666666666669E-2</v>
      </c>
    </row>
    <row r="18" spans="1:26">
      <c r="A18">
        <v>3342</v>
      </c>
      <c r="B18" t="s">
        <v>33</v>
      </c>
      <c r="C18">
        <v>0.49</v>
      </c>
      <c r="D18">
        <v>0.39</v>
      </c>
      <c r="E18">
        <v>0.13500000000000001</v>
      </c>
      <c r="F18">
        <v>0.59</v>
      </c>
      <c r="G18">
        <v>0.215</v>
      </c>
      <c r="H18">
        <v>0.125</v>
      </c>
      <c r="I18">
        <v>0.1845</v>
      </c>
      <c r="J18">
        <v>12</v>
      </c>
      <c r="K18">
        <v>3</v>
      </c>
      <c r="L18" t="s">
        <v>52</v>
      </c>
      <c r="M18" t="s">
        <v>53</v>
      </c>
      <c r="N18" t="s">
        <v>54</v>
      </c>
      <c r="O18">
        <v>6</v>
      </c>
      <c r="P18" t="s">
        <v>7</v>
      </c>
      <c r="Q18">
        <v>14.1</v>
      </c>
      <c r="R18" t="str">
        <f t="shared" si="0"/>
        <v>II</v>
      </c>
      <c r="S18">
        <f t="shared" si="1"/>
        <v>0.21358000000000002</v>
      </c>
      <c r="W18" t="s">
        <v>12</v>
      </c>
      <c r="X18">
        <f>AVERAGEIF(P:P, "Southeast", S:S)</f>
        <v>0.25856820763305327</v>
      </c>
      <c r="Y18">
        <f>_xlfn.MAXIFS(S:S, P:P, "Southeast")</f>
        <v>0.93469000000000002</v>
      </c>
      <c r="Z18">
        <f>_xlfn.MINIFS(S:S, P:P, "Southeast")</f>
        <v>3.8279999999999998E-3</v>
      </c>
    </row>
    <row r="19" spans="1:26">
      <c r="A19">
        <v>3347</v>
      </c>
      <c r="B19" t="s">
        <v>33</v>
      </c>
      <c r="C19">
        <v>0.47</v>
      </c>
      <c r="D19">
        <v>0.4</v>
      </c>
      <c r="E19">
        <v>0.16</v>
      </c>
      <c r="F19">
        <v>0.51</v>
      </c>
      <c r="G19">
        <v>0.1615</v>
      </c>
      <c r="H19">
        <v>7.2999999999999995E-2</v>
      </c>
      <c r="I19">
        <v>0.19800000000000001</v>
      </c>
      <c r="J19">
        <v>14</v>
      </c>
      <c r="K19">
        <v>10</v>
      </c>
      <c r="L19" t="s">
        <v>37</v>
      </c>
      <c r="M19" t="s">
        <v>38</v>
      </c>
      <c r="N19" t="s">
        <v>39</v>
      </c>
      <c r="O19">
        <v>9</v>
      </c>
      <c r="P19" t="s">
        <v>9</v>
      </c>
      <c r="Q19">
        <v>1.9</v>
      </c>
      <c r="R19" t="str">
        <f t="shared" si="0"/>
        <v>II</v>
      </c>
      <c r="S19">
        <f t="shared" si="1"/>
        <v>0.18564000000000003</v>
      </c>
      <c r="W19" t="s">
        <v>5</v>
      </c>
      <c r="X19">
        <f>AVERAGEIF(P:P, "Florida Gulf Coast", S:S)</f>
        <v>0.25577131028368777</v>
      </c>
      <c r="Y19">
        <f>_xlfn.MAXIFS(S:S, P:P, "Florida Gulf Coast")</f>
        <v>0.92882749999999992</v>
      </c>
      <c r="Z19">
        <f>_xlfn.MINIFS(S:S, P:P, "Florida Gulf Coast")</f>
        <v>7.6159999999999995E-3</v>
      </c>
    </row>
    <row r="20" spans="1:26">
      <c r="A20">
        <v>1855</v>
      </c>
      <c r="B20" t="s">
        <v>33</v>
      </c>
      <c r="C20">
        <v>0.495</v>
      </c>
      <c r="D20">
        <v>0.375</v>
      </c>
      <c r="E20">
        <v>0.14000000000000001</v>
      </c>
      <c r="F20">
        <v>0.49399999999999999</v>
      </c>
      <c r="G20">
        <v>0.18099999999999999</v>
      </c>
      <c r="H20">
        <v>9.7500000000000003E-2</v>
      </c>
      <c r="I20">
        <v>0.191</v>
      </c>
      <c r="J20">
        <v>8</v>
      </c>
      <c r="K20">
        <v>2</v>
      </c>
      <c r="L20" t="s">
        <v>49</v>
      </c>
      <c r="M20" t="s">
        <v>50</v>
      </c>
      <c r="N20" t="s">
        <v>51</v>
      </c>
      <c r="O20">
        <v>6</v>
      </c>
      <c r="P20" t="s">
        <v>7</v>
      </c>
      <c r="Q20">
        <v>14.1</v>
      </c>
      <c r="R20" t="str">
        <f t="shared" si="0"/>
        <v>II</v>
      </c>
      <c r="S20">
        <f t="shared" si="1"/>
        <v>0.17849866666666669</v>
      </c>
      <c r="W20" t="s">
        <v>89</v>
      </c>
      <c r="X20">
        <v>0.98787800000000003</v>
      </c>
      <c r="Y20">
        <f>_xlfn.MAXIFS(S:S, P:P, "Great Lakes")</f>
        <v>0.92802125000000002</v>
      </c>
      <c r="Z20">
        <f>_xlfn.MINIFS(S:S, P:P, "Great Lakes")</f>
        <v>5.6420000000000003E-3</v>
      </c>
    </row>
    <row r="21" spans="1:26">
      <c r="A21">
        <v>3194</v>
      </c>
      <c r="B21" t="s">
        <v>33</v>
      </c>
      <c r="C21">
        <v>0.56499999999999995</v>
      </c>
      <c r="D21">
        <v>0.435</v>
      </c>
      <c r="E21">
        <v>0.185</v>
      </c>
      <c r="F21">
        <v>1.032</v>
      </c>
      <c r="G21">
        <v>0.35399999999999998</v>
      </c>
      <c r="H21">
        <v>0.20449999999999999</v>
      </c>
      <c r="I21">
        <v>0.31</v>
      </c>
      <c r="J21">
        <v>20</v>
      </c>
      <c r="K21">
        <v>5</v>
      </c>
      <c r="L21" t="s">
        <v>67</v>
      </c>
      <c r="M21" t="s">
        <v>68</v>
      </c>
      <c r="N21" t="s">
        <v>69</v>
      </c>
      <c r="O21">
        <v>9</v>
      </c>
      <c r="P21" t="s">
        <v>9</v>
      </c>
      <c r="Q21">
        <v>1.9</v>
      </c>
      <c r="R21" t="str">
        <f t="shared" si="0"/>
        <v>II</v>
      </c>
      <c r="S21">
        <f t="shared" si="1"/>
        <v>0.39697600000000005</v>
      </c>
    </row>
    <row r="22" spans="1:26">
      <c r="A22">
        <v>628</v>
      </c>
      <c r="B22" t="s">
        <v>33</v>
      </c>
      <c r="C22">
        <v>0.38</v>
      </c>
      <c r="D22">
        <v>0.30499999999999999</v>
      </c>
      <c r="E22">
        <v>9.5000000000000001E-2</v>
      </c>
      <c r="F22">
        <v>0.28149999999999997</v>
      </c>
      <c r="G22">
        <v>0.1255</v>
      </c>
      <c r="H22">
        <v>5.2499999999999998E-2</v>
      </c>
      <c r="I22">
        <v>0.09</v>
      </c>
      <c r="J22">
        <v>8</v>
      </c>
      <c r="K22">
        <v>15</v>
      </c>
      <c r="L22" t="s">
        <v>60</v>
      </c>
      <c r="M22" t="s">
        <v>61</v>
      </c>
      <c r="N22" t="s">
        <v>45</v>
      </c>
      <c r="O22">
        <v>10</v>
      </c>
      <c r="P22" t="s">
        <v>11</v>
      </c>
      <c r="Q22">
        <v>24.1</v>
      </c>
      <c r="R22" t="str">
        <f t="shared" si="0"/>
        <v>II</v>
      </c>
      <c r="S22">
        <f t="shared" si="1"/>
        <v>9.3082666666666647E-2</v>
      </c>
    </row>
    <row r="23" spans="1:26">
      <c r="A23">
        <v>1671</v>
      </c>
      <c r="B23" t="s">
        <v>33</v>
      </c>
      <c r="C23">
        <v>0.61</v>
      </c>
      <c r="D23">
        <v>0.48499999999999999</v>
      </c>
      <c r="E23">
        <v>0.15</v>
      </c>
      <c r="F23">
        <v>1.2404999999999999</v>
      </c>
      <c r="G23">
        <v>0.60250000000000004</v>
      </c>
      <c r="H23">
        <v>0.29149999999999998</v>
      </c>
      <c r="I23">
        <v>0.3085</v>
      </c>
      <c r="J23">
        <v>12</v>
      </c>
      <c r="K23">
        <v>13</v>
      </c>
      <c r="L23" t="s">
        <v>43</v>
      </c>
      <c r="M23" t="s">
        <v>44</v>
      </c>
      <c r="N23" t="s">
        <v>45</v>
      </c>
      <c r="O23">
        <v>10</v>
      </c>
      <c r="P23" t="s">
        <v>11</v>
      </c>
      <c r="Q23">
        <v>24.1</v>
      </c>
      <c r="R23" t="str">
        <f t="shared" si="0"/>
        <v>I</v>
      </c>
      <c r="S23">
        <f t="shared" si="1"/>
        <v>0.91331812499999987</v>
      </c>
    </row>
    <row r="24" spans="1:26">
      <c r="A24">
        <v>387</v>
      </c>
      <c r="B24" t="s">
        <v>33</v>
      </c>
      <c r="C24">
        <v>0.54</v>
      </c>
      <c r="D24">
        <v>0.42</v>
      </c>
      <c r="E24">
        <v>0.155</v>
      </c>
      <c r="F24">
        <v>0.73850000000000005</v>
      </c>
      <c r="G24">
        <v>0.35149999999999998</v>
      </c>
      <c r="H24">
        <v>0.152</v>
      </c>
      <c r="I24">
        <v>0.215</v>
      </c>
      <c r="J24">
        <v>12</v>
      </c>
      <c r="K24">
        <v>1</v>
      </c>
      <c r="L24" t="s">
        <v>70</v>
      </c>
      <c r="M24" t="s">
        <v>71</v>
      </c>
      <c r="N24" t="s">
        <v>45</v>
      </c>
      <c r="O24">
        <v>6</v>
      </c>
      <c r="P24" t="s">
        <v>7</v>
      </c>
      <c r="Q24">
        <v>14.1</v>
      </c>
      <c r="R24" t="str">
        <f t="shared" si="0"/>
        <v>II</v>
      </c>
      <c r="S24">
        <f t="shared" si="1"/>
        <v>0.27718366666666666</v>
      </c>
    </row>
    <row r="25" spans="1:26">
      <c r="A25">
        <v>3034</v>
      </c>
      <c r="B25" t="s">
        <v>33</v>
      </c>
      <c r="C25">
        <v>0.53500000000000003</v>
      </c>
      <c r="D25">
        <v>0.41</v>
      </c>
      <c r="E25">
        <v>0.12</v>
      </c>
      <c r="F25">
        <v>0.6835</v>
      </c>
      <c r="G25">
        <v>0.3125</v>
      </c>
      <c r="H25">
        <v>0.16550000000000001</v>
      </c>
      <c r="I25">
        <v>0.159</v>
      </c>
      <c r="J25">
        <v>8</v>
      </c>
      <c r="K25">
        <v>11</v>
      </c>
      <c r="L25" t="s">
        <v>65</v>
      </c>
      <c r="M25" t="s">
        <v>66</v>
      </c>
      <c r="N25" t="s">
        <v>45</v>
      </c>
      <c r="O25">
        <v>4</v>
      </c>
      <c r="P25" t="s">
        <v>8</v>
      </c>
      <c r="Q25">
        <v>6.1</v>
      </c>
      <c r="R25" t="str">
        <f t="shared" si="0"/>
        <v>II</v>
      </c>
      <c r="S25">
        <f t="shared" si="1"/>
        <v>0.25198366666666672</v>
      </c>
    </row>
    <row r="26" spans="1:26">
      <c r="A26">
        <v>3032</v>
      </c>
      <c r="B26" t="s">
        <v>33</v>
      </c>
      <c r="C26">
        <v>0.52500000000000002</v>
      </c>
      <c r="D26">
        <v>0.4</v>
      </c>
      <c r="E26">
        <v>0.11</v>
      </c>
      <c r="F26">
        <v>0.62749999999999995</v>
      </c>
      <c r="G26">
        <v>0.30149999999999999</v>
      </c>
      <c r="H26">
        <v>0.126</v>
      </c>
      <c r="I26">
        <v>0.18</v>
      </c>
      <c r="J26">
        <v>8</v>
      </c>
      <c r="K26">
        <v>3</v>
      </c>
      <c r="L26" t="s">
        <v>52</v>
      </c>
      <c r="M26" t="s">
        <v>53</v>
      </c>
      <c r="N26" t="s">
        <v>54</v>
      </c>
      <c r="O26">
        <v>3</v>
      </c>
      <c r="P26" t="s">
        <v>10</v>
      </c>
      <c r="Q26">
        <v>3.6</v>
      </c>
      <c r="R26" t="str">
        <f t="shared" si="0"/>
        <v>II</v>
      </c>
      <c r="S26">
        <f t="shared" si="1"/>
        <v>0.22882833333333333</v>
      </c>
    </row>
    <row r="27" spans="1:26">
      <c r="A27">
        <v>2224</v>
      </c>
      <c r="B27" t="s">
        <v>33</v>
      </c>
      <c r="C27">
        <v>0.55500000000000005</v>
      </c>
      <c r="D27">
        <v>0.45500000000000002</v>
      </c>
      <c r="E27">
        <v>0.18</v>
      </c>
      <c r="F27">
        <v>0.95799999999999996</v>
      </c>
      <c r="G27">
        <v>0.29599999999999999</v>
      </c>
      <c r="H27">
        <v>0.19500000000000001</v>
      </c>
      <c r="I27">
        <v>0.39</v>
      </c>
      <c r="J27">
        <v>14</v>
      </c>
      <c r="K27">
        <v>8</v>
      </c>
      <c r="L27" t="s">
        <v>55</v>
      </c>
      <c r="M27" t="s">
        <v>56</v>
      </c>
      <c r="N27" t="s">
        <v>57</v>
      </c>
      <c r="O27">
        <v>7</v>
      </c>
      <c r="P27" t="s">
        <v>6</v>
      </c>
      <c r="Q27">
        <v>2.5</v>
      </c>
      <c r="R27" t="str">
        <f t="shared" si="0"/>
        <v>II</v>
      </c>
      <c r="S27">
        <f t="shared" si="1"/>
        <v>0.36914933333333333</v>
      </c>
    </row>
    <row r="28" spans="1:26">
      <c r="A28">
        <v>953</v>
      </c>
      <c r="B28" t="s">
        <v>33</v>
      </c>
      <c r="C28">
        <v>0.48</v>
      </c>
      <c r="D28">
        <v>0.36499999999999999</v>
      </c>
      <c r="E28">
        <v>0.12</v>
      </c>
      <c r="F28">
        <v>0.60150000000000003</v>
      </c>
      <c r="G28">
        <v>0.312</v>
      </c>
      <c r="H28">
        <v>0.11700000000000001</v>
      </c>
      <c r="I28">
        <v>0.14000000000000001</v>
      </c>
      <c r="J28">
        <v>7</v>
      </c>
      <c r="K28">
        <v>6</v>
      </c>
      <c r="L28" t="s">
        <v>46</v>
      </c>
      <c r="M28" t="s">
        <v>47</v>
      </c>
      <c r="N28" t="s">
        <v>48</v>
      </c>
      <c r="O28">
        <v>4</v>
      </c>
      <c r="P28" t="s">
        <v>8</v>
      </c>
      <c r="Q28">
        <v>6.1</v>
      </c>
      <c r="R28" t="str">
        <f t="shared" si="0"/>
        <v>II</v>
      </c>
      <c r="S28">
        <f t="shared" si="1"/>
        <v>0.21373300000000001</v>
      </c>
    </row>
    <row r="29" spans="1:26">
      <c r="A29">
        <v>2649</v>
      </c>
      <c r="B29" t="s">
        <v>33</v>
      </c>
      <c r="C29">
        <v>0.5</v>
      </c>
      <c r="D29">
        <v>0.38</v>
      </c>
      <c r="E29">
        <v>0.12</v>
      </c>
      <c r="F29">
        <v>0.57650000000000001</v>
      </c>
      <c r="G29">
        <v>0.27300000000000002</v>
      </c>
      <c r="H29">
        <v>0.13500000000000001</v>
      </c>
      <c r="I29">
        <v>0.14499999999999999</v>
      </c>
      <c r="J29">
        <v>9</v>
      </c>
      <c r="K29">
        <v>12</v>
      </c>
      <c r="L29" t="s">
        <v>58</v>
      </c>
      <c r="M29" t="s">
        <v>59</v>
      </c>
      <c r="N29" t="s">
        <v>45</v>
      </c>
      <c r="O29">
        <v>7</v>
      </c>
      <c r="P29" t="s">
        <v>6</v>
      </c>
      <c r="Q29">
        <v>2.5</v>
      </c>
      <c r="R29" t="str">
        <f t="shared" ref="R29:R66" si="2">IF(OR(AND(J29 &gt; 15, B29 = "Infant"), AND(D29 = "Male", C29 &gt; 0.75),
    OR(I29 &gt; 0.8, G29 &gt; 0.5), G29 &gt; 1.2),
    "I",
    IF(OR(AND(I29 &lt; 0.4, G29 &lt; 0.4), AND(J29 &gt; 15, D29 = "Male"), AND(J29 &gt; 18, D29 = "Female"), C29 &lt; 0.36),
    "II",
    "III"))</f>
        <v>II</v>
      </c>
      <c r="S29">
        <f t="shared" si="1"/>
        <v>0.20753999999999997</v>
      </c>
    </row>
    <row r="30" spans="1:26">
      <c r="A30">
        <v>932</v>
      </c>
      <c r="B30" t="s">
        <v>33</v>
      </c>
      <c r="C30">
        <v>0.44500000000000001</v>
      </c>
      <c r="D30">
        <v>0.33500000000000002</v>
      </c>
      <c r="E30">
        <v>0.11</v>
      </c>
      <c r="F30">
        <v>0.4355</v>
      </c>
      <c r="G30">
        <v>0.20250000000000001</v>
      </c>
      <c r="H30">
        <v>0.1095</v>
      </c>
      <c r="I30">
        <v>0.1195</v>
      </c>
      <c r="J30">
        <v>6</v>
      </c>
      <c r="K30">
        <v>15</v>
      </c>
      <c r="L30" t="s">
        <v>60</v>
      </c>
      <c r="M30" t="s">
        <v>61</v>
      </c>
      <c r="N30" t="s">
        <v>45</v>
      </c>
      <c r="O30">
        <v>5</v>
      </c>
      <c r="P30" t="s">
        <v>12</v>
      </c>
      <c r="Q30">
        <v>12.8</v>
      </c>
      <c r="R30" t="str">
        <f t="shared" si="2"/>
        <v>II</v>
      </c>
      <c r="S30">
        <f t="shared" si="1"/>
        <v>0.15039266666666667</v>
      </c>
    </row>
    <row r="31" spans="1:26">
      <c r="A31">
        <v>3844</v>
      </c>
      <c r="B31" t="s">
        <v>33</v>
      </c>
      <c r="C31">
        <v>0.57499999999999996</v>
      </c>
      <c r="D31">
        <v>0.45</v>
      </c>
      <c r="E31">
        <v>0.16</v>
      </c>
      <c r="F31">
        <v>0.95499999999999996</v>
      </c>
      <c r="G31">
        <v>0.44</v>
      </c>
      <c r="H31">
        <v>0.16850000000000001</v>
      </c>
      <c r="I31">
        <v>0.27</v>
      </c>
      <c r="J31">
        <v>16</v>
      </c>
      <c r="K31">
        <v>3</v>
      </c>
      <c r="L31" t="s">
        <v>52</v>
      </c>
      <c r="M31" t="s">
        <v>53</v>
      </c>
      <c r="N31" t="s">
        <v>54</v>
      </c>
      <c r="O31">
        <v>3</v>
      </c>
      <c r="P31" t="s">
        <v>10</v>
      </c>
      <c r="Q31">
        <v>3.6</v>
      </c>
      <c r="R31" t="str">
        <f t="shared" si="2"/>
        <v>III</v>
      </c>
      <c r="S31">
        <f t="shared" si="1"/>
        <v>0.45919583333333325</v>
      </c>
    </row>
    <row r="32" spans="1:26">
      <c r="A32">
        <v>2065</v>
      </c>
      <c r="B32" t="s">
        <v>33</v>
      </c>
      <c r="C32">
        <v>0.53500000000000003</v>
      </c>
      <c r="D32">
        <v>0.42</v>
      </c>
      <c r="E32">
        <v>0.125</v>
      </c>
      <c r="F32">
        <v>0.73799999999999999</v>
      </c>
      <c r="G32">
        <v>0.35499999999999998</v>
      </c>
      <c r="H32">
        <v>0.1895</v>
      </c>
      <c r="I32">
        <v>0.17949999999999999</v>
      </c>
      <c r="J32">
        <v>8</v>
      </c>
      <c r="K32">
        <v>12</v>
      </c>
      <c r="L32" t="s">
        <v>58</v>
      </c>
      <c r="M32" t="s">
        <v>59</v>
      </c>
      <c r="N32" t="s">
        <v>45</v>
      </c>
      <c r="O32">
        <v>7</v>
      </c>
      <c r="P32" t="s">
        <v>6</v>
      </c>
      <c r="Q32">
        <v>2.5</v>
      </c>
      <c r="R32" t="str">
        <f t="shared" si="2"/>
        <v>II</v>
      </c>
      <c r="S32">
        <f t="shared" si="1"/>
        <v>0.27355199999999996</v>
      </c>
    </row>
    <row r="33" spans="1:19">
      <c r="A33">
        <v>4141</v>
      </c>
      <c r="B33" t="s">
        <v>33</v>
      </c>
      <c r="C33">
        <v>0.64500000000000002</v>
      </c>
      <c r="D33">
        <v>0.53500000000000003</v>
      </c>
      <c r="E33">
        <v>0.19</v>
      </c>
      <c r="F33">
        <v>1.2395</v>
      </c>
      <c r="G33">
        <v>0.46800000000000003</v>
      </c>
      <c r="H33">
        <v>0.23849999999999999</v>
      </c>
      <c r="I33">
        <v>0.42399999999999999</v>
      </c>
      <c r="J33">
        <v>10</v>
      </c>
      <c r="K33">
        <v>11</v>
      </c>
      <c r="L33" t="s">
        <v>65</v>
      </c>
      <c r="M33" t="s">
        <v>66</v>
      </c>
      <c r="N33" t="s">
        <v>45</v>
      </c>
      <c r="O33">
        <v>1</v>
      </c>
      <c r="P33" t="s">
        <v>4</v>
      </c>
      <c r="Q33">
        <v>22.1</v>
      </c>
      <c r="R33" t="str">
        <f t="shared" si="2"/>
        <v>III</v>
      </c>
      <c r="S33">
        <f t="shared" si="1"/>
        <v>0.63421083333333328</v>
      </c>
    </row>
    <row r="34" spans="1:19">
      <c r="A34">
        <v>3261</v>
      </c>
      <c r="B34" t="s">
        <v>33</v>
      </c>
      <c r="C34">
        <v>0.56000000000000005</v>
      </c>
      <c r="D34">
        <v>0.435</v>
      </c>
      <c r="E34">
        <v>0.125</v>
      </c>
      <c r="F34">
        <v>0.87749999999999995</v>
      </c>
      <c r="G34">
        <v>0.33450000000000002</v>
      </c>
      <c r="H34">
        <v>0.2145</v>
      </c>
      <c r="I34">
        <v>0.28999999999999998</v>
      </c>
      <c r="J34">
        <v>13</v>
      </c>
      <c r="K34">
        <v>4</v>
      </c>
      <c r="L34" t="s">
        <v>40</v>
      </c>
      <c r="M34" t="s">
        <v>41</v>
      </c>
      <c r="N34" t="s">
        <v>42</v>
      </c>
      <c r="O34">
        <v>5</v>
      </c>
      <c r="P34" t="s">
        <v>12</v>
      </c>
      <c r="Q34">
        <v>12.8</v>
      </c>
      <c r="R34" t="str">
        <f t="shared" si="2"/>
        <v>II</v>
      </c>
      <c r="S34">
        <f t="shared" si="1"/>
        <v>0.32994000000000001</v>
      </c>
    </row>
    <row r="35" spans="1:19">
      <c r="A35">
        <v>947</v>
      </c>
      <c r="B35" t="s">
        <v>33</v>
      </c>
      <c r="C35">
        <v>0.47</v>
      </c>
      <c r="D35">
        <v>0.36499999999999999</v>
      </c>
      <c r="E35">
        <v>0.12</v>
      </c>
      <c r="F35">
        <v>0.58199999999999996</v>
      </c>
      <c r="G35">
        <v>0.28999999999999998</v>
      </c>
      <c r="H35">
        <v>9.1999999999999998E-2</v>
      </c>
      <c r="I35">
        <v>0.14599999999999999</v>
      </c>
      <c r="J35">
        <v>8</v>
      </c>
      <c r="K35">
        <v>14</v>
      </c>
      <c r="L35" t="s">
        <v>72</v>
      </c>
      <c r="M35" t="s">
        <v>73</v>
      </c>
      <c r="N35" t="s">
        <v>74</v>
      </c>
      <c r="O35">
        <v>6</v>
      </c>
      <c r="P35" t="s">
        <v>7</v>
      </c>
      <c r="Q35">
        <v>14.1</v>
      </c>
      <c r="R35" t="str">
        <f t="shared" si="2"/>
        <v>II</v>
      </c>
      <c r="S35">
        <f t="shared" si="1"/>
        <v>0.20602799999999999</v>
      </c>
    </row>
    <row r="36" spans="1:19">
      <c r="A36">
        <v>2976</v>
      </c>
      <c r="B36" t="s">
        <v>33</v>
      </c>
      <c r="C36">
        <v>0.32</v>
      </c>
      <c r="D36">
        <v>0.215</v>
      </c>
      <c r="E36">
        <v>9.5000000000000001E-2</v>
      </c>
      <c r="F36">
        <v>0.30499999999999999</v>
      </c>
      <c r="G36">
        <v>0.14000000000000001</v>
      </c>
      <c r="H36">
        <v>6.7000000000000004E-2</v>
      </c>
      <c r="I36">
        <v>8.8499999999999995E-2</v>
      </c>
      <c r="J36">
        <v>6</v>
      </c>
      <c r="K36">
        <v>5</v>
      </c>
      <c r="L36" t="s">
        <v>67</v>
      </c>
      <c r="M36" t="s">
        <v>68</v>
      </c>
      <c r="N36" t="s">
        <v>69</v>
      </c>
      <c r="O36">
        <v>9</v>
      </c>
      <c r="P36" t="s">
        <v>9</v>
      </c>
      <c r="Q36">
        <v>1.9</v>
      </c>
      <c r="R36" t="str">
        <f t="shared" si="2"/>
        <v>II</v>
      </c>
      <c r="S36">
        <f t="shared" si="1"/>
        <v>9.4753333333333328E-2</v>
      </c>
    </row>
    <row r="37" spans="1:19">
      <c r="A37">
        <v>3575</v>
      </c>
      <c r="B37" t="s">
        <v>33</v>
      </c>
      <c r="C37">
        <v>0.6</v>
      </c>
      <c r="D37">
        <v>0.47</v>
      </c>
      <c r="E37">
        <v>0.17</v>
      </c>
      <c r="F37">
        <v>1.0805</v>
      </c>
      <c r="G37">
        <v>0.4995</v>
      </c>
      <c r="H37">
        <v>0.22450000000000001</v>
      </c>
      <c r="I37">
        <v>0.32050000000000001</v>
      </c>
      <c r="J37">
        <v>9</v>
      </c>
      <c r="K37">
        <v>4</v>
      </c>
      <c r="L37" t="s">
        <v>40</v>
      </c>
      <c r="M37" t="s">
        <v>41</v>
      </c>
      <c r="N37" t="s">
        <v>42</v>
      </c>
      <c r="O37">
        <v>10</v>
      </c>
      <c r="P37" t="s">
        <v>11</v>
      </c>
      <c r="Q37">
        <v>24.1</v>
      </c>
      <c r="R37" t="str">
        <f t="shared" si="2"/>
        <v>III</v>
      </c>
      <c r="S37">
        <f t="shared" si="1"/>
        <v>0.52944499999999994</v>
      </c>
    </row>
    <row r="38" spans="1:19">
      <c r="A38">
        <v>3644</v>
      </c>
      <c r="B38" t="s">
        <v>33</v>
      </c>
      <c r="C38">
        <v>0.47</v>
      </c>
      <c r="D38">
        <v>0.34499999999999997</v>
      </c>
      <c r="E38">
        <v>0.12</v>
      </c>
      <c r="F38">
        <v>0.36849999999999999</v>
      </c>
      <c r="G38">
        <v>0.1525</v>
      </c>
      <c r="H38">
        <v>6.1499999999999999E-2</v>
      </c>
      <c r="I38">
        <v>0.125</v>
      </c>
      <c r="J38">
        <v>8</v>
      </c>
      <c r="K38">
        <v>6</v>
      </c>
      <c r="L38" t="s">
        <v>46</v>
      </c>
      <c r="M38" t="s">
        <v>47</v>
      </c>
      <c r="N38" t="s">
        <v>48</v>
      </c>
      <c r="O38">
        <v>1</v>
      </c>
      <c r="P38" t="s">
        <v>4</v>
      </c>
      <c r="Q38">
        <v>22.1</v>
      </c>
      <c r="R38" t="str">
        <f t="shared" si="2"/>
        <v>II</v>
      </c>
      <c r="S38">
        <f t="shared" si="1"/>
        <v>0.12946633333333332</v>
      </c>
    </row>
    <row r="39" spans="1:19">
      <c r="A39">
        <v>1587</v>
      </c>
      <c r="B39" t="s">
        <v>33</v>
      </c>
      <c r="C39">
        <v>0.51500000000000001</v>
      </c>
      <c r="D39">
        <v>0.35</v>
      </c>
      <c r="E39">
        <v>0.105</v>
      </c>
      <c r="F39">
        <v>0.47449999999999998</v>
      </c>
      <c r="G39">
        <v>0.21299999999999999</v>
      </c>
      <c r="H39">
        <v>0.123</v>
      </c>
      <c r="I39">
        <v>0.1275</v>
      </c>
      <c r="J39">
        <v>10</v>
      </c>
      <c r="K39">
        <v>7</v>
      </c>
      <c r="L39" t="s">
        <v>62</v>
      </c>
      <c r="M39" t="s">
        <v>63</v>
      </c>
      <c r="N39" t="s">
        <v>64</v>
      </c>
      <c r="O39">
        <v>5</v>
      </c>
      <c r="P39" t="s">
        <v>12</v>
      </c>
      <c r="Q39">
        <v>12.8</v>
      </c>
      <c r="R39" t="str">
        <f t="shared" si="2"/>
        <v>II</v>
      </c>
      <c r="S39">
        <f t="shared" si="1"/>
        <v>0.16892199999999996</v>
      </c>
    </row>
    <row r="40" spans="1:19">
      <c r="A40">
        <v>637</v>
      </c>
      <c r="B40" t="s">
        <v>33</v>
      </c>
      <c r="C40">
        <v>0.38</v>
      </c>
      <c r="D40">
        <v>0.23499999999999999</v>
      </c>
      <c r="E40">
        <v>0.1</v>
      </c>
      <c r="F40">
        <v>0.25800000000000001</v>
      </c>
      <c r="G40">
        <v>0.1055</v>
      </c>
      <c r="H40">
        <v>5.3999999999999999E-2</v>
      </c>
      <c r="I40">
        <v>0.08</v>
      </c>
      <c r="J40">
        <v>7</v>
      </c>
      <c r="K40">
        <v>14</v>
      </c>
      <c r="L40" t="s">
        <v>72</v>
      </c>
      <c r="M40" t="s">
        <v>73</v>
      </c>
      <c r="N40" t="s">
        <v>74</v>
      </c>
      <c r="O40">
        <v>3</v>
      </c>
      <c r="P40" t="s">
        <v>10</v>
      </c>
      <c r="Q40">
        <v>3.6</v>
      </c>
      <c r="R40" t="str">
        <f t="shared" si="2"/>
        <v>II</v>
      </c>
      <c r="S40">
        <f t="shared" si="1"/>
        <v>8.3075999999999997E-2</v>
      </c>
    </row>
    <row r="41" spans="1:19">
      <c r="A41">
        <v>1694</v>
      </c>
      <c r="B41" t="s">
        <v>33</v>
      </c>
      <c r="C41">
        <v>0.625</v>
      </c>
      <c r="D41">
        <v>0.48499999999999999</v>
      </c>
      <c r="E41">
        <v>0.15</v>
      </c>
      <c r="F41">
        <v>1.044</v>
      </c>
      <c r="G41">
        <v>0.438</v>
      </c>
      <c r="H41">
        <v>0.28649999999999998</v>
      </c>
      <c r="I41">
        <v>0.27800000000000002</v>
      </c>
      <c r="J41">
        <v>9</v>
      </c>
      <c r="K41">
        <v>8</v>
      </c>
      <c r="L41" t="s">
        <v>55</v>
      </c>
      <c r="M41" t="s">
        <v>56</v>
      </c>
      <c r="N41" t="s">
        <v>57</v>
      </c>
      <c r="O41">
        <v>4</v>
      </c>
      <c r="P41" t="s">
        <v>8</v>
      </c>
      <c r="Q41">
        <v>6.1</v>
      </c>
      <c r="R41" t="str">
        <f t="shared" si="2"/>
        <v>III</v>
      </c>
      <c r="S41">
        <f t="shared" si="1"/>
        <v>0.51504000000000005</v>
      </c>
    </row>
    <row r="42" spans="1:19">
      <c r="A42">
        <v>4036</v>
      </c>
      <c r="B42" t="s">
        <v>33</v>
      </c>
      <c r="C42">
        <v>0.52</v>
      </c>
      <c r="D42">
        <v>0.41</v>
      </c>
      <c r="E42">
        <v>0.14000000000000001</v>
      </c>
      <c r="F42">
        <v>0.59950000000000003</v>
      </c>
      <c r="G42">
        <v>0.24199999999999999</v>
      </c>
      <c r="H42">
        <v>0.13750000000000001</v>
      </c>
      <c r="I42">
        <v>0.182</v>
      </c>
      <c r="J42">
        <v>11</v>
      </c>
      <c r="K42">
        <v>5</v>
      </c>
      <c r="L42" t="s">
        <v>67</v>
      </c>
      <c r="M42" t="s">
        <v>68</v>
      </c>
      <c r="N42" t="s">
        <v>69</v>
      </c>
      <c r="O42">
        <v>3</v>
      </c>
      <c r="P42" t="s">
        <v>10</v>
      </c>
      <c r="Q42">
        <v>3.6</v>
      </c>
      <c r="R42" t="str">
        <f t="shared" si="2"/>
        <v>II</v>
      </c>
      <c r="S42">
        <f t="shared" si="1"/>
        <v>0.22141533333333335</v>
      </c>
    </row>
    <row r="43" spans="1:19">
      <c r="A43">
        <v>3278</v>
      </c>
      <c r="B43" t="s">
        <v>33</v>
      </c>
      <c r="C43">
        <v>0.46500000000000002</v>
      </c>
      <c r="D43">
        <v>0.39</v>
      </c>
      <c r="E43">
        <v>0.14000000000000001</v>
      </c>
      <c r="F43">
        <v>0.55549999999999999</v>
      </c>
      <c r="G43">
        <v>0.21299999999999999</v>
      </c>
      <c r="H43">
        <v>0.1075</v>
      </c>
      <c r="I43">
        <v>0.215</v>
      </c>
      <c r="J43">
        <v>15</v>
      </c>
      <c r="K43">
        <v>7</v>
      </c>
      <c r="L43" t="s">
        <v>62</v>
      </c>
      <c r="M43" t="s">
        <v>63</v>
      </c>
      <c r="N43" t="s">
        <v>64</v>
      </c>
      <c r="O43">
        <v>6</v>
      </c>
      <c r="P43" t="s">
        <v>7</v>
      </c>
      <c r="Q43">
        <v>14.1</v>
      </c>
      <c r="R43" t="str">
        <f t="shared" si="2"/>
        <v>II</v>
      </c>
      <c r="S43">
        <f t="shared" si="1"/>
        <v>0.19960966666666669</v>
      </c>
    </row>
    <row r="44" spans="1:19">
      <c r="A44">
        <v>509</v>
      </c>
      <c r="B44" t="s">
        <v>33</v>
      </c>
      <c r="C44">
        <v>0.56000000000000005</v>
      </c>
      <c r="D44">
        <v>0.435</v>
      </c>
      <c r="E44">
        <v>0.18</v>
      </c>
      <c r="F44">
        <v>0.88900000000000001</v>
      </c>
      <c r="G44">
        <v>0.36</v>
      </c>
      <c r="H44">
        <v>0.20399999999999999</v>
      </c>
      <c r="I44">
        <v>0.25</v>
      </c>
      <c r="J44">
        <v>11</v>
      </c>
      <c r="K44">
        <v>5</v>
      </c>
      <c r="L44" t="s">
        <v>67</v>
      </c>
      <c r="M44" t="s">
        <v>68</v>
      </c>
      <c r="N44" t="s">
        <v>69</v>
      </c>
      <c r="O44">
        <v>9</v>
      </c>
      <c r="P44" t="s">
        <v>9</v>
      </c>
      <c r="Q44">
        <v>1.9</v>
      </c>
      <c r="R44" t="str">
        <f t="shared" si="2"/>
        <v>II</v>
      </c>
      <c r="S44">
        <f t="shared" si="1"/>
        <v>0.34078333333333338</v>
      </c>
    </row>
    <row r="45" spans="1:19">
      <c r="A45">
        <v>1960</v>
      </c>
      <c r="B45" t="s">
        <v>33</v>
      </c>
      <c r="C45">
        <v>0.65</v>
      </c>
      <c r="D45">
        <v>0.51</v>
      </c>
      <c r="E45">
        <v>0.155</v>
      </c>
      <c r="F45">
        <v>1.1890000000000001</v>
      </c>
      <c r="G45">
        <v>0.48299999999999998</v>
      </c>
      <c r="H45">
        <v>0.27800000000000002</v>
      </c>
      <c r="I45">
        <v>0.36449999999999999</v>
      </c>
      <c r="J45">
        <v>13</v>
      </c>
      <c r="K45">
        <v>10</v>
      </c>
      <c r="L45" t="s">
        <v>37</v>
      </c>
      <c r="M45" t="s">
        <v>38</v>
      </c>
      <c r="N45" t="s">
        <v>39</v>
      </c>
      <c r="O45">
        <v>1</v>
      </c>
      <c r="P45" t="s">
        <v>4</v>
      </c>
      <c r="Q45">
        <v>22.1</v>
      </c>
      <c r="R45" t="str">
        <f t="shared" si="2"/>
        <v>III</v>
      </c>
      <c r="S45">
        <f t="shared" si="1"/>
        <v>0.59747249999999996</v>
      </c>
    </row>
    <row r="46" spans="1:19">
      <c r="A46">
        <v>2210</v>
      </c>
      <c r="B46" t="s">
        <v>33</v>
      </c>
      <c r="C46">
        <v>0.55000000000000004</v>
      </c>
      <c r="D46">
        <v>0.46500000000000002</v>
      </c>
      <c r="E46">
        <v>0.18</v>
      </c>
      <c r="F46">
        <v>1.2124999999999999</v>
      </c>
      <c r="G46">
        <v>0.32450000000000001</v>
      </c>
      <c r="H46">
        <v>0.20499999999999999</v>
      </c>
      <c r="I46">
        <v>0.52500000000000002</v>
      </c>
      <c r="J46">
        <v>27</v>
      </c>
      <c r="K46">
        <v>15</v>
      </c>
      <c r="L46" t="s">
        <v>60</v>
      </c>
      <c r="M46" t="s">
        <v>61</v>
      </c>
      <c r="N46" t="s">
        <v>45</v>
      </c>
      <c r="O46">
        <v>4</v>
      </c>
      <c r="P46" t="s">
        <v>8</v>
      </c>
      <c r="Q46">
        <v>6.1</v>
      </c>
      <c r="R46" t="str">
        <f t="shared" si="2"/>
        <v>III</v>
      </c>
      <c r="S46">
        <f t="shared" si="1"/>
        <v>0.58503124999999989</v>
      </c>
    </row>
    <row r="47" spans="1:19">
      <c r="A47">
        <v>20</v>
      </c>
      <c r="B47" t="s">
        <v>33</v>
      </c>
      <c r="C47">
        <v>0.45</v>
      </c>
      <c r="D47">
        <v>0.32</v>
      </c>
      <c r="E47">
        <v>0.1</v>
      </c>
      <c r="F47">
        <v>0.38100000000000001</v>
      </c>
      <c r="G47">
        <v>0.17050000000000001</v>
      </c>
      <c r="H47">
        <v>7.4999999999999997E-2</v>
      </c>
      <c r="I47">
        <v>0.115</v>
      </c>
      <c r="J47">
        <v>9</v>
      </c>
      <c r="K47">
        <v>4</v>
      </c>
      <c r="L47" t="s">
        <v>40</v>
      </c>
      <c r="M47" t="s">
        <v>41</v>
      </c>
      <c r="N47" t="s">
        <v>42</v>
      </c>
      <c r="O47">
        <v>8</v>
      </c>
      <c r="P47" t="s">
        <v>13</v>
      </c>
      <c r="Q47">
        <v>12.3</v>
      </c>
      <c r="R47" t="str">
        <f t="shared" si="2"/>
        <v>II</v>
      </c>
      <c r="S47">
        <f t="shared" si="1"/>
        <v>0.13055600000000003</v>
      </c>
    </row>
    <row r="48" spans="1:19">
      <c r="A48">
        <v>853</v>
      </c>
      <c r="B48" t="s">
        <v>33</v>
      </c>
      <c r="C48">
        <v>0.56499999999999995</v>
      </c>
      <c r="D48">
        <v>0.45</v>
      </c>
      <c r="E48">
        <v>0.155</v>
      </c>
      <c r="F48">
        <v>1.0595000000000001</v>
      </c>
      <c r="G48">
        <v>0.47349999999999998</v>
      </c>
      <c r="H48">
        <v>0.24</v>
      </c>
      <c r="I48">
        <v>0.26500000000000001</v>
      </c>
      <c r="J48">
        <v>10</v>
      </c>
      <c r="K48">
        <v>5</v>
      </c>
      <c r="L48" t="s">
        <v>67</v>
      </c>
      <c r="M48" t="s">
        <v>68</v>
      </c>
      <c r="N48" t="s">
        <v>69</v>
      </c>
      <c r="O48">
        <v>6</v>
      </c>
      <c r="P48" t="s">
        <v>7</v>
      </c>
      <c r="Q48">
        <v>14.1</v>
      </c>
      <c r="R48" t="str">
        <f t="shared" si="2"/>
        <v>III</v>
      </c>
      <c r="S48">
        <f t="shared" si="1"/>
        <v>0.50679416666666677</v>
      </c>
    </row>
    <row r="49" spans="1:19">
      <c r="A49">
        <v>2824</v>
      </c>
      <c r="B49" t="s">
        <v>33</v>
      </c>
      <c r="C49">
        <v>0.45500000000000002</v>
      </c>
      <c r="D49">
        <v>0.35</v>
      </c>
      <c r="E49">
        <v>0.105</v>
      </c>
      <c r="F49">
        <v>0.44450000000000001</v>
      </c>
      <c r="G49">
        <v>0.21299999999999999</v>
      </c>
      <c r="H49">
        <v>0.107</v>
      </c>
      <c r="I49">
        <v>0.1115</v>
      </c>
      <c r="J49">
        <v>7</v>
      </c>
      <c r="K49">
        <v>10</v>
      </c>
      <c r="L49" t="s">
        <v>37</v>
      </c>
      <c r="M49" t="s">
        <v>38</v>
      </c>
      <c r="N49" t="s">
        <v>39</v>
      </c>
      <c r="O49">
        <v>10</v>
      </c>
      <c r="P49" t="s">
        <v>11</v>
      </c>
      <c r="Q49">
        <v>24.1</v>
      </c>
      <c r="R49" t="str">
        <f t="shared" si="2"/>
        <v>II</v>
      </c>
      <c r="S49">
        <f t="shared" si="1"/>
        <v>0.15468599999999999</v>
      </c>
    </row>
    <row r="50" spans="1:19">
      <c r="A50">
        <v>804</v>
      </c>
      <c r="B50" t="s">
        <v>33</v>
      </c>
      <c r="C50">
        <v>0.37</v>
      </c>
      <c r="D50">
        <v>0.27500000000000002</v>
      </c>
      <c r="E50">
        <v>0.1</v>
      </c>
      <c r="F50">
        <v>0.22</v>
      </c>
      <c r="G50">
        <v>9.4E-2</v>
      </c>
      <c r="H50">
        <v>4.4999999999999998E-2</v>
      </c>
      <c r="I50">
        <v>6.5000000000000002E-2</v>
      </c>
      <c r="J50">
        <v>7</v>
      </c>
      <c r="K50">
        <v>10</v>
      </c>
      <c r="L50" t="s">
        <v>37</v>
      </c>
      <c r="M50" t="s">
        <v>38</v>
      </c>
      <c r="N50" t="s">
        <v>39</v>
      </c>
      <c r="O50">
        <v>10</v>
      </c>
      <c r="P50" t="s">
        <v>11</v>
      </c>
      <c r="Q50">
        <v>24.1</v>
      </c>
      <c r="R50" t="str">
        <f t="shared" si="2"/>
        <v>II</v>
      </c>
      <c r="S50">
        <f t="shared" si="1"/>
        <v>7.1720000000000006E-2</v>
      </c>
    </row>
    <row r="51" spans="1:19">
      <c r="A51">
        <v>2478</v>
      </c>
      <c r="B51" t="s">
        <v>33</v>
      </c>
      <c r="C51">
        <v>0.56999999999999995</v>
      </c>
      <c r="D51">
        <v>0.42</v>
      </c>
      <c r="E51">
        <v>0.155</v>
      </c>
      <c r="F51">
        <v>1.008</v>
      </c>
      <c r="G51">
        <v>0.377</v>
      </c>
      <c r="H51">
        <v>0.193</v>
      </c>
      <c r="I51">
        <v>0.34</v>
      </c>
      <c r="J51">
        <v>13</v>
      </c>
      <c r="K51">
        <v>12</v>
      </c>
      <c r="L51" t="s">
        <v>58</v>
      </c>
      <c r="M51" t="s">
        <v>59</v>
      </c>
      <c r="N51" t="s">
        <v>45</v>
      </c>
      <c r="O51">
        <v>10</v>
      </c>
      <c r="P51" t="s">
        <v>11</v>
      </c>
      <c r="Q51">
        <v>24.1</v>
      </c>
      <c r="R51" t="str">
        <f t="shared" si="2"/>
        <v>II</v>
      </c>
      <c r="S51">
        <f t="shared" si="1"/>
        <v>0.38236800000000004</v>
      </c>
    </row>
    <row r="52" spans="1:19">
      <c r="A52">
        <v>2011</v>
      </c>
      <c r="B52" t="s">
        <v>33</v>
      </c>
      <c r="C52">
        <v>0.435</v>
      </c>
      <c r="D52">
        <v>0.32500000000000001</v>
      </c>
      <c r="E52">
        <v>0.12</v>
      </c>
      <c r="F52">
        <v>0.34599999999999997</v>
      </c>
      <c r="G52">
        <v>0.159</v>
      </c>
      <c r="H52">
        <v>8.4000000000000005E-2</v>
      </c>
      <c r="I52">
        <v>9.5000000000000001E-2</v>
      </c>
      <c r="J52">
        <v>7</v>
      </c>
      <c r="K52">
        <v>5</v>
      </c>
      <c r="L52" t="s">
        <v>67</v>
      </c>
      <c r="M52" t="s">
        <v>68</v>
      </c>
      <c r="N52" t="s">
        <v>69</v>
      </c>
      <c r="O52">
        <v>8</v>
      </c>
      <c r="P52" t="s">
        <v>13</v>
      </c>
      <c r="Q52">
        <v>12.3</v>
      </c>
      <c r="R52" t="str">
        <f t="shared" si="2"/>
        <v>II</v>
      </c>
      <c r="S52">
        <f t="shared" si="1"/>
        <v>0.11902399999999998</v>
      </c>
    </row>
    <row r="53" spans="1:19">
      <c r="A53">
        <v>3139</v>
      </c>
      <c r="B53" t="s">
        <v>33</v>
      </c>
      <c r="C53">
        <v>0.51</v>
      </c>
      <c r="D53">
        <v>0.4</v>
      </c>
      <c r="E53">
        <v>0.14000000000000001</v>
      </c>
      <c r="F53">
        <v>0.6905</v>
      </c>
      <c r="G53">
        <v>0.25900000000000001</v>
      </c>
      <c r="H53">
        <v>0.151</v>
      </c>
      <c r="I53">
        <v>0.23</v>
      </c>
      <c r="J53">
        <v>10</v>
      </c>
      <c r="K53">
        <v>11</v>
      </c>
      <c r="L53" t="s">
        <v>65</v>
      </c>
      <c r="M53" t="s">
        <v>66</v>
      </c>
      <c r="N53" t="s">
        <v>45</v>
      </c>
      <c r="O53">
        <v>2</v>
      </c>
      <c r="P53" t="s">
        <v>5</v>
      </c>
      <c r="Q53">
        <v>18</v>
      </c>
      <c r="R53" t="str">
        <f t="shared" si="2"/>
        <v>II</v>
      </c>
      <c r="S53">
        <f t="shared" si="1"/>
        <v>0.25318333333333337</v>
      </c>
    </row>
    <row r="54" spans="1:19">
      <c r="A54">
        <v>19</v>
      </c>
      <c r="B54" t="s">
        <v>33</v>
      </c>
      <c r="C54">
        <v>0.36499999999999999</v>
      </c>
      <c r="D54">
        <v>0.29499999999999998</v>
      </c>
      <c r="E54">
        <v>0.08</v>
      </c>
      <c r="F54">
        <v>0.2555</v>
      </c>
      <c r="G54">
        <v>9.7000000000000003E-2</v>
      </c>
      <c r="H54">
        <v>4.2999999999999997E-2</v>
      </c>
      <c r="I54">
        <v>0.1</v>
      </c>
      <c r="J54">
        <v>7</v>
      </c>
      <c r="K54">
        <v>5</v>
      </c>
      <c r="L54" t="s">
        <v>67</v>
      </c>
      <c r="M54" t="s">
        <v>68</v>
      </c>
      <c r="N54" t="s">
        <v>69</v>
      </c>
      <c r="O54">
        <v>4</v>
      </c>
      <c r="P54" t="s">
        <v>8</v>
      </c>
      <c r="Q54">
        <v>6.1</v>
      </c>
      <c r="R54" t="str">
        <f t="shared" si="2"/>
        <v>II</v>
      </c>
      <c r="S54">
        <f t="shared" si="1"/>
        <v>8.3122666666666664E-2</v>
      </c>
    </row>
    <row r="55" spans="1:19">
      <c r="A55">
        <v>3669</v>
      </c>
      <c r="B55" t="s">
        <v>33</v>
      </c>
      <c r="C55">
        <v>0.58499999999999996</v>
      </c>
      <c r="D55">
        <v>0.46500000000000002</v>
      </c>
      <c r="E55">
        <v>0.14499999999999999</v>
      </c>
      <c r="F55">
        <v>0.98550000000000004</v>
      </c>
      <c r="G55">
        <v>0.4325</v>
      </c>
      <c r="H55">
        <v>0.2145</v>
      </c>
      <c r="I55">
        <v>0.28449999999999998</v>
      </c>
      <c r="J55">
        <v>10</v>
      </c>
      <c r="K55">
        <v>8</v>
      </c>
      <c r="L55" t="s">
        <v>55</v>
      </c>
      <c r="M55" t="s">
        <v>56</v>
      </c>
      <c r="N55" t="s">
        <v>57</v>
      </c>
      <c r="O55">
        <v>9</v>
      </c>
      <c r="P55" t="s">
        <v>9</v>
      </c>
      <c r="Q55">
        <v>1.9</v>
      </c>
      <c r="R55" t="str">
        <f t="shared" si="2"/>
        <v>III</v>
      </c>
      <c r="S55">
        <f t="shared" si="1"/>
        <v>0.47550375000000006</v>
      </c>
    </row>
    <row r="56" spans="1:19">
      <c r="A56">
        <v>3917</v>
      </c>
      <c r="B56" t="s">
        <v>33</v>
      </c>
      <c r="C56">
        <v>0.52</v>
      </c>
      <c r="D56">
        <v>0.41</v>
      </c>
      <c r="E56">
        <v>0.16</v>
      </c>
      <c r="F56">
        <v>0.71199999999999997</v>
      </c>
      <c r="G56">
        <v>0.28449999999999998</v>
      </c>
      <c r="H56">
        <v>0.153</v>
      </c>
      <c r="I56">
        <v>0.22500000000000001</v>
      </c>
      <c r="J56">
        <v>10</v>
      </c>
      <c r="K56">
        <v>6</v>
      </c>
      <c r="L56" t="s">
        <v>46</v>
      </c>
      <c r="M56" t="s">
        <v>47</v>
      </c>
      <c r="N56" t="s">
        <v>48</v>
      </c>
      <c r="O56">
        <v>5</v>
      </c>
      <c r="P56" t="s">
        <v>12</v>
      </c>
      <c r="Q56">
        <v>12.8</v>
      </c>
      <c r="R56" t="str">
        <f t="shared" si="2"/>
        <v>II</v>
      </c>
      <c r="S56">
        <f t="shared" si="1"/>
        <v>0.26486399999999999</v>
      </c>
    </row>
    <row r="57" spans="1:19">
      <c r="A57">
        <v>2247</v>
      </c>
      <c r="B57" t="s">
        <v>33</v>
      </c>
      <c r="C57">
        <v>0.38</v>
      </c>
      <c r="D57">
        <v>0.32500000000000001</v>
      </c>
      <c r="E57">
        <v>0.11</v>
      </c>
      <c r="F57">
        <v>0.3105</v>
      </c>
      <c r="G57">
        <v>0.12</v>
      </c>
      <c r="H57">
        <v>7.3999999999999996E-2</v>
      </c>
      <c r="I57">
        <v>0.105</v>
      </c>
      <c r="J57">
        <v>10</v>
      </c>
      <c r="K57">
        <v>13</v>
      </c>
      <c r="L57" t="s">
        <v>43</v>
      </c>
      <c r="M57" t="s">
        <v>44</v>
      </c>
      <c r="N57" t="s">
        <v>45</v>
      </c>
      <c r="O57">
        <v>5</v>
      </c>
      <c r="P57" t="s">
        <v>12</v>
      </c>
      <c r="Q57">
        <v>12.8</v>
      </c>
      <c r="R57" t="str">
        <f t="shared" si="2"/>
        <v>II</v>
      </c>
      <c r="S57">
        <f t="shared" si="1"/>
        <v>0.10412100000000001</v>
      </c>
    </row>
    <row r="58" spans="1:19">
      <c r="A58">
        <v>2524</v>
      </c>
      <c r="B58" t="s">
        <v>33</v>
      </c>
      <c r="C58">
        <v>0.56499999999999995</v>
      </c>
      <c r="D58">
        <v>0.44</v>
      </c>
      <c r="E58">
        <v>0.15</v>
      </c>
      <c r="F58">
        <v>0.98299999999999998</v>
      </c>
      <c r="G58">
        <v>0.44750000000000001</v>
      </c>
      <c r="H58">
        <v>0.23549999999999999</v>
      </c>
      <c r="I58">
        <v>0.2485</v>
      </c>
      <c r="J58">
        <v>9</v>
      </c>
      <c r="K58">
        <v>7</v>
      </c>
      <c r="L58" t="s">
        <v>62</v>
      </c>
      <c r="M58" t="s">
        <v>63</v>
      </c>
      <c r="N58" t="s">
        <v>64</v>
      </c>
      <c r="O58">
        <v>1</v>
      </c>
      <c r="P58" t="s">
        <v>4</v>
      </c>
      <c r="Q58">
        <v>22.1</v>
      </c>
      <c r="R58" t="str">
        <f t="shared" si="2"/>
        <v>III</v>
      </c>
      <c r="S58">
        <f t="shared" si="1"/>
        <v>0.46774416666666674</v>
      </c>
    </row>
    <row r="59" spans="1:19">
      <c r="A59">
        <v>667</v>
      </c>
      <c r="B59" t="s">
        <v>33</v>
      </c>
      <c r="C59">
        <v>0.45500000000000002</v>
      </c>
      <c r="D59">
        <v>0.35</v>
      </c>
      <c r="E59">
        <v>0.12</v>
      </c>
      <c r="F59">
        <v>0.48349999999999999</v>
      </c>
      <c r="G59">
        <v>0.18149999999999999</v>
      </c>
      <c r="H59">
        <v>0.14399999999999999</v>
      </c>
      <c r="I59">
        <v>0.16</v>
      </c>
      <c r="J59">
        <v>11</v>
      </c>
      <c r="K59">
        <v>3</v>
      </c>
      <c r="L59" t="s">
        <v>52</v>
      </c>
      <c r="M59" t="s">
        <v>53</v>
      </c>
      <c r="N59" t="s">
        <v>54</v>
      </c>
      <c r="O59">
        <v>5</v>
      </c>
      <c r="P59" t="s">
        <v>12</v>
      </c>
      <c r="Q59">
        <v>12.8</v>
      </c>
      <c r="R59" t="str">
        <f t="shared" si="2"/>
        <v>II</v>
      </c>
      <c r="S59">
        <f t="shared" si="1"/>
        <v>0.16922499999999999</v>
      </c>
    </row>
    <row r="60" spans="1:19">
      <c r="A60">
        <v>1597</v>
      </c>
      <c r="B60" t="s">
        <v>33</v>
      </c>
      <c r="C60">
        <v>0.53</v>
      </c>
      <c r="D60">
        <v>0.42</v>
      </c>
      <c r="E60">
        <v>0.12</v>
      </c>
      <c r="F60">
        <v>0.59650000000000003</v>
      </c>
      <c r="G60">
        <v>0.2555</v>
      </c>
      <c r="H60">
        <v>0.14099999999999999</v>
      </c>
      <c r="I60">
        <v>0.17699999999999999</v>
      </c>
      <c r="J60">
        <v>7</v>
      </c>
      <c r="K60">
        <v>1</v>
      </c>
      <c r="L60" t="s">
        <v>70</v>
      </c>
      <c r="M60" t="s">
        <v>71</v>
      </c>
      <c r="N60" t="s">
        <v>45</v>
      </c>
      <c r="O60">
        <v>1</v>
      </c>
      <c r="P60" t="s">
        <v>4</v>
      </c>
      <c r="Q60">
        <v>22.1</v>
      </c>
      <c r="R60" t="str">
        <f t="shared" si="2"/>
        <v>II</v>
      </c>
      <c r="S60">
        <f t="shared" si="1"/>
        <v>0.22030733333333333</v>
      </c>
    </row>
    <row r="61" spans="1:19">
      <c r="A61">
        <v>4134</v>
      </c>
      <c r="B61" t="s">
        <v>33</v>
      </c>
      <c r="C61">
        <v>0.58499999999999996</v>
      </c>
      <c r="D61">
        <v>0.45</v>
      </c>
      <c r="E61">
        <v>0.15</v>
      </c>
      <c r="F61">
        <v>0.997</v>
      </c>
      <c r="G61">
        <v>0.40550000000000003</v>
      </c>
      <c r="H61">
        <v>0.28299999999999997</v>
      </c>
      <c r="I61">
        <v>0.251</v>
      </c>
      <c r="J61">
        <v>11</v>
      </c>
      <c r="K61">
        <v>5</v>
      </c>
      <c r="L61" t="s">
        <v>67</v>
      </c>
      <c r="M61" t="s">
        <v>68</v>
      </c>
      <c r="N61" t="s">
        <v>69</v>
      </c>
      <c r="O61">
        <v>1</v>
      </c>
      <c r="P61" t="s">
        <v>4</v>
      </c>
      <c r="Q61">
        <v>22.1</v>
      </c>
      <c r="R61" t="str">
        <f t="shared" si="2"/>
        <v>III</v>
      </c>
      <c r="S61">
        <f t="shared" si="1"/>
        <v>0.47939083333333327</v>
      </c>
    </row>
    <row r="62" spans="1:19">
      <c r="A62">
        <v>535</v>
      </c>
      <c r="B62" t="s">
        <v>33</v>
      </c>
      <c r="C62">
        <v>0.47</v>
      </c>
      <c r="D62">
        <v>0.37</v>
      </c>
      <c r="E62">
        <v>0.14000000000000001</v>
      </c>
      <c r="F62">
        <v>0.4985</v>
      </c>
      <c r="G62">
        <v>0.20949999999999999</v>
      </c>
      <c r="H62">
        <v>0.1225</v>
      </c>
      <c r="I62">
        <v>0.14499999999999999</v>
      </c>
      <c r="J62">
        <v>10</v>
      </c>
      <c r="K62">
        <v>7</v>
      </c>
      <c r="L62" t="s">
        <v>62</v>
      </c>
      <c r="M62" t="s">
        <v>63</v>
      </c>
      <c r="N62" t="s">
        <v>64</v>
      </c>
      <c r="O62">
        <v>5</v>
      </c>
      <c r="P62" t="s">
        <v>12</v>
      </c>
      <c r="Q62">
        <v>12.8</v>
      </c>
      <c r="R62" t="str">
        <f t="shared" si="2"/>
        <v>II</v>
      </c>
      <c r="S62">
        <f t="shared" si="1"/>
        <v>0.17813066666666666</v>
      </c>
    </row>
    <row r="63" spans="1:19">
      <c r="A63">
        <v>3720</v>
      </c>
      <c r="B63" t="s">
        <v>33</v>
      </c>
      <c r="C63">
        <v>0.38</v>
      </c>
      <c r="D63">
        <v>0.28000000000000003</v>
      </c>
      <c r="E63">
        <v>9.5000000000000001E-2</v>
      </c>
      <c r="F63">
        <v>0.28849999999999998</v>
      </c>
      <c r="G63">
        <v>0.16500000000000001</v>
      </c>
      <c r="H63">
        <v>4.3499999999999997E-2</v>
      </c>
      <c r="I63">
        <v>6.7000000000000004E-2</v>
      </c>
      <c r="J63">
        <v>7</v>
      </c>
      <c r="K63">
        <v>13</v>
      </c>
      <c r="L63" t="s">
        <v>43</v>
      </c>
      <c r="M63" t="s">
        <v>44</v>
      </c>
      <c r="N63" t="s">
        <v>45</v>
      </c>
      <c r="O63">
        <v>2</v>
      </c>
      <c r="P63" t="s">
        <v>5</v>
      </c>
      <c r="Q63">
        <v>18</v>
      </c>
      <c r="R63" t="str">
        <f t="shared" si="2"/>
        <v>II</v>
      </c>
      <c r="S63">
        <f t="shared" si="1"/>
        <v>9.4435666666666654E-2</v>
      </c>
    </row>
    <row r="64" spans="1:19">
      <c r="A64">
        <v>1202</v>
      </c>
      <c r="B64" t="s">
        <v>33</v>
      </c>
      <c r="C64">
        <v>0.72</v>
      </c>
      <c r="D64">
        <v>0.56499999999999995</v>
      </c>
      <c r="E64">
        <v>0.14499999999999999</v>
      </c>
      <c r="F64">
        <v>1.1870000000000001</v>
      </c>
      <c r="G64">
        <v>0.69099999999999995</v>
      </c>
      <c r="H64">
        <v>0.19450000000000001</v>
      </c>
      <c r="I64">
        <v>0.26850000000000002</v>
      </c>
      <c r="J64">
        <v>8</v>
      </c>
      <c r="K64">
        <v>7</v>
      </c>
      <c r="L64" t="s">
        <v>62</v>
      </c>
      <c r="M64" t="s">
        <v>63</v>
      </c>
      <c r="N64" t="s">
        <v>64</v>
      </c>
      <c r="O64">
        <v>2</v>
      </c>
      <c r="P64" t="s">
        <v>5</v>
      </c>
      <c r="Q64">
        <v>18</v>
      </c>
      <c r="R64" t="str">
        <f t="shared" si="2"/>
        <v>I</v>
      </c>
      <c r="S64">
        <f t="shared" si="1"/>
        <v>0.92882749999999992</v>
      </c>
    </row>
    <row r="65" spans="1:19">
      <c r="A65">
        <v>3366</v>
      </c>
      <c r="B65" t="s">
        <v>33</v>
      </c>
      <c r="C65">
        <v>0.44</v>
      </c>
      <c r="D65">
        <v>0.31</v>
      </c>
      <c r="E65">
        <v>0.115</v>
      </c>
      <c r="F65">
        <v>0.36249999999999999</v>
      </c>
      <c r="G65">
        <v>0.13400000000000001</v>
      </c>
      <c r="H65">
        <v>8.2000000000000003E-2</v>
      </c>
      <c r="I65">
        <v>0.12</v>
      </c>
      <c r="J65">
        <v>11</v>
      </c>
      <c r="K65">
        <v>2</v>
      </c>
      <c r="L65" t="s">
        <v>49</v>
      </c>
      <c r="M65" t="s">
        <v>50</v>
      </c>
      <c r="N65" t="s">
        <v>51</v>
      </c>
      <c r="O65">
        <v>8</v>
      </c>
      <c r="P65" t="s">
        <v>13</v>
      </c>
      <c r="Q65">
        <v>12.3</v>
      </c>
      <c r="R65" t="str">
        <f t="shared" si="2"/>
        <v>II</v>
      </c>
      <c r="S65">
        <f t="shared" si="1"/>
        <v>0.123975</v>
      </c>
    </row>
    <row r="66" spans="1:19">
      <c r="A66">
        <v>3633</v>
      </c>
      <c r="B66" t="s">
        <v>33</v>
      </c>
      <c r="C66">
        <v>0.3</v>
      </c>
      <c r="D66">
        <v>0.22500000000000001</v>
      </c>
      <c r="E66">
        <v>7.4999999999999997E-2</v>
      </c>
      <c r="F66">
        <v>0.13450000000000001</v>
      </c>
      <c r="G66">
        <v>5.7000000000000002E-2</v>
      </c>
      <c r="H66">
        <v>2.8000000000000001E-2</v>
      </c>
      <c r="I66">
        <v>4.3999999999999997E-2</v>
      </c>
      <c r="J66">
        <v>5</v>
      </c>
      <c r="K66">
        <v>5</v>
      </c>
      <c r="L66" t="s">
        <v>67</v>
      </c>
      <c r="M66" t="s">
        <v>68</v>
      </c>
      <c r="N66" t="s">
        <v>69</v>
      </c>
      <c r="O66">
        <v>5</v>
      </c>
      <c r="P66" t="s">
        <v>12</v>
      </c>
      <c r="Q66">
        <v>12.8</v>
      </c>
      <c r="R66" t="str">
        <f t="shared" si="2"/>
        <v>II</v>
      </c>
      <c r="S66">
        <f t="shared" si="1"/>
        <v>4.1246666666666668E-2</v>
      </c>
    </row>
    <row r="67" spans="1:19">
      <c r="A67">
        <v>4076</v>
      </c>
      <c r="B67" t="s">
        <v>33</v>
      </c>
      <c r="C67">
        <v>0.54500000000000004</v>
      </c>
      <c r="D67">
        <v>0.45</v>
      </c>
      <c r="E67">
        <v>0.15</v>
      </c>
      <c r="F67">
        <v>0.78049999999999997</v>
      </c>
      <c r="G67">
        <v>0.3795</v>
      </c>
      <c r="H67">
        <v>0.16250000000000001</v>
      </c>
      <c r="I67">
        <v>0.216</v>
      </c>
      <c r="J67">
        <v>8</v>
      </c>
      <c r="K67">
        <v>9</v>
      </c>
      <c r="L67" t="s">
        <v>34</v>
      </c>
      <c r="M67" t="s">
        <v>35</v>
      </c>
      <c r="N67" t="s">
        <v>36</v>
      </c>
      <c r="O67">
        <v>7</v>
      </c>
      <c r="P67" t="s">
        <v>6</v>
      </c>
      <c r="Q67">
        <v>2.5</v>
      </c>
      <c r="R67" t="str">
        <f t="shared" ref="R67:R130" si="3">IF(OR(AND(J67 &gt; 15, B67 = "Infant"), AND(D67 = "Male", C67 &gt; 0.75),
    OR(I67 &gt; 0.8, G67 &gt; 0.5), G67 &gt; 1.2),
    "I",
    IF(OR(AND(I67 &lt; 0.4, G67 &lt; 0.4), AND(J67 &gt; 15, D67 = "Male"), AND(J67 &gt; 18, D67 = "Female"), C67 &lt; 0.36),
    "II",
    "III"))</f>
        <v>II</v>
      </c>
      <c r="S67">
        <f t="shared" ref="S67:S130" si="4">IF(OR(AND(J67 &gt; 15, B67 = "Infant"), AND(D67 = "Male", C67 &gt; 0.75), OR(I67 &gt; 0.8, G67 &gt; 0.5), G67 &gt; 1.2), (1 + (1/3)*(C67 - 0.5) + (1/3)*(D67 - 0.4) + (1/3)*(E67 - 0.4)) * F67 * 0.5 * 1.5, IF(OR(AND(I67 &lt; 0.4, G67 &lt; 0.4), AND(J67 &gt; 15, D67 = "Male"), AND(J67 &gt; 18, D67 = "Female"), C67 &lt; 0.36), (1 + (1/3)*(C67 - 0.5) + (1/3)*(D67 - 0.4) + (1/3)*(E67 - 0.4)) * F67 * 0.5 * 0.8, (1 + (1/3)*(C67 - 0.5) + (1/3)*(D67 - 0.4) + (1/3)*(E67 - 0.4)) * F67 * 0.5))</f>
        <v>0.29606966666666668</v>
      </c>
    </row>
    <row r="68" spans="1:19">
      <c r="A68">
        <v>3671</v>
      </c>
      <c r="B68" t="s">
        <v>33</v>
      </c>
      <c r="C68">
        <v>0.59</v>
      </c>
      <c r="D68">
        <v>0.46500000000000002</v>
      </c>
      <c r="E68">
        <v>0.13500000000000001</v>
      </c>
      <c r="F68">
        <v>0.98950000000000005</v>
      </c>
      <c r="G68">
        <v>0.42349999999999999</v>
      </c>
      <c r="H68">
        <v>0.19900000000000001</v>
      </c>
      <c r="I68">
        <v>0.28000000000000003</v>
      </c>
      <c r="J68">
        <v>8</v>
      </c>
      <c r="K68">
        <v>8</v>
      </c>
      <c r="L68" t="s">
        <v>55</v>
      </c>
      <c r="M68" t="s">
        <v>56</v>
      </c>
      <c r="N68" t="s">
        <v>57</v>
      </c>
      <c r="O68">
        <v>4</v>
      </c>
      <c r="P68" t="s">
        <v>8</v>
      </c>
      <c r="Q68">
        <v>6.1</v>
      </c>
      <c r="R68" t="str">
        <f t="shared" si="3"/>
        <v>III</v>
      </c>
      <c r="S68">
        <f t="shared" si="4"/>
        <v>0.47660916666666669</v>
      </c>
    </row>
    <row r="69" spans="1:19">
      <c r="A69">
        <v>3774</v>
      </c>
      <c r="B69" t="s">
        <v>33</v>
      </c>
      <c r="C69">
        <v>0.57499999999999996</v>
      </c>
      <c r="D69">
        <v>0.46</v>
      </c>
      <c r="E69">
        <v>0.15</v>
      </c>
      <c r="F69">
        <v>0.92700000000000005</v>
      </c>
      <c r="G69">
        <v>0.33300000000000002</v>
      </c>
      <c r="H69">
        <v>0.20699999999999999</v>
      </c>
      <c r="I69">
        <v>0.29849999999999999</v>
      </c>
      <c r="J69">
        <v>9</v>
      </c>
      <c r="K69">
        <v>5</v>
      </c>
      <c r="L69" t="s">
        <v>67</v>
      </c>
      <c r="M69" t="s">
        <v>68</v>
      </c>
      <c r="N69" t="s">
        <v>69</v>
      </c>
      <c r="O69">
        <v>1</v>
      </c>
      <c r="P69" t="s">
        <v>4</v>
      </c>
      <c r="Q69">
        <v>22.1</v>
      </c>
      <c r="R69" t="str">
        <f t="shared" si="3"/>
        <v>II</v>
      </c>
      <c r="S69">
        <f t="shared" si="4"/>
        <v>0.35658600000000001</v>
      </c>
    </row>
    <row r="70" spans="1:19">
      <c r="A70">
        <v>281</v>
      </c>
      <c r="B70" t="s">
        <v>33</v>
      </c>
      <c r="C70">
        <v>0.53500000000000003</v>
      </c>
      <c r="D70">
        <v>0.41499999999999998</v>
      </c>
      <c r="E70">
        <v>0.185</v>
      </c>
      <c r="F70">
        <v>0.84150000000000003</v>
      </c>
      <c r="G70">
        <v>0.314</v>
      </c>
      <c r="H70">
        <v>0.1585</v>
      </c>
      <c r="I70">
        <v>0.3</v>
      </c>
      <c r="J70">
        <v>15</v>
      </c>
      <c r="K70">
        <v>9</v>
      </c>
      <c r="L70" t="s">
        <v>34</v>
      </c>
      <c r="M70" t="s">
        <v>35</v>
      </c>
      <c r="N70" t="s">
        <v>36</v>
      </c>
      <c r="O70">
        <v>5</v>
      </c>
      <c r="P70" t="s">
        <v>12</v>
      </c>
      <c r="Q70">
        <v>12.8</v>
      </c>
      <c r="R70" t="str">
        <f t="shared" si="3"/>
        <v>II</v>
      </c>
      <c r="S70">
        <f t="shared" si="4"/>
        <v>0.31808700000000001</v>
      </c>
    </row>
    <row r="71" spans="1:19">
      <c r="A71">
        <v>2924</v>
      </c>
      <c r="B71" t="s">
        <v>33</v>
      </c>
      <c r="C71">
        <v>0.60499999999999998</v>
      </c>
      <c r="D71">
        <v>0.495</v>
      </c>
      <c r="E71">
        <v>0.17</v>
      </c>
      <c r="F71">
        <v>1.0914999999999999</v>
      </c>
      <c r="G71">
        <v>0.4365</v>
      </c>
      <c r="H71">
        <v>0.27150000000000002</v>
      </c>
      <c r="I71">
        <v>0.33500000000000002</v>
      </c>
      <c r="J71">
        <v>13</v>
      </c>
      <c r="K71">
        <v>9</v>
      </c>
      <c r="L71" t="s">
        <v>34</v>
      </c>
      <c r="M71" t="s">
        <v>35</v>
      </c>
      <c r="N71" t="s">
        <v>36</v>
      </c>
      <c r="O71">
        <v>9</v>
      </c>
      <c r="P71" t="s">
        <v>9</v>
      </c>
      <c r="Q71">
        <v>1.9</v>
      </c>
      <c r="R71" t="str">
        <f t="shared" si="3"/>
        <v>III</v>
      </c>
      <c r="S71">
        <f t="shared" si="4"/>
        <v>0.54029249999999995</v>
      </c>
    </row>
    <row r="72" spans="1:19">
      <c r="A72">
        <v>287</v>
      </c>
      <c r="B72" t="s">
        <v>33</v>
      </c>
      <c r="C72">
        <v>0.53</v>
      </c>
      <c r="D72">
        <v>0.435</v>
      </c>
      <c r="E72">
        <v>0.155</v>
      </c>
      <c r="F72">
        <v>0.69899999999999995</v>
      </c>
      <c r="G72">
        <v>0.28799999999999998</v>
      </c>
      <c r="H72">
        <v>0.1595</v>
      </c>
      <c r="I72">
        <v>0.20499999999999999</v>
      </c>
      <c r="J72">
        <v>10</v>
      </c>
      <c r="K72">
        <v>12</v>
      </c>
      <c r="L72" t="s">
        <v>58</v>
      </c>
      <c r="M72" t="s">
        <v>59</v>
      </c>
      <c r="N72" t="s">
        <v>45</v>
      </c>
      <c r="O72">
        <v>9</v>
      </c>
      <c r="P72" t="s">
        <v>9</v>
      </c>
      <c r="Q72">
        <v>1.9</v>
      </c>
      <c r="R72" t="str">
        <f t="shared" si="3"/>
        <v>II</v>
      </c>
      <c r="S72">
        <f t="shared" si="4"/>
        <v>0.262824</v>
      </c>
    </row>
    <row r="73" spans="1:19">
      <c r="A73">
        <v>2664</v>
      </c>
      <c r="B73" t="s">
        <v>33</v>
      </c>
      <c r="C73">
        <v>0.56999999999999995</v>
      </c>
      <c r="D73">
        <v>0.45</v>
      </c>
      <c r="E73">
        <v>0.13500000000000001</v>
      </c>
      <c r="F73">
        <v>1.02</v>
      </c>
      <c r="G73">
        <v>0.54600000000000004</v>
      </c>
      <c r="H73">
        <v>0.20399999999999999</v>
      </c>
      <c r="I73">
        <v>0.25</v>
      </c>
      <c r="J73">
        <v>9</v>
      </c>
      <c r="K73">
        <v>7</v>
      </c>
      <c r="L73" t="s">
        <v>62</v>
      </c>
      <c r="M73" t="s">
        <v>63</v>
      </c>
      <c r="N73" t="s">
        <v>64</v>
      </c>
      <c r="O73">
        <v>5</v>
      </c>
      <c r="P73" t="s">
        <v>12</v>
      </c>
      <c r="Q73">
        <v>12.8</v>
      </c>
      <c r="R73" t="str">
        <f t="shared" si="3"/>
        <v>I</v>
      </c>
      <c r="S73">
        <f t="shared" si="4"/>
        <v>0.72802500000000003</v>
      </c>
    </row>
    <row r="74" spans="1:19">
      <c r="A74">
        <v>2515</v>
      </c>
      <c r="B74" t="s">
        <v>33</v>
      </c>
      <c r="C74">
        <v>0.47</v>
      </c>
      <c r="D74">
        <v>0.37</v>
      </c>
      <c r="E74">
        <v>0.11</v>
      </c>
      <c r="F74">
        <v>0.55549999999999999</v>
      </c>
      <c r="G74">
        <v>0.25</v>
      </c>
      <c r="H74">
        <v>0.115</v>
      </c>
      <c r="I74">
        <v>0.16300000000000001</v>
      </c>
      <c r="J74">
        <v>8</v>
      </c>
      <c r="K74">
        <v>2</v>
      </c>
      <c r="L74" t="s">
        <v>49</v>
      </c>
      <c r="M74" t="s">
        <v>50</v>
      </c>
      <c r="N74" t="s">
        <v>51</v>
      </c>
      <c r="O74">
        <v>9</v>
      </c>
      <c r="P74" t="s">
        <v>9</v>
      </c>
      <c r="Q74">
        <v>1.9</v>
      </c>
      <c r="R74" t="str">
        <f t="shared" si="3"/>
        <v>II</v>
      </c>
      <c r="S74">
        <f t="shared" si="4"/>
        <v>0.19627666666666665</v>
      </c>
    </row>
    <row r="75" spans="1:19">
      <c r="A75">
        <v>1666</v>
      </c>
      <c r="B75" t="s">
        <v>33</v>
      </c>
      <c r="C75">
        <v>0.60499999999999998</v>
      </c>
      <c r="D75">
        <v>0.48</v>
      </c>
      <c r="E75">
        <v>0.14000000000000001</v>
      </c>
      <c r="F75">
        <v>0.99099999999999999</v>
      </c>
      <c r="G75">
        <v>0.47349999999999998</v>
      </c>
      <c r="H75">
        <v>0.23449999999999999</v>
      </c>
      <c r="I75">
        <v>0.24</v>
      </c>
      <c r="J75">
        <v>8</v>
      </c>
      <c r="K75">
        <v>12</v>
      </c>
      <c r="L75" t="s">
        <v>58</v>
      </c>
      <c r="M75" t="s">
        <v>59</v>
      </c>
      <c r="N75" t="s">
        <v>45</v>
      </c>
      <c r="O75">
        <v>5</v>
      </c>
      <c r="P75" t="s">
        <v>12</v>
      </c>
      <c r="Q75">
        <v>12.8</v>
      </c>
      <c r="R75" t="str">
        <f t="shared" si="3"/>
        <v>III</v>
      </c>
      <c r="S75">
        <f t="shared" si="4"/>
        <v>0.48311249999999994</v>
      </c>
    </row>
    <row r="76" spans="1:19">
      <c r="A76">
        <v>3817</v>
      </c>
      <c r="B76" t="s">
        <v>33</v>
      </c>
      <c r="C76">
        <v>0.46500000000000002</v>
      </c>
      <c r="D76">
        <v>0.35499999999999998</v>
      </c>
      <c r="E76">
        <v>0.12</v>
      </c>
      <c r="F76">
        <v>0.53149999999999997</v>
      </c>
      <c r="G76">
        <v>0.27250000000000002</v>
      </c>
      <c r="H76">
        <v>9.7000000000000003E-2</v>
      </c>
      <c r="I76">
        <v>0.13950000000000001</v>
      </c>
      <c r="J76">
        <v>8</v>
      </c>
      <c r="K76">
        <v>2</v>
      </c>
      <c r="L76" t="s">
        <v>49</v>
      </c>
      <c r="M76" t="s">
        <v>50</v>
      </c>
      <c r="N76" t="s">
        <v>51</v>
      </c>
      <c r="O76">
        <v>9</v>
      </c>
      <c r="P76" t="s">
        <v>9</v>
      </c>
      <c r="Q76">
        <v>1.9</v>
      </c>
      <c r="R76" t="str">
        <f t="shared" si="3"/>
        <v>II</v>
      </c>
      <c r="S76">
        <f t="shared" si="4"/>
        <v>0.18708799999999998</v>
      </c>
    </row>
    <row r="77" spans="1:19">
      <c r="A77">
        <v>2766</v>
      </c>
      <c r="B77" t="s">
        <v>33</v>
      </c>
      <c r="C77">
        <v>0.55500000000000005</v>
      </c>
      <c r="D77">
        <v>0.435</v>
      </c>
      <c r="E77">
        <v>0.14499999999999999</v>
      </c>
      <c r="F77">
        <v>0.69750000000000001</v>
      </c>
      <c r="G77">
        <v>0.26200000000000001</v>
      </c>
      <c r="H77">
        <v>0.1575</v>
      </c>
      <c r="I77">
        <v>0.24</v>
      </c>
      <c r="J77">
        <v>11</v>
      </c>
      <c r="K77">
        <v>12</v>
      </c>
      <c r="L77" t="s">
        <v>58</v>
      </c>
      <c r="M77" t="s">
        <v>59</v>
      </c>
      <c r="N77" t="s">
        <v>45</v>
      </c>
      <c r="O77">
        <v>10</v>
      </c>
      <c r="P77" t="s">
        <v>11</v>
      </c>
      <c r="Q77">
        <v>24.1</v>
      </c>
      <c r="R77" t="str">
        <f t="shared" si="3"/>
        <v>II</v>
      </c>
      <c r="S77">
        <f t="shared" si="4"/>
        <v>0.26365500000000003</v>
      </c>
    </row>
    <row r="78" spans="1:19">
      <c r="A78">
        <v>694</v>
      </c>
      <c r="B78" t="s">
        <v>33</v>
      </c>
      <c r="C78">
        <v>0.38</v>
      </c>
      <c r="D78">
        <v>0.28999999999999998</v>
      </c>
      <c r="E78">
        <v>0.12</v>
      </c>
      <c r="F78">
        <v>0.28299999999999997</v>
      </c>
      <c r="G78">
        <v>0.11749999999999999</v>
      </c>
      <c r="H78">
        <v>6.5500000000000003E-2</v>
      </c>
      <c r="I78">
        <v>8.5000000000000006E-2</v>
      </c>
      <c r="J78">
        <v>9</v>
      </c>
      <c r="K78">
        <v>13</v>
      </c>
      <c r="L78" t="s">
        <v>43</v>
      </c>
      <c r="M78" t="s">
        <v>44</v>
      </c>
      <c r="N78" t="s">
        <v>45</v>
      </c>
      <c r="O78">
        <v>2</v>
      </c>
      <c r="P78" t="s">
        <v>5</v>
      </c>
      <c r="Q78">
        <v>18</v>
      </c>
      <c r="R78" t="str">
        <f t="shared" si="3"/>
        <v>II</v>
      </c>
      <c r="S78">
        <f t="shared" si="4"/>
        <v>9.3955999999999984E-2</v>
      </c>
    </row>
    <row r="79" spans="1:19">
      <c r="A79">
        <v>2282</v>
      </c>
      <c r="B79" t="s">
        <v>33</v>
      </c>
      <c r="C79">
        <v>0.48499999999999999</v>
      </c>
      <c r="D79">
        <v>0.41499999999999998</v>
      </c>
      <c r="E79">
        <v>0.14000000000000001</v>
      </c>
      <c r="F79">
        <v>0.57050000000000001</v>
      </c>
      <c r="G79">
        <v>0.25</v>
      </c>
      <c r="H79">
        <v>0.13400000000000001</v>
      </c>
      <c r="I79">
        <v>0.185</v>
      </c>
      <c r="J79">
        <v>8</v>
      </c>
      <c r="K79">
        <v>14</v>
      </c>
      <c r="L79" t="s">
        <v>72</v>
      </c>
      <c r="M79" t="s">
        <v>73</v>
      </c>
      <c r="N79" t="s">
        <v>74</v>
      </c>
      <c r="O79">
        <v>5</v>
      </c>
      <c r="P79" t="s">
        <v>12</v>
      </c>
      <c r="Q79">
        <v>12.8</v>
      </c>
      <c r="R79" t="str">
        <f t="shared" si="3"/>
        <v>II</v>
      </c>
      <c r="S79">
        <f t="shared" si="4"/>
        <v>0.2084226666666667</v>
      </c>
    </row>
    <row r="80" spans="1:19">
      <c r="A80">
        <v>3496</v>
      </c>
      <c r="B80" t="s">
        <v>33</v>
      </c>
      <c r="C80">
        <v>0.56000000000000005</v>
      </c>
      <c r="D80">
        <v>0.41499999999999998</v>
      </c>
      <c r="E80">
        <v>0.13</v>
      </c>
      <c r="F80">
        <v>0.76149999999999995</v>
      </c>
      <c r="G80">
        <v>0.3695</v>
      </c>
      <c r="H80">
        <v>0.17</v>
      </c>
      <c r="I80">
        <v>0.19550000000000001</v>
      </c>
      <c r="J80">
        <v>8</v>
      </c>
      <c r="K80">
        <v>13</v>
      </c>
      <c r="L80" t="s">
        <v>43</v>
      </c>
      <c r="M80" t="s">
        <v>44</v>
      </c>
      <c r="N80" t="s">
        <v>45</v>
      </c>
      <c r="O80">
        <v>9</v>
      </c>
      <c r="P80" t="s">
        <v>9</v>
      </c>
      <c r="Q80">
        <v>1.9</v>
      </c>
      <c r="R80" t="str">
        <f t="shared" si="3"/>
        <v>II</v>
      </c>
      <c r="S80">
        <f t="shared" si="4"/>
        <v>0.28480099999999997</v>
      </c>
    </row>
    <row r="81" spans="1:19">
      <c r="A81">
        <v>2441</v>
      </c>
      <c r="B81" t="s">
        <v>33</v>
      </c>
      <c r="C81">
        <v>0.46500000000000002</v>
      </c>
      <c r="D81">
        <v>0.35499999999999998</v>
      </c>
      <c r="E81">
        <v>0.125</v>
      </c>
      <c r="F81">
        <v>0.52549999999999997</v>
      </c>
      <c r="G81">
        <v>0.20250000000000001</v>
      </c>
      <c r="H81">
        <v>0.13500000000000001</v>
      </c>
      <c r="I81">
        <v>0.14499999999999999</v>
      </c>
      <c r="J81">
        <v>13</v>
      </c>
      <c r="K81">
        <v>14</v>
      </c>
      <c r="L81" t="s">
        <v>72</v>
      </c>
      <c r="M81" t="s">
        <v>73</v>
      </c>
      <c r="N81" t="s">
        <v>74</v>
      </c>
      <c r="O81">
        <v>5</v>
      </c>
      <c r="P81" t="s">
        <v>12</v>
      </c>
      <c r="Q81">
        <v>12.8</v>
      </c>
      <c r="R81" t="str">
        <f t="shared" si="3"/>
        <v>II</v>
      </c>
      <c r="S81">
        <f t="shared" si="4"/>
        <v>0.18532633333333332</v>
      </c>
    </row>
    <row r="82" spans="1:19">
      <c r="A82">
        <v>1168</v>
      </c>
      <c r="B82" t="s">
        <v>33</v>
      </c>
      <c r="C82">
        <v>0.62</v>
      </c>
      <c r="D82">
        <v>0.47</v>
      </c>
      <c r="E82">
        <v>0.13500000000000001</v>
      </c>
      <c r="F82">
        <v>1.0195000000000001</v>
      </c>
      <c r="G82">
        <v>0.53149999999999997</v>
      </c>
      <c r="H82">
        <v>0.20050000000000001</v>
      </c>
      <c r="I82">
        <v>0.2475</v>
      </c>
      <c r="J82">
        <v>8</v>
      </c>
      <c r="K82">
        <v>11</v>
      </c>
      <c r="L82" t="s">
        <v>65</v>
      </c>
      <c r="M82" t="s">
        <v>66</v>
      </c>
      <c r="N82" t="s">
        <v>45</v>
      </c>
      <c r="O82">
        <v>9</v>
      </c>
      <c r="P82" t="s">
        <v>9</v>
      </c>
      <c r="Q82">
        <v>1.9</v>
      </c>
      <c r="R82" t="str">
        <f t="shared" si="3"/>
        <v>I</v>
      </c>
      <c r="S82">
        <f t="shared" si="4"/>
        <v>0.74550937500000014</v>
      </c>
    </row>
    <row r="83" spans="1:19">
      <c r="A83">
        <v>609</v>
      </c>
      <c r="B83" t="s">
        <v>33</v>
      </c>
      <c r="C83">
        <v>0.37</v>
      </c>
      <c r="D83">
        <v>0.28499999999999998</v>
      </c>
      <c r="E83">
        <v>0.1</v>
      </c>
      <c r="F83">
        <v>0.22800000000000001</v>
      </c>
      <c r="G83">
        <v>6.7500000000000004E-2</v>
      </c>
      <c r="H83">
        <v>6.7500000000000004E-2</v>
      </c>
      <c r="I83">
        <v>8.1000000000000003E-2</v>
      </c>
      <c r="J83">
        <v>10</v>
      </c>
      <c r="K83">
        <v>4</v>
      </c>
      <c r="L83" t="s">
        <v>40</v>
      </c>
      <c r="M83" t="s">
        <v>41</v>
      </c>
      <c r="N83" t="s">
        <v>42</v>
      </c>
      <c r="O83">
        <v>9</v>
      </c>
      <c r="P83" t="s">
        <v>9</v>
      </c>
      <c r="Q83">
        <v>1.9</v>
      </c>
      <c r="R83" t="str">
        <f t="shared" si="3"/>
        <v>II</v>
      </c>
      <c r="S83">
        <f t="shared" si="4"/>
        <v>7.4632000000000018E-2</v>
      </c>
    </row>
    <row r="84" spans="1:19">
      <c r="A84">
        <v>3768</v>
      </c>
      <c r="B84" t="s">
        <v>33</v>
      </c>
      <c r="C84">
        <v>0.55500000000000005</v>
      </c>
      <c r="D84">
        <v>0.46</v>
      </c>
      <c r="E84">
        <v>0.16</v>
      </c>
      <c r="F84">
        <v>0.86</v>
      </c>
      <c r="G84">
        <v>0.33450000000000002</v>
      </c>
      <c r="H84">
        <v>0.19350000000000001</v>
      </c>
      <c r="I84">
        <v>0.27500000000000002</v>
      </c>
      <c r="J84">
        <v>10</v>
      </c>
      <c r="K84">
        <v>5</v>
      </c>
      <c r="L84" t="s">
        <v>67</v>
      </c>
      <c r="M84" t="s">
        <v>68</v>
      </c>
      <c r="N84" t="s">
        <v>69</v>
      </c>
      <c r="O84">
        <v>8</v>
      </c>
      <c r="P84" t="s">
        <v>13</v>
      </c>
      <c r="Q84">
        <v>12.3</v>
      </c>
      <c r="R84" t="str">
        <f t="shared" si="3"/>
        <v>II</v>
      </c>
      <c r="S84">
        <f t="shared" si="4"/>
        <v>0.32966666666666672</v>
      </c>
    </row>
    <row r="85" spans="1:19">
      <c r="A85">
        <v>1311</v>
      </c>
      <c r="B85" t="s">
        <v>33</v>
      </c>
      <c r="C85">
        <v>0.54500000000000004</v>
      </c>
      <c r="D85">
        <v>0.40500000000000003</v>
      </c>
      <c r="E85">
        <v>0.13500000000000001</v>
      </c>
      <c r="F85">
        <v>0.59450000000000003</v>
      </c>
      <c r="G85">
        <v>0.27</v>
      </c>
      <c r="H85">
        <v>0.11849999999999999</v>
      </c>
      <c r="I85">
        <v>0.185</v>
      </c>
      <c r="J85">
        <v>8</v>
      </c>
      <c r="K85">
        <v>3</v>
      </c>
      <c r="L85" t="s">
        <v>52</v>
      </c>
      <c r="M85" t="s">
        <v>53</v>
      </c>
      <c r="N85" t="s">
        <v>54</v>
      </c>
      <c r="O85">
        <v>4</v>
      </c>
      <c r="P85" t="s">
        <v>8</v>
      </c>
      <c r="Q85">
        <v>6.1</v>
      </c>
      <c r="R85" t="str">
        <f t="shared" si="3"/>
        <v>II</v>
      </c>
      <c r="S85">
        <f t="shared" si="4"/>
        <v>0.22075766666666674</v>
      </c>
    </row>
    <row r="86" spans="1:19">
      <c r="A86">
        <v>21</v>
      </c>
      <c r="B86" t="s">
        <v>33</v>
      </c>
      <c r="C86">
        <v>0.35499999999999998</v>
      </c>
      <c r="D86">
        <v>0.28000000000000003</v>
      </c>
      <c r="E86">
        <v>9.5000000000000001E-2</v>
      </c>
      <c r="F86">
        <v>0.2455</v>
      </c>
      <c r="G86">
        <v>9.5500000000000002E-2</v>
      </c>
      <c r="H86">
        <v>6.2E-2</v>
      </c>
      <c r="I86">
        <v>7.4999999999999997E-2</v>
      </c>
      <c r="J86">
        <v>11</v>
      </c>
      <c r="K86">
        <v>9</v>
      </c>
      <c r="L86" t="s">
        <v>34</v>
      </c>
      <c r="M86" t="s">
        <v>35</v>
      </c>
      <c r="N86" t="s">
        <v>36</v>
      </c>
      <c r="O86">
        <v>4</v>
      </c>
      <c r="P86" t="s">
        <v>8</v>
      </c>
      <c r="Q86">
        <v>6.1</v>
      </c>
      <c r="R86" t="str">
        <f t="shared" si="3"/>
        <v>II</v>
      </c>
      <c r="S86">
        <f t="shared" si="4"/>
        <v>7.9542000000000002E-2</v>
      </c>
    </row>
    <row r="87" spans="1:19">
      <c r="A87">
        <v>3432</v>
      </c>
      <c r="B87" t="s">
        <v>33</v>
      </c>
      <c r="C87">
        <v>0.35</v>
      </c>
      <c r="D87">
        <v>0.26500000000000001</v>
      </c>
      <c r="E87">
        <v>9.5000000000000001E-2</v>
      </c>
      <c r="F87">
        <v>0.19900000000000001</v>
      </c>
      <c r="G87">
        <v>7.2999999999999995E-2</v>
      </c>
      <c r="H87">
        <v>4.9000000000000002E-2</v>
      </c>
      <c r="I87">
        <v>0.06</v>
      </c>
      <c r="J87">
        <v>5</v>
      </c>
      <c r="K87">
        <v>9</v>
      </c>
      <c r="L87" t="s">
        <v>34</v>
      </c>
      <c r="M87" t="s">
        <v>35</v>
      </c>
      <c r="N87" t="s">
        <v>36</v>
      </c>
      <c r="O87">
        <v>9</v>
      </c>
      <c r="P87" t="s">
        <v>9</v>
      </c>
      <c r="Q87">
        <v>1.9</v>
      </c>
      <c r="R87" t="str">
        <f t="shared" si="3"/>
        <v>II</v>
      </c>
      <c r="S87">
        <f t="shared" si="4"/>
        <v>6.394533333333334E-2</v>
      </c>
    </row>
    <row r="88" spans="1:19">
      <c r="A88">
        <v>1674</v>
      </c>
      <c r="B88" t="s">
        <v>33</v>
      </c>
      <c r="C88">
        <v>0.61</v>
      </c>
      <c r="D88">
        <v>0.46500000000000002</v>
      </c>
      <c r="E88">
        <v>0.125</v>
      </c>
      <c r="F88">
        <v>0.92249999999999999</v>
      </c>
      <c r="G88">
        <v>0.436</v>
      </c>
      <c r="H88">
        <v>0.19</v>
      </c>
      <c r="I88">
        <v>0.26</v>
      </c>
      <c r="J88">
        <v>9</v>
      </c>
      <c r="K88">
        <v>5</v>
      </c>
      <c r="L88" t="s">
        <v>67</v>
      </c>
      <c r="M88" t="s">
        <v>68</v>
      </c>
      <c r="N88" t="s">
        <v>69</v>
      </c>
      <c r="O88">
        <v>2</v>
      </c>
      <c r="P88" t="s">
        <v>5</v>
      </c>
      <c r="Q88">
        <v>18</v>
      </c>
      <c r="R88" t="str">
        <f t="shared" si="3"/>
        <v>III</v>
      </c>
      <c r="S88">
        <f t="shared" si="4"/>
        <v>0.44587500000000002</v>
      </c>
    </row>
    <row r="89" spans="1:19">
      <c r="A89">
        <v>3816</v>
      </c>
      <c r="B89" t="s">
        <v>33</v>
      </c>
      <c r="C89">
        <v>0.46</v>
      </c>
      <c r="D89">
        <v>0.34</v>
      </c>
      <c r="E89">
        <v>0.1</v>
      </c>
      <c r="F89">
        <v>0.38600000000000001</v>
      </c>
      <c r="G89">
        <v>0.18049999999999999</v>
      </c>
      <c r="H89">
        <v>8.7499999999999994E-2</v>
      </c>
      <c r="I89">
        <v>9.6500000000000002E-2</v>
      </c>
      <c r="J89">
        <v>8</v>
      </c>
      <c r="K89">
        <v>1</v>
      </c>
      <c r="L89" t="s">
        <v>70</v>
      </c>
      <c r="M89" t="s">
        <v>71</v>
      </c>
      <c r="N89" t="s">
        <v>45</v>
      </c>
      <c r="O89">
        <v>1</v>
      </c>
      <c r="P89" t="s">
        <v>4</v>
      </c>
      <c r="Q89">
        <v>22.1</v>
      </c>
      <c r="R89" t="str">
        <f t="shared" si="3"/>
        <v>II</v>
      </c>
      <c r="S89">
        <f t="shared" si="4"/>
        <v>0.13381333333333334</v>
      </c>
    </row>
    <row r="90" spans="1:19">
      <c r="A90">
        <v>727</v>
      </c>
      <c r="B90" t="s">
        <v>33</v>
      </c>
      <c r="C90">
        <v>0.4</v>
      </c>
      <c r="D90">
        <v>0.30499999999999999</v>
      </c>
      <c r="E90">
        <v>8.5000000000000006E-2</v>
      </c>
      <c r="F90">
        <v>0.29699999999999999</v>
      </c>
      <c r="G90">
        <v>0.108</v>
      </c>
      <c r="H90">
        <v>7.0499999999999993E-2</v>
      </c>
      <c r="I90">
        <v>0.1</v>
      </c>
      <c r="J90">
        <v>10</v>
      </c>
      <c r="K90">
        <v>4</v>
      </c>
      <c r="L90" t="s">
        <v>40</v>
      </c>
      <c r="M90" t="s">
        <v>41</v>
      </c>
      <c r="N90" t="s">
        <v>42</v>
      </c>
      <c r="O90">
        <v>2</v>
      </c>
      <c r="P90" t="s">
        <v>5</v>
      </c>
      <c r="Q90">
        <v>18</v>
      </c>
      <c r="R90" t="str">
        <f t="shared" si="3"/>
        <v>II</v>
      </c>
      <c r="S90">
        <f t="shared" si="4"/>
        <v>9.8604000000000011E-2</v>
      </c>
    </row>
    <row r="91" spans="1:19">
      <c r="A91">
        <v>1110</v>
      </c>
      <c r="B91" t="s">
        <v>33</v>
      </c>
      <c r="C91">
        <v>0.52</v>
      </c>
      <c r="D91">
        <v>0.4</v>
      </c>
      <c r="E91">
        <v>0.14499999999999999</v>
      </c>
      <c r="F91">
        <v>0.77649999999999997</v>
      </c>
      <c r="G91">
        <v>0.35249999999999998</v>
      </c>
      <c r="H91">
        <v>0.1845</v>
      </c>
      <c r="I91">
        <v>0.185</v>
      </c>
      <c r="J91">
        <v>9</v>
      </c>
      <c r="K91">
        <v>4</v>
      </c>
      <c r="L91" t="s">
        <v>40</v>
      </c>
      <c r="M91" t="s">
        <v>41</v>
      </c>
      <c r="N91" t="s">
        <v>42</v>
      </c>
      <c r="O91">
        <v>5</v>
      </c>
      <c r="P91" t="s">
        <v>12</v>
      </c>
      <c r="Q91">
        <v>12.8</v>
      </c>
      <c r="R91" t="str">
        <f t="shared" si="3"/>
        <v>II</v>
      </c>
      <c r="S91">
        <f t="shared" si="4"/>
        <v>0.28626966666666664</v>
      </c>
    </row>
    <row r="92" spans="1:19">
      <c r="A92">
        <v>3866</v>
      </c>
      <c r="B92" t="s">
        <v>33</v>
      </c>
      <c r="C92">
        <v>0.52500000000000002</v>
      </c>
      <c r="D92">
        <v>0.39500000000000002</v>
      </c>
      <c r="E92">
        <v>0.16500000000000001</v>
      </c>
      <c r="F92">
        <v>0.78200000000000003</v>
      </c>
      <c r="G92">
        <v>0.28499999999999998</v>
      </c>
      <c r="H92">
        <v>0.14050000000000001</v>
      </c>
      <c r="I92">
        <v>0.28499999999999998</v>
      </c>
      <c r="J92">
        <v>19</v>
      </c>
      <c r="K92">
        <v>6</v>
      </c>
      <c r="L92" t="s">
        <v>46</v>
      </c>
      <c r="M92" t="s">
        <v>47</v>
      </c>
      <c r="N92" t="s">
        <v>48</v>
      </c>
      <c r="O92">
        <v>1</v>
      </c>
      <c r="P92" t="s">
        <v>4</v>
      </c>
      <c r="Q92">
        <v>22.1</v>
      </c>
      <c r="R92" t="str">
        <f t="shared" si="3"/>
        <v>II</v>
      </c>
      <c r="S92">
        <f t="shared" si="4"/>
        <v>0.29038266666666662</v>
      </c>
    </row>
    <row r="93" spans="1:19">
      <c r="A93">
        <v>520</v>
      </c>
      <c r="B93" t="s">
        <v>33</v>
      </c>
      <c r="C93">
        <v>0.34499999999999997</v>
      </c>
      <c r="D93">
        <v>0.25</v>
      </c>
      <c r="E93">
        <v>0.09</v>
      </c>
      <c r="F93">
        <v>0.20300000000000001</v>
      </c>
      <c r="G93">
        <v>7.8E-2</v>
      </c>
      <c r="H93">
        <v>5.8999999999999997E-2</v>
      </c>
      <c r="I93">
        <v>5.5E-2</v>
      </c>
      <c r="J93">
        <v>6</v>
      </c>
      <c r="K93">
        <v>4</v>
      </c>
      <c r="L93" t="s">
        <v>40</v>
      </c>
      <c r="M93" t="s">
        <v>41</v>
      </c>
      <c r="N93" t="s">
        <v>42</v>
      </c>
      <c r="O93">
        <v>9</v>
      </c>
      <c r="P93" t="s">
        <v>9</v>
      </c>
      <c r="Q93">
        <v>1.9</v>
      </c>
      <c r="R93" t="str">
        <f t="shared" si="3"/>
        <v>II</v>
      </c>
      <c r="S93">
        <f t="shared" si="4"/>
        <v>6.4554E-2</v>
      </c>
    </row>
    <row r="94" spans="1:19">
      <c r="A94">
        <v>3326</v>
      </c>
      <c r="B94" t="s">
        <v>33</v>
      </c>
      <c r="C94">
        <v>0.34499999999999997</v>
      </c>
      <c r="D94">
        <v>0.26500000000000001</v>
      </c>
      <c r="E94">
        <v>0.09</v>
      </c>
      <c r="F94">
        <v>0.16300000000000001</v>
      </c>
      <c r="G94">
        <v>6.1499999999999999E-2</v>
      </c>
      <c r="H94">
        <v>3.6999999999999998E-2</v>
      </c>
      <c r="I94">
        <v>4.8500000000000001E-2</v>
      </c>
      <c r="J94">
        <v>10</v>
      </c>
      <c r="K94">
        <v>2</v>
      </c>
      <c r="L94" t="s">
        <v>49</v>
      </c>
      <c r="M94" t="s">
        <v>50</v>
      </c>
      <c r="N94" t="s">
        <v>51</v>
      </c>
      <c r="O94">
        <v>6</v>
      </c>
      <c r="P94" t="s">
        <v>7</v>
      </c>
      <c r="Q94">
        <v>14.1</v>
      </c>
      <c r="R94" t="str">
        <f t="shared" si="3"/>
        <v>II</v>
      </c>
      <c r="S94">
        <f t="shared" si="4"/>
        <v>5.2159999999999998E-2</v>
      </c>
    </row>
    <row r="95" spans="1:19">
      <c r="A95">
        <v>488</v>
      </c>
      <c r="B95" t="s">
        <v>33</v>
      </c>
      <c r="C95">
        <v>0.625</v>
      </c>
      <c r="D95">
        <v>0.51500000000000001</v>
      </c>
      <c r="E95">
        <v>0.15</v>
      </c>
      <c r="F95">
        <v>1.2415</v>
      </c>
      <c r="G95">
        <v>0.52349999999999997</v>
      </c>
      <c r="H95">
        <v>0.30649999999999999</v>
      </c>
      <c r="I95">
        <v>0.36</v>
      </c>
      <c r="J95">
        <v>15</v>
      </c>
      <c r="K95">
        <v>1</v>
      </c>
      <c r="L95" t="s">
        <v>70</v>
      </c>
      <c r="M95" t="s">
        <v>71</v>
      </c>
      <c r="N95" t="s">
        <v>45</v>
      </c>
      <c r="O95">
        <v>7</v>
      </c>
      <c r="P95" t="s">
        <v>6</v>
      </c>
      <c r="Q95">
        <v>2.5</v>
      </c>
      <c r="R95" t="str">
        <f t="shared" si="3"/>
        <v>I</v>
      </c>
      <c r="S95">
        <f t="shared" si="4"/>
        <v>0.92802125000000002</v>
      </c>
    </row>
    <row r="96" spans="1:19">
      <c r="A96">
        <v>806</v>
      </c>
      <c r="B96" t="s">
        <v>33</v>
      </c>
      <c r="C96">
        <v>0.40500000000000003</v>
      </c>
      <c r="D96">
        <v>0.30499999999999999</v>
      </c>
      <c r="E96">
        <v>0.12</v>
      </c>
      <c r="F96">
        <v>0.31850000000000001</v>
      </c>
      <c r="G96">
        <v>0.1235</v>
      </c>
      <c r="H96">
        <v>9.0499999999999997E-2</v>
      </c>
      <c r="I96">
        <v>9.5000000000000001E-2</v>
      </c>
      <c r="J96">
        <v>7</v>
      </c>
      <c r="K96">
        <v>13</v>
      </c>
      <c r="L96" t="s">
        <v>43</v>
      </c>
      <c r="M96" t="s">
        <v>44</v>
      </c>
      <c r="N96" t="s">
        <v>45</v>
      </c>
      <c r="O96">
        <v>1</v>
      </c>
      <c r="P96" t="s">
        <v>4</v>
      </c>
      <c r="Q96">
        <v>22.1</v>
      </c>
      <c r="R96" t="str">
        <f t="shared" si="3"/>
        <v>II</v>
      </c>
      <c r="S96">
        <f t="shared" si="4"/>
        <v>0.10744066666666668</v>
      </c>
    </row>
    <row r="97" spans="1:19">
      <c r="A97">
        <v>341</v>
      </c>
      <c r="B97" t="s">
        <v>33</v>
      </c>
      <c r="C97">
        <v>0.57499999999999996</v>
      </c>
      <c r="D97">
        <v>0.45500000000000002</v>
      </c>
      <c r="E97">
        <v>0.14499999999999999</v>
      </c>
      <c r="F97">
        <v>1.165</v>
      </c>
      <c r="G97">
        <v>0.58099999999999996</v>
      </c>
      <c r="H97">
        <v>0.22750000000000001</v>
      </c>
      <c r="I97">
        <v>0.3</v>
      </c>
      <c r="J97">
        <v>14</v>
      </c>
      <c r="K97">
        <v>13</v>
      </c>
      <c r="L97" t="s">
        <v>43</v>
      </c>
      <c r="M97" t="s">
        <v>44</v>
      </c>
      <c r="N97" t="s">
        <v>45</v>
      </c>
      <c r="O97">
        <v>4</v>
      </c>
      <c r="P97" t="s">
        <v>8</v>
      </c>
      <c r="Q97">
        <v>6.1</v>
      </c>
      <c r="R97" t="str">
        <f t="shared" si="3"/>
        <v>I</v>
      </c>
      <c r="S97">
        <f t="shared" si="4"/>
        <v>0.83734375000000005</v>
      </c>
    </row>
    <row r="98" spans="1:19">
      <c r="A98">
        <v>393</v>
      </c>
      <c r="B98" t="s">
        <v>33</v>
      </c>
      <c r="C98">
        <v>0.47</v>
      </c>
      <c r="D98">
        <v>0.375</v>
      </c>
      <c r="E98">
        <v>0.125</v>
      </c>
      <c r="F98">
        <v>0.5615</v>
      </c>
      <c r="G98">
        <v>0.252</v>
      </c>
      <c r="H98">
        <v>0.13700000000000001</v>
      </c>
      <c r="I98">
        <v>0.18</v>
      </c>
      <c r="J98">
        <v>10</v>
      </c>
      <c r="K98">
        <v>13</v>
      </c>
      <c r="L98" t="s">
        <v>43</v>
      </c>
      <c r="M98" t="s">
        <v>44</v>
      </c>
      <c r="N98" t="s">
        <v>45</v>
      </c>
      <c r="O98">
        <v>5</v>
      </c>
      <c r="P98" t="s">
        <v>12</v>
      </c>
      <c r="Q98">
        <v>12.8</v>
      </c>
      <c r="R98" t="str">
        <f t="shared" si="3"/>
        <v>II</v>
      </c>
      <c r="S98">
        <f t="shared" si="4"/>
        <v>0.19989400000000002</v>
      </c>
    </row>
    <row r="99" spans="1:19">
      <c r="A99">
        <v>1607</v>
      </c>
      <c r="B99" t="s">
        <v>33</v>
      </c>
      <c r="C99">
        <v>0.54</v>
      </c>
      <c r="D99">
        <v>0.42499999999999999</v>
      </c>
      <c r="E99">
        <v>0.13</v>
      </c>
      <c r="F99">
        <v>0.72050000000000003</v>
      </c>
      <c r="G99">
        <v>0.29549999999999998</v>
      </c>
      <c r="H99">
        <v>0.16900000000000001</v>
      </c>
      <c r="I99">
        <v>0.22500000000000001</v>
      </c>
      <c r="J99">
        <v>10</v>
      </c>
      <c r="K99">
        <v>3</v>
      </c>
      <c r="L99" t="s">
        <v>52</v>
      </c>
      <c r="M99" t="s">
        <v>53</v>
      </c>
      <c r="N99" t="s">
        <v>54</v>
      </c>
      <c r="O99">
        <v>7</v>
      </c>
      <c r="P99" t="s">
        <v>6</v>
      </c>
      <c r="Q99">
        <v>2.5</v>
      </c>
      <c r="R99" t="str">
        <f t="shared" si="3"/>
        <v>II</v>
      </c>
      <c r="S99">
        <f t="shared" si="4"/>
        <v>0.2685063333333334</v>
      </c>
    </row>
    <row r="100" spans="1:19">
      <c r="A100">
        <v>1457</v>
      </c>
      <c r="B100" t="s">
        <v>33</v>
      </c>
      <c r="C100">
        <v>0.47499999999999998</v>
      </c>
      <c r="D100">
        <v>0.36499999999999999</v>
      </c>
      <c r="E100">
        <v>0.115</v>
      </c>
      <c r="F100">
        <v>0.45900000000000002</v>
      </c>
      <c r="G100">
        <v>0.2175</v>
      </c>
      <c r="H100">
        <v>9.2999999999999999E-2</v>
      </c>
      <c r="I100">
        <v>0.11650000000000001</v>
      </c>
      <c r="J100">
        <v>7</v>
      </c>
      <c r="K100">
        <v>10</v>
      </c>
      <c r="L100" t="s">
        <v>37</v>
      </c>
      <c r="M100" t="s">
        <v>38</v>
      </c>
      <c r="N100" t="s">
        <v>39</v>
      </c>
      <c r="O100">
        <v>3</v>
      </c>
      <c r="P100" t="s">
        <v>10</v>
      </c>
      <c r="Q100">
        <v>3.6</v>
      </c>
      <c r="R100" t="str">
        <f t="shared" si="3"/>
        <v>II</v>
      </c>
      <c r="S100">
        <f t="shared" si="4"/>
        <v>0.16248600000000002</v>
      </c>
    </row>
    <row r="101" spans="1:19">
      <c r="A101">
        <v>3740</v>
      </c>
      <c r="B101" t="s">
        <v>33</v>
      </c>
      <c r="C101">
        <v>0.65</v>
      </c>
      <c r="D101">
        <v>0.52500000000000002</v>
      </c>
      <c r="E101">
        <v>0.16500000000000001</v>
      </c>
      <c r="F101">
        <v>1.238</v>
      </c>
      <c r="G101">
        <v>0.64700000000000002</v>
      </c>
      <c r="H101">
        <v>0.2485</v>
      </c>
      <c r="I101">
        <v>0.30049999999999999</v>
      </c>
      <c r="J101">
        <v>9</v>
      </c>
      <c r="K101">
        <v>7</v>
      </c>
      <c r="L101" t="s">
        <v>62</v>
      </c>
      <c r="M101" t="s">
        <v>63</v>
      </c>
      <c r="N101" t="s">
        <v>64</v>
      </c>
      <c r="O101">
        <v>3</v>
      </c>
      <c r="P101" t="s">
        <v>10</v>
      </c>
      <c r="Q101">
        <v>3.6</v>
      </c>
      <c r="R101" t="str">
        <f t="shared" si="3"/>
        <v>I</v>
      </c>
      <c r="S101">
        <f t="shared" si="4"/>
        <v>0.94087999999999994</v>
      </c>
    </row>
    <row r="102" spans="1:19">
      <c r="A102">
        <v>3832</v>
      </c>
      <c r="B102" t="s">
        <v>33</v>
      </c>
      <c r="C102">
        <v>0.54500000000000004</v>
      </c>
      <c r="D102">
        <v>0.42</v>
      </c>
      <c r="E102">
        <v>0.17499999999999999</v>
      </c>
      <c r="F102">
        <v>0.754</v>
      </c>
      <c r="G102">
        <v>0.25600000000000001</v>
      </c>
      <c r="H102">
        <v>0.17749999999999999</v>
      </c>
      <c r="I102">
        <v>0.27500000000000002</v>
      </c>
      <c r="J102">
        <v>10</v>
      </c>
      <c r="K102">
        <v>8</v>
      </c>
      <c r="L102" t="s">
        <v>55</v>
      </c>
      <c r="M102" t="s">
        <v>56</v>
      </c>
      <c r="N102" t="s">
        <v>57</v>
      </c>
      <c r="O102">
        <v>2</v>
      </c>
      <c r="P102" t="s">
        <v>5</v>
      </c>
      <c r="Q102">
        <v>18</v>
      </c>
      <c r="R102" t="str">
        <f t="shared" si="3"/>
        <v>II</v>
      </c>
      <c r="S102">
        <f t="shared" si="4"/>
        <v>0.28551466666666675</v>
      </c>
    </row>
    <row r="103" spans="1:19">
      <c r="A103">
        <v>3219</v>
      </c>
      <c r="B103" t="s">
        <v>33</v>
      </c>
      <c r="C103">
        <v>0.64</v>
      </c>
      <c r="D103">
        <v>0.505</v>
      </c>
      <c r="E103">
        <v>0.19</v>
      </c>
      <c r="F103">
        <v>1.2355</v>
      </c>
      <c r="G103">
        <v>0.44350000000000001</v>
      </c>
      <c r="H103">
        <v>0.3105</v>
      </c>
      <c r="I103">
        <v>0.36499999999999999</v>
      </c>
      <c r="J103">
        <v>14</v>
      </c>
      <c r="K103">
        <v>2</v>
      </c>
      <c r="L103" t="s">
        <v>49</v>
      </c>
      <c r="M103" t="s">
        <v>50</v>
      </c>
      <c r="N103" t="s">
        <v>51</v>
      </c>
      <c r="O103">
        <v>2</v>
      </c>
      <c r="P103" t="s">
        <v>5</v>
      </c>
      <c r="Q103">
        <v>18</v>
      </c>
      <c r="R103" t="str">
        <f t="shared" si="3"/>
        <v>III</v>
      </c>
      <c r="S103">
        <f t="shared" si="4"/>
        <v>0.62495708333333322</v>
      </c>
    </row>
    <row r="104" spans="1:19">
      <c r="A104">
        <v>1555</v>
      </c>
      <c r="B104" t="s">
        <v>33</v>
      </c>
      <c r="C104">
        <v>0.41</v>
      </c>
      <c r="D104">
        <v>0.3</v>
      </c>
      <c r="E104">
        <v>0.09</v>
      </c>
      <c r="F104">
        <v>0.30399999999999999</v>
      </c>
      <c r="G104">
        <v>0.129</v>
      </c>
      <c r="H104">
        <v>7.0999999999999994E-2</v>
      </c>
      <c r="I104">
        <v>9.5500000000000002E-2</v>
      </c>
      <c r="J104">
        <v>8</v>
      </c>
      <c r="K104">
        <v>4</v>
      </c>
      <c r="L104" t="s">
        <v>40</v>
      </c>
      <c r="M104" t="s">
        <v>41</v>
      </c>
      <c r="N104" t="s">
        <v>42</v>
      </c>
      <c r="O104">
        <v>1</v>
      </c>
      <c r="P104" t="s">
        <v>4</v>
      </c>
      <c r="Q104">
        <v>22.1</v>
      </c>
      <c r="R104" t="str">
        <f t="shared" si="3"/>
        <v>II</v>
      </c>
      <c r="S104">
        <f t="shared" si="4"/>
        <v>0.10133333333333333</v>
      </c>
    </row>
    <row r="105" spans="1:19">
      <c r="A105">
        <v>2338</v>
      </c>
      <c r="B105" t="s">
        <v>33</v>
      </c>
      <c r="C105">
        <v>0.56000000000000005</v>
      </c>
      <c r="D105">
        <v>0.45500000000000002</v>
      </c>
      <c r="E105">
        <v>0.16500000000000001</v>
      </c>
      <c r="F105">
        <v>0.86</v>
      </c>
      <c r="G105">
        <v>0.40150000000000002</v>
      </c>
      <c r="H105">
        <v>0.16950000000000001</v>
      </c>
      <c r="I105">
        <v>0.245</v>
      </c>
      <c r="J105">
        <v>11</v>
      </c>
      <c r="K105">
        <v>15</v>
      </c>
      <c r="L105" t="s">
        <v>60</v>
      </c>
      <c r="M105" t="s">
        <v>61</v>
      </c>
      <c r="N105" t="s">
        <v>45</v>
      </c>
      <c r="O105">
        <v>10</v>
      </c>
      <c r="P105" t="s">
        <v>11</v>
      </c>
      <c r="Q105">
        <v>24.1</v>
      </c>
      <c r="R105" t="str">
        <f t="shared" si="3"/>
        <v>III</v>
      </c>
      <c r="S105">
        <f t="shared" si="4"/>
        <v>0.4128</v>
      </c>
    </row>
    <row r="106" spans="1:19">
      <c r="A106">
        <v>850</v>
      </c>
      <c r="B106" t="s">
        <v>33</v>
      </c>
      <c r="C106">
        <v>0.55000000000000004</v>
      </c>
      <c r="D106">
        <v>0.45</v>
      </c>
      <c r="E106">
        <v>0.15</v>
      </c>
      <c r="F106">
        <v>1.0145</v>
      </c>
      <c r="G106">
        <v>0.40699999999999997</v>
      </c>
      <c r="H106">
        <v>0.20150000000000001</v>
      </c>
      <c r="I106">
        <v>0.28749999999999998</v>
      </c>
      <c r="J106">
        <v>10</v>
      </c>
      <c r="K106">
        <v>2</v>
      </c>
      <c r="L106" t="s">
        <v>49</v>
      </c>
      <c r="M106" t="s">
        <v>50</v>
      </c>
      <c r="N106" t="s">
        <v>51</v>
      </c>
      <c r="O106">
        <v>6</v>
      </c>
      <c r="P106" t="s">
        <v>7</v>
      </c>
      <c r="Q106">
        <v>14.1</v>
      </c>
      <c r="R106" t="str">
        <f t="shared" si="3"/>
        <v>III</v>
      </c>
      <c r="S106">
        <f t="shared" si="4"/>
        <v>0.48188749999999991</v>
      </c>
    </row>
    <row r="107" spans="1:19">
      <c r="A107">
        <v>4163</v>
      </c>
      <c r="B107" t="s">
        <v>33</v>
      </c>
      <c r="C107">
        <v>0.38500000000000001</v>
      </c>
      <c r="D107">
        <v>0.255</v>
      </c>
      <c r="E107">
        <v>0.1</v>
      </c>
      <c r="F107">
        <v>0.3175</v>
      </c>
      <c r="G107">
        <v>0.13700000000000001</v>
      </c>
      <c r="H107">
        <v>6.8000000000000005E-2</v>
      </c>
      <c r="I107">
        <v>9.1999999999999998E-2</v>
      </c>
      <c r="J107">
        <v>8</v>
      </c>
      <c r="K107">
        <v>6</v>
      </c>
      <c r="L107" t="s">
        <v>46</v>
      </c>
      <c r="M107" t="s">
        <v>47</v>
      </c>
      <c r="N107" t="s">
        <v>48</v>
      </c>
      <c r="O107">
        <v>7</v>
      </c>
      <c r="P107" t="s">
        <v>6</v>
      </c>
      <c r="Q107">
        <v>2.5</v>
      </c>
      <c r="R107" t="str">
        <f t="shared" si="3"/>
        <v>II</v>
      </c>
      <c r="S107">
        <f t="shared" si="4"/>
        <v>0.10329333333333335</v>
      </c>
    </row>
    <row r="108" spans="1:19">
      <c r="A108">
        <v>3818</v>
      </c>
      <c r="B108" t="s">
        <v>33</v>
      </c>
      <c r="C108">
        <v>0.47499999999999998</v>
      </c>
      <c r="D108">
        <v>0.38500000000000001</v>
      </c>
      <c r="E108">
        <v>0.12</v>
      </c>
      <c r="F108">
        <v>0.56200000000000006</v>
      </c>
      <c r="G108">
        <v>0.28899999999999998</v>
      </c>
      <c r="H108">
        <v>9.0499999999999997E-2</v>
      </c>
      <c r="I108">
        <v>0.153</v>
      </c>
      <c r="J108">
        <v>8</v>
      </c>
      <c r="K108">
        <v>8</v>
      </c>
      <c r="L108" t="s">
        <v>55</v>
      </c>
      <c r="M108" t="s">
        <v>56</v>
      </c>
      <c r="N108" t="s">
        <v>57</v>
      </c>
      <c r="O108">
        <v>9</v>
      </c>
      <c r="P108" t="s">
        <v>9</v>
      </c>
      <c r="Q108">
        <v>1.9</v>
      </c>
      <c r="R108" t="str">
        <f t="shared" si="3"/>
        <v>II</v>
      </c>
      <c r="S108">
        <f t="shared" si="4"/>
        <v>0.20082133333333335</v>
      </c>
    </row>
    <row r="109" spans="1:19">
      <c r="A109">
        <v>4004</v>
      </c>
      <c r="B109" t="s">
        <v>33</v>
      </c>
      <c r="C109">
        <v>0.51</v>
      </c>
      <c r="D109">
        <v>0.39</v>
      </c>
      <c r="E109">
        <v>0.125</v>
      </c>
      <c r="F109">
        <v>0.59699999999999998</v>
      </c>
      <c r="G109">
        <v>0.29299999999999998</v>
      </c>
      <c r="H109">
        <v>0.1265</v>
      </c>
      <c r="I109">
        <v>0.1555</v>
      </c>
      <c r="J109">
        <v>8</v>
      </c>
      <c r="K109">
        <v>6</v>
      </c>
      <c r="L109" t="s">
        <v>46</v>
      </c>
      <c r="M109" t="s">
        <v>47</v>
      </c>
      <c r="N109" t="s">
        <v>48</v>
      </c>
      <c r="O109">
        <v>8</v>
      </c>
      <c r="P109" t="s">
        <v>13</v>
      </c>
      <c r="Q109">
        <v>12.3</v>
      </c>
      <c r="R109" t="str">
        <f t="shared" si="3"/>
        <v>II</v>
      </c>
      <c r="S109">
        <f t="shared" si="4"/>
        <v>0.21690999999999999</v>
      </c>
    </row>
    <row r="110" spans="1:19">
      <c r="A110">
        <v>3920</v>
      </c>
      <c r="B110" t="s">
        <v>33</v>
      </c>
      <c r="C110">
        <v>0.56499999999999995</v>
      </c>
      <c r="D110">
        <v>0.43</v>
      </c>
      <c r="E110">
        <v>0.13500000000000001</v>
      </c>
      <c r="F110">
        <v>0.85450000000000004</v>
      </c>
      <c r="G110">
        <v>0.32100000000000001</v>
      </c>
      <c r="H110">
        <v>0.17749999999999999</v>
      </c>
      <c r="I110">
        <v>0.27500000000000002</v>
      </c>
      <c r="J110">
        <v>11</v>
      </c>
      <c r="K110">
        <v>14</v>
      </c>
      <c r="L110" t="s">
        <v>72</v>
      </c>
      <c r="M110" t="s">
        <v>73</v>
      </c>
      <c r="N110" t="s">
        <v>74</v>
      </c>
      <c r="O110">
        <v>7</v>
      </c>
      <c r="P110" t="s">
        <v>6</v>
      </c>
      <c r="Q110">
        <v>2.5</v>
      </c>
      <c r="R110" t="str">
        <f t="shared" si="3"/>
        <v>II</v>
      </c>
      <c r="S110">
        <f t="shared" si="4"/>
        <v>0.32243133333333335</v>
      </c>
    </row>
    <row r="111" spans="1:19">
      <c r="A111">
        <v>2494</v>
      </c>
      <c r="B111" t="s">
        <v>33</v>
      </c>
      <c r="C111">
        <v>0.42</v>
      </c>
      <c r="D111">
        <v>0.31</v>
      </c>
      <c r="E111">
        <v>0.1</v>
      </c>
      <c r="F111">
        <v>0.28649999999999998</v>
      </c>
      <c r="G111">
        <v>0.115</v>
      </c>
      <c r="H111">
        <v>7.3499999999999996E-2</v>
      </c>
      <c r="I111">
        <v>8.5000000000000006E-2</v>
      </c>
      <c r="J111">
        <v>8</v>
      </c>
      <c r="K111">
        <v>7</v>
      </c>
      <c r="L111" t="s">
        <v>62</v>
      </c>
      <c r="M111" t="s">
        <v>63</v>
      </c>
      <c r="N111" t="s">
        <v>64</v>
      </c>
      <c r="O111">
        <v>5</v>
      </c>
      <c r="P111" t="s">
        <v>12</v>
      </c>
      <c r="Q111">
        <v>12.8</v>
      </c>
      <c r="R111" t="str">
        <f t="shared" si="3"/>
        <v>II</v>
      </c>
      <c r="S111">
        <f t="shared" si="4"/>
        <v>9.664600000000001E-2</v>
      </c>
    </row>
    <row r="112" spans="1:19">
      <c r="A112">
        <v>3667</v>
      </c>
      <c r="B112" t="s">
        <v>33</v>
      </c>
      <c r="C112">
        <v>0.57499999999999996</v>
      </c>
      <c r="D112">
        <v>0.44</v>
      </c>
      <c r="E112">
        <v>0.15</v>
      </c>
      <c r="F112">
        <v>0.98299999999999998</v>
      </c>
      <c r="G112">
        <v>0.48599999999999999</v>
      </c>
      <c r="H112">
        <v>0.215</v>
      </c>
      <c r="I112">
        <v>0.23899999999999999</v>
      </c>
      <c r="J112">
        <v>8</v>
      </c>
      <c r="K112">
        <v>1</v>
      </c>
      <c r="L112" t="s">
        <v>70</v>
      </c>
      <c r="M112" t="s">
        <v>71</v>
      </c>
      <c r="N112" t="s">
        <v>45</v>
      </c>
      <c r="O112">
        <v>9</v>
      </c>
      <c r="P112" t="s">
        <v>9</v>
      </c>
      <c r="Q112">
        <v>1.9</v>
      </c>
      <c r="R112" t="str">
        <f t="shared" si="3"/>
        <v>III</v>
      </c>
      <c r="S112">
        <f t="shared" si="4"/>
        <v>0.46938249999999998</v>
      </c>
    </row>
    <row r="113" spans="1:19">
      <c r="A113">
        <v>952</v>
      </c>
      <c r="B113" t="s">
        <v>33</v>
      </c>
      <c r="C113">
        <v>0.48</v>
      </c>
      <c r="D113">
        <v>0.36</v>
      </c>
      <c r="E113">
        <v>0.1</v>
      </c>
      <c r="F113">
        <v>0.439</v>
      </c>
      <c r="G113">
        <v>0.19400000000000001</v>
      </c>
      <c r="H113">
        <v>9.9000000000000005E-2</v>
      </c>
      <c r="I113">
        <v>0.115</v>
      </c>
      <c r="J113">
        <v>8</v>
      </c>
      <c r="K113">
        <v>9</v>
      </c>
      <c r="L113" t="s">
        <v>34</v>
      </c>
      <c r="M113" t="s">
        <v>35</v>
      </c>
      <c r="N113" t="s">
        <v>36</v>
      </c>
      <c r="O113">
        <v>10</v>
      </c>
      <c r="P113" t="s">
        <v>11</v>
      </c>
      <c r="Q113">
        <v>24.1</v>
      </c>
      <c r="R113" t="str">
        <f t="shared" si="3"/>
        <v>II</v>
      </c>
      <c r="S113">
        <f t="shared" si="4"/>
        <v>0.154528</v>
      </c>
    </row>
    <row r="114" spans="1:19">
      <c r="A114">
        <v>2990</v>
      </c>
      <c r="B114" t="s">
        <v>33</v>
      </c>
      <c r="C114">
        <v>0.56000000000000005</v>
      </c>
      <c r="D114">
        <v>0.42499999999999999</v>
      </c>
      <c r="E114">
        <v>0.13500000000000001</v>
      </c>
      <c r="F114">
        <v>0.9415</v>
      </c>
      <c r="G114">
        <v>0.50900000000000001</v>
      </c>
      <c r="H114">
        <v>0.20150000000000001</v>
      </c>
      <c r="I114">
        <v>0.19750000000000001</v>
      </c>
      <c r="J114">
        <v>9</v>
      </c>
      <c r="K114">
        <v>15</v>
      </c>
      <c r="L114" t="s">
        <v>60</v>
      </c>
      <c r="M114" t="s">
        <v>61</v>
      </c>
      <c r="N114" t="s">
        <v>45</v>
      </c>
      <c r="O114">
        <v>8</v>
      </c>
      <c r="P114" t="s">
        <v>13</v>
      </c>
      <c r="Q114">
        <v>12.3</v>
      </c>
      <c r="R114" t="str">
        <f t="shared" si="3"/>
        <v>I</v>
      </c>
      <c r="S114">
        <f t="shared" si="4"/>
        <v>0.6637575</v>
      </c>
    </row>
    <row r="115" spans="1:19">
      <c r="A115">
        <v>2743</v>
      </c>
      <c r="B115" t="s">
        <v>33</v>
      </c>
      <c r="C115">
        <v>0.46</v>
      </c>
      <c r="D115">
        <v>0.34499999999999997</v>
      </c>
      <c r="E115">
        <v>0.105</v>
      </c>
      <c r="F115">
        <v>0.41499999999999998</v>
      </c>
      <c r="G115">
        <v>0.187</v>
      </c>
      <c r="H115">
        <v>8.6999999999999994E-2</v>
      </c>
      <c r="I115">
        <v>0.11</v>
      </c>
      <c r="J115">
        <v>8</v>
      </c>
      <c r="K115">
        <v>1</v>
      </c>
      <c r="L115" t="s">
        <v>70</v>
      </c>
      <c r="M115" t="s">
        <v>71</v>
      </c>
      <c r="N115" t="s">
        <v>45</v>
      </c>
      <c r="O115">
        <v>9</v>
      </c>
      <c r="P115" t="s">
        <v>9</v>
      </c>
      <c r="Q115">
        <v>1.9</v>
      </c>
      <c r="R115" t="str">
        <f t="shared" si="3"/>
        <v>II</v>
      </c>
      <c r="S115">
        <f t="shared" si="4"/>
        <v>0.14441999999999999</v>
      </c>
    </row>
    <row r="116" spans="1:19">
      <c r="A116">
        <v>2672</v>
      </c>
      <c r="B116" t="s">
        <v>33</v>
      </c>
      <c r="C116">
        <v>0.59</v>
      </c>
      <c r="D116">
        <v>0.46</v>
      </c>
      <c r="E116">
        <v>0.16</v>
      </c>
      <c r="F116">
        <v>1.0115000000000001</v>
      </c>
      <c r="G116">
        <v>0.44500000000000001</v>
      </c>
      <c r="H116">
        <v>0.26150000000000001</v>
      </c>
      <c r="I116">
        <v>0.25650000000000001</v>
      </c>
      <c r="J116">
        <v>8</v>
      </c>
      <c r="K116">
        <v>4</v>
      </c>
      <c r="L116" t="s">
        <v>40</v>
      </c>
      <c r="M116" t="s">
        <v>41</v>
      </c>
      <c r="N116" t="s">
        <v>42</v>
      </c>
      <c r="O116">
        <v>9</v>
      </c>
      <c r="P116" t="s">
        <v>9</v>
      </c>
      <c r="Q116">
        <v>1.9</v>
      </c>
      <c r="R116" t="str">
        <f t="shared" si="3"/>
        <v>III</v>
      </c>
      <c r="S116">
        <f t="shared" si="4"/>
        <v>0.49057750000000006</v>
      </c>
    </row>
    <row r="117" spans="1:19">
      <c r="A117">
        <v>748</v>
      </c>
      <c r="B117" t="s">
        <v>33</v>
      </c>
      <c r="C117">
        <v>0.52</v>
      </c>
      <c r="D117">
        <v>0.38500000000000001</v>
      </c>
      <c r="E117">
        <v>0.14000000000000001</v>
      </c>
      <c r="F117">
        <v>0.65949999999999998</v>
      </c>
      <c r="G117">
        <v>0.2485</v>
      </c>
      <c r="H117">
        <v>0.20349999999999999</v>
      </c>
      <c r="I117">
        <v>0.16</v>
      </c>
      <c r="J117">
        <v>9</v>
      </c>
      <c r="K117">
        <v>3</v>
      </c>
      <c r="L117" t="s">
        <v>52</v>
      </c>
      <c r="M117" t="s">
        <v>53</v>
      </c>
      <c r="N117" t="s">
        <v>54</v>
      </c>
      <c r="O117">
        <v>4</v>
      </c>
      <c r="P117" t="s">
        <v>8</v>
      </c>
      <c r="Q117">
        <v>6.1</v>
      </c>
      <c r="R117" t="str">
        <f t="shared" si="3"/>
        <v>II</v>
      </c>
      <c r="S117">
        <f t="shared" si="4"/>
        <v>0.24137699999999995</v>
      </c>
    </row>
    <row r="118" spans="1:19">
      <c r="A118">
        <v>3831</v>
      </c>
      <c r="B118" t="s">
        <v>33</v>
      </c>
      <c r="C118">
        <v>0.5</v>
      </c>
      <c r="D118">
        <v>0.38500000000000001</v>
      </c>
      <c r="E118">
        <v>0.12</v>
      </c>
      <c r="F118">
        <v>0.63349999999999995</v>
      </c>
      <c r="G118">
        <v>0.23050000000000001</v>
      </c>
      <c r="H118">
        <v>0.125</v>
      </c>
      <c r="I118">
        <v>0.23499999999999999</v>
      </c>
      <c r="J118">
        <v>14</v>
      </c>
      <c r="K118">
        <v>1</v>
      </c>
      <c r="L118" t="s">
        <v>70</v>
      </c>
      <c r="M118" t="s">
        <v>71</v>
      </c>
      <c r="N118" t="s">
        <v>45</v>
      </c>
      <c r="O118">
        <v>8</v>
      </c>
      <c r="P118" t="s">
        <v>13</v>
      </c>
      <c r="Q118">
        <v>12.3</v>
      </c>
      <c r="R118" t="str">
        <f t="shared" si="3"/>
        <v>II</v>
      </c>
      <c r="S118">
        <f t="shared" si="4"/>
        <v>0.22848233333333334</v>
      </c>
    </row>
    <row r="119" spans="1:19">
      <c r="A119">
        <v>1992</v>
      </c>
      <c r="B119" t="s">
        <v>33</v>
      </c>
      <c r="C119">
        <v>0.28499999999999998</v>
      </c>
      <c r="D119">
        <v>0.215</v>
      </c>
      <c r="E119">
        <v>0.06</v>
      </c>
      <c r="F119">
        <v>9.35E-2</v>
      </c>
      <c r="G119">
        <v>3.1E-2</v>
      </c>
      <c r="H119">
        <v>2.3E-2</v>
      </c>
      <c r="I119">
        <v>0.03</v>
      </c>
      <c r="J119">
        <v>6</v>
      </c>
      <c r="K119">
        <v>9</v>
      </c>
      <c r="L119" t="s">
        <v>34</v>
      </c>
      <c r="M119" t="s">
        <v>35</v>
      </c>
      <c r="N119" t="s">
        <v>36</v>
      </c>
      <c r="O119">
        <v>5</v>
      </c>
      <c r="P119" t="s">
        <v>12</v>
      </c>
      <c r="Q119">
        <v>12.8</v>
      </c>
      <c r="R119" t="str">
        <f t="shared" si="3"/>
        <v>II</v>
      </c>
      <c r="S119">
        <f t="shared" si="4"/>
        <v>2.8174666666666671E-2</v>
      </c>
    </row>
    <row r="120" spans="1:19">
      <c r="A120">
        <v>91</v>
      </c>
      <c r="B120" t="s">
        <v>33</v>
      </c>
      <c r="C120">
        <v>0.56499999999999995</v>
      </c>
      <c r="D120">
        <v>0.42499999999999999</v>
      </c>
      <c r="E120">
        <v>0.13500000000000001</v>
      </c>
      <c r="F120">
        <v>0.8115</v>
      </c>
      <c r="G120">
        <v>0.34100000000000003</v>
      </c>
      <c r="H120">
        <v>0.16750000000000001</v>
      </c>
      <c r="I120">
        <v>0.255</v>
      </c>
      <c r="J120">
        <v>15</v>
      </c>
      <c r="K120">
        <v>13</v>
      </c>
      <c r="L120" t="s">
        <v>43</v>
      </c>
      <c r="M120" t="s">
        <v>44</v>
      </c>
      <c r="N120" t="s">
        <v>45</v>
      </c>
      <c r="O120">
        <v>3</v>
      </c>
      <c r="P120" t="s">
        <v>10</v>
      </c>
      <c r="Q120">
        <v>3.6</v>
      </c>
      <c r="R120" t="str">
        <f t="shared" si="3"/>
        <v>II</v>
      </c>
      <c r="S120">
        <f t="shared" si="4"/>
        <v>0.30566500000000002</v>
      </c>
    </row>
    <row r="121" spans="1:19">
      <c r="A121">
        <v>2565</v>
      </c>
      <c r="B121" t="s">
        <v>33</v>
      </c>
      <c r="C121">
        <v>0.45</v>
      </c>
      <c r="D121">
        <v>0.35</v>
      </c>
      <c r="E121">
        <v>0.125</v>
      </c>
      <c r="F121">
        <v>0.47749999999999998</v>
      </c>
      <c r="G121">
        <v>0.2235</v>
      </c>
      <c r="H121">
        <v>8.8999999999999996E-2</v>
      </c>
      <c r="I121">
        <v>0.11799999999999999</v>
      </c>
      <c r="J121">
        <v>6</v>
      </c>
      <c r="K121">
        <v>6</v>
      </c>
      <c r="L121" t="s">
        <v>46</v>
      </c>
      <c r="M121" t="s">
        <v>47</v>
      </c>
      <c r="N121" t="s">
        <v>48</v>
      </c>
      <c r="O121">
        <v>8</v>
      </c>
      <c r="P121" t="s">
        <v>13</v>
      </c>
      <c r="Q121">
        <v>12.3</v>
      </c>
      <c r="R121" t="str">
        <f t="shared" si="3"/>
        <v>II</v>
      </c>
      <c r="S121">
        <f t="shared" si="4"/>
        <v>0.167125</v>
      </c>
    </row>
    <row r="122" spans="1:19">
      <c r="A122">
        <v>2495</v>
      </c>
      <c r="B122" t="s">
        <v>33</v>
      </c>
      <c r="C122">
        <v>0.4</v>
      </c>
      <c r="D122">
        <v>0.30499999999999999</v>
      </c>
      <c r="E122">
        <v>0.13</v>
      </c>
      <c r="F122">
        <v>0.29349999999999998</v>
      </c>
      <c r="G122">
        <v>9.6000000000000002E-2</v>
      </c>
      <c r="H122">
        <v>6.7500000000000004E-2</v>
      </c>
      <c r="I122">
        <v>0.105</v>
      </c>
      <c r="J122">
        <v>9</v>
      </c>
      <c r="K122">
        <v>9</v>
      </c>
      <c r="L122" t="s">
        <v>34</v>
      </c>
      <c r="M122" t="s">
        <v>35</v>
      </c>
      <c r="N122" t="s">
        <v>36</v>
      </c>
      <c r="O122">
        <v>3</v>
      </c>
      <c r="P122" t="s">
        <v>10</v>
      </c>
      <c r="Q122">
        <v>3.6</v>
      </c>
      <c r="R122" t="str">
        <f t="shared" si="3"/>
        <v>II</v>
      </c>
      <c r="S122">
        <f t="shared" si="4"/>
        <v>9.9203000000000013E-2</v>
      </c>
    </row>
    <row r="123" spans="1:19">
      <c r="A123">
        <v>2057</v>
      </c>
      <c r="B123" t="s">
        <v>33</v>
      </c>
      <c r="C123">
        <v>0.47499999999999998</v>
      </c>
      <c r="D123">
        <v>0.38</v>
      </c>
      <c r="E123">
        <v>0.14000000000000001</v>
      </c>
      <c r="F123">
        <v>0.68899999999999995</v>
      </c>
      <c r="G123">
        <v>0.3165</v>
      </c>
      <c r="H123">
        <v>0.13150000000000001</v>
      </c>
      <c r="I123">
        <v>0.19550000000000001</v>
      </c>
      <c r="J123">
        <v>7</v>
      </c>
      <c r="K123">
        <v>7</v>
      </c>
      <c r="L123" t="s">
        <v>62</v>
      </c>
      <c r="M123" t="s">
        <v>63</v>
      </c>
      <c r="N123" t="s">
        <v>64</v>
      </c>
      <c r="O123">
        <v>8</v>
      </c>
      <c r="P123" t="s">
        <v>13</v>
      </c>
      <c r="Q123">
        <v>12.3</v>
      </c>
      <c r="R123" t="str">
        <f t="shared" si="3"/>
        <v>II</v>
      </c>
      <c r="S123">
        <f t="shared" si="4"/>
        <v>0.24758066666666664</v>
      </c>
    </row>
    <row r="124" spans="1:19">
      <c r="A124">
        <v>2531</v>
      </c>
      <c r="B124" t="s">
        <v>33</v>
      </c>
      <c r="C124">
        <v>0.6</v>
      </c>
      <c r="D124">
        <v>0.48499999999999999</v>
      </c>
      <c r="E124">
        <v>0.16500000000000001</v>
      </c>
      <c r="F124">
        <v>1.1405000000000001</v>
      </c>
      <c r="G124">
        <v>0.58699999999999997</v>
      </c>
      <c r="H124">
        <v>0.2175</v>
      </c>
      <c r="I124">
        <v>0.28799999999999998</v>
      </c>
      <c r="J124">
        <v>9</v>
      </c>
      <c r="K124">
        <v>12</v>
      </c>
      <c r="L124" t="s">
        <v>58</v>
      </c>
      <c r="M124" t="s">
        <v>59</v>
      </c>
      <c r="N124" t="s">
        <v>45</v>
      </c>
      <c r="O124">
        <v>8</v>
      </c>
      <c r="P124" t="s">
        <v>13</v>
      </c>
      <c r="Q124">
        <v>12.3</v>
      </c>
      <c r="R124" t="str">
        <f t="shared" si="3"/>
        <v>I</v>
      </c>
      <c r="S124">
        <f t="shared" si="4"/>
        <v>0.84111874999999992</v>
      </c>
    </row>
    <row r="125" spans="1:19">
      <c r="A125">
        <v>3238</v>
      </c>
      <c r="B125" t="s">
        <v>33</v>
      </c>
      <c r="C125">
        <v>0.63500000000000001</v>
      </c>
      <c r="D125">
        <v>0.51</v>
      </c>
      <c r="E125">
        <v>0.155</v>
      </c>
      <c r="F125">
        <v>1.1559999999999999</v>
      </c>
      <c r="G125">
        <v>0.42799999999999999</v>
      </c>
      <c r="H125">
        <v>0.28899999999999998</v>
      </c>
      <c r="I125">
        <v>0.315</v>
      </c>
      <c r="J125">
        <v>18</v>
      </c>
      <c r="K125">
        <v>6</v>
      </c>
      <c r="L125" t="s">
        <v>46</v>
      </c>
      <c r="M125" t="s">
        <v>47</v>
      </c>
      <c r="N125" t="s">
        <v>48</v>
      </c>
      <c r="O125">
        <v>8</v>
      </c>
      <c r="P125" t="s">
        <v>13</v>
      </c>
      <c r="Q125">
        <v>12.3</v>
      </c>
      <c r="R125" t="str">
        <f t="shared" si="3"/>
        <v>III</v>
      </c>
      <c r="S125">
        <f t="shared" si="4"/>
        <v>0.57799999999999985</v>
      </c>
    </row>
    <row r="126" spans="1:19">
      <c r="A126">
        <v>3833</v>
      </c>
      <c r="B126" t="s">
        <v>33</v>
      </c>
      <c r="C126">
        <v>0.46</v>
      </c>
      <c r="D126">
        <v>0.36499999999999999</v>
      </c>
      <c r="E126">
        <v>0.115</v>
      </c>
      <c r="F126">
        <v>0.44850000000000001</v>
      </c>
      <c r="G126">
        <v>0.16500000000000001</v>
      </c>
      <c r="H126">
        <v>8.3000000000000004E-2</v>
      </c>
      <c r="I126">
        <v>0.17</v>
      </c>
      <c r="J126">
        <v>14</v>
      </c>
      <c r="K126">
        <v>14</v>
      </c>
      <c r="L126" t="s">
        <v>72</v>
      </c>
      <c r="M126" t="s">
        <v>73</v>
      </c>
      <c r="N126" t="s">
        <v>74</v>
      </c>
      <c r="O126">
        <v>2</v>
      </c>
      <c r="P126" t="s">
        <v>5</v>
      </c>
      <c r="Q126">
        <v>18</v>
      </c>
      <c r="R126" t="str">
        <f t="shared" si="3"/>
        <v>II</v>
      </c>
      <c r="S126">
        <f t="shared" si="4"/>
        <v>0.15787200000000001</v>
      </c>
    </row>
    <row r="127" spans="1:19">
      <c r="A127">
        <v>3611</v>
      </c>
      <c r="B127" t="s">
        <v>33</v>
      </c>
      <c r="C127">
        <v>0.57999999999999996</v>
      </c>
      <c r="D127">
        <v>0.45</v>
      </c>
      <c r="E127">
        <v>0.16</v>
      </c>
      <c r="F127">
        <v>0.86750000000000005</v>
      </c>
      <c r="G127">
        <v>0.39350000000000002</v>
      </c>
      <c r="H127">
        <v>0.221</v>
      </c>
      <c r="I127">
        <v>0.215</v>
      </c>
      <c r="J127">
        <v>9</v>
      </c>
      <c r="K127">
        <v>11</v>
      </c>
      <c r="L127" t="s">
        <v>65</v>
      </c>
      <c r="M127" t="s">
        <v>66</v>
      </c>
      <c r="N127" t="s">
        <v>45</v>
      </c>
      <c r="O127">
        <v>1</v>
      </c>
      <c r="P127" t="s">
        <v>4</v>
      </c>
      <c r="Q127">
        <v>22.1</v>
      </c>
      <c r="R127" t="str">
        <f t="shared" si="3"/>
        <v>II</v>
      </c>
      <c r="S127">
        <f t="shared" si="4"/>
        <v>0.33427666666666667</v>
      </c>
    </row>
    <row r="128" spans="1:19">
      <c r="A128">
        <v>2750</v>
      </c>
      <c r="B128" t="s">
        <v>33</v>
      </c>
      <c r="C128">
        <v>0.505</v>
      </c>
      <c r="D128">
        <v>0.38</v>
      </c>
      <c r="E128">
        <v>0.13500000000000001</v>
      </c>
      <c r="F128">
        <v>0.53849999999999998</v>
      </c>
      <c r="G128">
        <v>0.26450000000000001</v>
      </c>
      <c r="H128">
        <v>9.5000000000000001E-2</v>
      </c>
      <c r="I128">
        <v>0.16500000000000001</v>
      </c>
      <c r="J128">
        <v>9</v>
      </c>
      <c r="K128">
        <v>1</v>
      </c>
      <c r="L128" t="s">
        <v>70</v>
      </c>
      <c r="M128" t="s">
        <v>71</v>
      </c>
      <c r="N128" t="s">
        <v>45</v>
      </c>
      <c r="O128">
        <v>8</v>
      </c>
      <c r="P128" t="s">
        <v>13</v>
      </c>
      <c r="Q128">
        <v>12.3</v>
      </c>
      <c r="R128" t="str">
        <f t="shared" si="3"/>
        <v>II</v>
      </c>
      <c r="S128">
        <f t="shared" si="4"/>
        <v>0.195296</v>
      </c>
    </row>
    <row r="129" spans="1:19">
      <c r="A129">
        <v>3476</v>
      </c>
      <c r="B129" t="s">
        <v>33</v>
      </c>
      <c r="C129">
        <v>0.4</v>
      </c>
      <c r="D129">
        <v>0.315</v>
      </c>
      <c r="E129">
        <v>8.5000000000000006E-2</v>
      </c>
      <c r="F129">
        <v>0.26750000000000002</v>
      </c>
      <c r="G129">
        <v>0.11600000000000001</v>
      </c>
      <c r="H129">
        <v>5.8500000000000003E-2</v>
      </c>
      <c r="I129">
        <v>7.6499999999999999E-2</v>
      </c>
      <c r="J129">
        <v>6</v>
      </c>
      <c r="K129">
        <v>10</v>
      </c>
      <c r="L129" t="s">
        <v>37</v>
      </c>
      <c r="M129" t="s">
        <v>38</v>
      </c>
      <c r="N129" t="s">
        <v>39</v>
      </c>
      <c r="O129">
        <v>8</v>
      </c>
      <c r="P129" t="s">
        <v>13</v>
      </c>
      <c r="Q129">
        <v>12.3</v>
      </c>
      <c r="R129" t="str">
        <f t="shared" si="3"/>
        <v>II</v>
      </c>
      <c r="S129">
        <f t="shared" si="4"/>
        <v>8.9166666666666672E-2</v>
      </c>
    </row>
    <row r="130" spans="1:19">
      <c r="A130">
        <v>258</v>
      </c>
      <c r="B130" t="s">
        <v>33</v>
      </c>
      <c r="C130">
        <v>0.54500000000000004</v>
      </c>
      <c r="D130">
        <v>0.46</v>
      </c>
      <c r="E130">
        <v>0.16</v>
      </c>
      <c r="F130">
        <v>0.89749999999999996</v>
      </c>
      <c r="G130">
        <v>0.34100000000000003</v>
      </c>
      <c r="H130">
        <v>0.16550000000000001</v>
      </c>
      <c r="I130">
        <v>0.34499999999999997</v>
      </c>
      <c r="J130">
        <v>10</v>
      </c>
      <c r="K130">
        <v>6</v>
      </c>
      <c r="L130" t="s">
        <v>46</v>
      </c>
      <c r="M130" t="s">
        <v>47</v>
      </c>
      <c r="N130" t="s">
        <v>48</v>
      </c>
      <c r="O130">
        <v>6</v>
      </c>
      <c r="P130" t="s">
        <v>7</v>
      </c>
      <c r="Q130">
        <v>14.1</v>
      </c>
      <c r="R130" t="str">
        <f t="shared" si="3"/>
        <v>II</v>
      </c>
      <c r="S130">
        <f t="shared" si="4"/>
        <v>0.34284500000000007</v>
      </c>
    </row>
    <row r="131" spans="1:19">
      <c r="A131">
        <v>1907</v>
      </c>
      <c r="B131" t="s">
        <v>33</v>
      </c>
      <c r="C131">
        <v>0.57499999999999996</v>
      </c>
      <c r="D131">
        <v>0.45</v>
      </c>
      <c r="E131">
        <v>0.13500000000000001</v>
      </c>
      <c r="F131">
        <v>0.82450000000000001</v>
      </c>
      <c r="G131">
        <v>0.33750000000000002</v>
      </c>
      <c r="H131">
        <v>0.21149999999999999</v>
      </c>
      <c r="I131">
        <v>0.23899999999999999</v>
      </c>
      <c r="J131">
        <v>11</v>
      </c>
      <c r="K131">
        <v>1</v>
      </c>
      <c r="L131" t="s">
        <v>70</v>
      </c>
      <c r="M131" t="s">
        <v>71</v>
      </c>
      <c r="N131" t="s">
        <v>45</v>
      </c>
      <c r="O131">
        <v>8</v>
      </c>
      <c r="P131" t="s">
        <v>13</v>
      </c>
      <c r="Q131">
        <v>12.3</v>
      </c>
      <c r="R131" t="str">
        <f t="shared" ref="R131:R194" si="5">IF(OR(AND(J131 &gt; 15, B131 = "Infant"), AND(D131 = "Male", C131 &gt; 0.75),
    OR(I131 &gt; 0.8, G131 &gt; 0.5), G131 &gt; 1.2),
    "I",
    IF(OR(AND(I131 &lt; 0.4, G131 &lt; 0.4), AND(J131 &gt; 15, D131 = "Male"), AND(J131 &gt; 18, D131 = "Female"), C131 &lt; 0.36),
    "II",
    "III"))</f>
        <v>II</v>
      </c>
      <c r="S131">
        <f t="shared" ref="S131:S194" si="6">IF(OR(AND(J131 &gt; 15, B131 = "Infant"), AND(D131 = "Male", C131 &gt; 0.75), OR(I131 &gt; 0.8, G131 &gt; 0.5), G131 &gt; 1.2), (1 + (1/3)*(C131 - 0.5) + (1/3)*(D131 - 0.4) + (1/3)*(E131 - 0.4)) * F131 * 0.5 * 1.5, IF(OR(AND(I131 &lt; 0.4, G131 &lt; 0.4), AND(J131 &gt; 15, D131 = "Male"), AND(J131 &gt; 18, D131 = "Female"), C131 &lt; 0.36), (1 + (1/3)*(C131 - 0.5) + (1/3)*(D131 - 0.4) + (1/3)*(E131 - 0.4)) * F131 * 0.5 * 0.8, (1 + (1/3)*(C131 - 0.5) + (1/3)*(D131 - 0.4) + (1/3)*(E131 - 0.4)) * F131 * 0.5))</f>
        <v>0.31440933333333332</v>
      </c>
    </row>
    <row r="132" spans="1:19">
      <c r="A132">
        <v>218</v>
      </c>
      <c r="B132" t="s">
        <v>33</v>
      </c>
      <c r="C132">
        <v>0.40500000000000003</v>
      </c>
      <c r="D132">
        <v>0.3</v>
      </c>
      <c r="E132">
        <v>0.12</v>
      </c>
      <c r="F132">
        <v>0.32400000000000001</v>
      </c>
      <c r="G132">
        <v>0.1265</v>
      </c>
      <c r="H132">
        <v>7.0000000000000007E-2</v>
      </c>
      <c r="I132">
        <v>0.11</v>
      </c>
      <c r="J132">
        <v>7</v>
      </c>
      <c r="K132">
        <v>11</v>
      </c>
      <c r="L132" t="s">
        <v>65</v>
      </c>
      <c r="M132" t="s">
        <v>66</v>
      </c>
      <c r="N132" t="s">
        <v>45</v>
      </c>
      <c r="O132">
        <v>6</v>
      </c>
      <c r="P132" t="s">
        <v>7</v>
      </c>
      <c r="Q132">
        <v>14.1</v>
      </c>
      <c r="R132" t="str">
        <f t="shared" si="5"/>
        <v>II</v>
      </c>
      <c r="S132">
        <f t="shared" si="6"/>
        <v>0.10908000000000001</v>
      </c>
    </row>
    <row r="133" spans="1:19">
      <c r="A133">
        <v>904</v>
      </c>
      <c r="B133" t="s">
        <v>33</v>
      </c>
      <c r="C133">
        <v>0.315</v>
      </c>
      <c r="D133">
        <v>0.23499999999999999</v>
      </c>
      <c r="E133">
        <v>7.4999999999999997E-2</v>
      </c>
      <c r="F133">
        <v>0.14849999999999999</v>
      </c>
      <c r="G133">
        <v>5.8500000000000003E-2</v>
      </c>
      <c r="H133">
        <v>3.7499999999999999E-2</v>
      </c>
      <c r="I133">
        <v>4.2500000000000003E-2</v>
      </c>
      <c r="J133">
        <v>6</v>
      </c>
      <c r="K133">
        <v>15</v>
      </c>
      <c r="L133" t="s">
        <v>60</v>
      </c>
      <c r="M133" t="s">
        <v>61</v>
      </c>
      <c r="N133" t="s">
        <v>45</v>
      </c>
      <c r="O133">
        <v>6</v>
      </c>
      <c r="P133" t="s">
        <v>7</v>
      </c>
      <c r="Q133">
        <v>14.1</v>
      </c>
      <c r="R133" t="str">
        <f t="shared" si="5"/>
        <v>II</v>
      </c>
      <c r="S133">
        <f t="shared" si="6"/>
        <v>4.6034999999999993E-2</v>
      </c>
    </row>
    <row r="134" spans="1:19">
      <c r="A134">
        <v>909</v>
      </c>
      <c r="B134" t="s">
        <v>33</v>
      </c>
      <c r="C134">
        <v>0.33500000000000002</v>
      </c>
      <c r="D134">
        <v>0.25</v>
      </c>
      <c r="E134">
        <v>7.4999999999999997E-2</v>
      </c>
      <c r="F134">
        <v>0.1825</v>
      </c>
      <c r="G134">
        <v>7.0499999999999993E-2</v>
      </c>
      <c r="H134">
        <v>4.3999999999999997E-2</v>
      </c>
      <c r="I134">
        <v>5.5E-2</v>
      </c>
      <c r="J134">
        <v>7</v>
      </c>
      <c r="K134">
        <v>13</v>
      </c>
      <c r="L134" t="s">
        <v>43</v>
      </c>
      <c r="M134" t="s">
        <v>44</v>
      </c>
      <c r="N134" t="s">
        <v>45</v>
      </c>
      <c r="O134">
        <v>5</v>
      </c>
      <c r="P134" t="s">
        <v>12</v>
      </c>
      <c r="Q134">
        <v>12.8</v>
      </c>
      <c r="R134" t="str">
        <f t="shared" si="5"/>
        <v>II</v>
      </c>
      <c r="S134">
        <f t="shared" si="6"/>
        <v>5.7426666666666661E-2</v>
      </c>
    </row>
    <row r="135" spans="1:19">
      <c r="A135">
        <v>303</v>
      </c>
      <c r="B135" t="s">
        <v>33</v>
      </c>
      <c r="C135">
        <v>0.37</v>
      </c>
      <c r="D135">
        <v>0.28000000000000003</v>
      </c>
      <c r="E135">
        <v>0.1</v>
      </c>
      <c r="F135">
        <v>0.252</v>
      </c>
      <c r="G135">
        <v>0.1065</v>
      </c>
      <c r="H135">
        <v>5.9499999999999997E-2</v>
      </c>
      <c r="I135">
        <v>7.3999999999999996E-2</v>
      </c>
      <c r="J135">
        <v>8</v>
      </c>
      <c r="K135">
        <v>8</v>
      </c>
      <c r="L135" t="s">
        <v>55</v>
      </c>
      <c r="M135" t="s">
        <v>56</v>
      </c>
      <c r="N135" t="s">
        <v>57</v>
      </c>
      <c r="O135">
        <v>6</v>
      </c>
      <c r="P135" t="s">
        <v>7</v>
      </c>
      <c r="Q135">
        <v>14.1</v>
      </c>
      <c r="R135" t="str">
        <f t="shared" si="5"/>
        <v>II</v>
      </c>
      <c r="S135">
        <f t="shared" si="6"/>
        <v>8.2320000000000004E-2</v>
      </c>
    </row>
    <row r="136" spans="1:19">
      <c r="A136">
        <v>1093</v>
      </c>
      <c r="B136" t="s">
        <v>33</v>
      </c>
      <c r="C136">
        <v>0.46</v>
      </c>
      <c r="D136">
        <v>0.35</v>
      </c>
      <c r="E136">
        <v>0.115</v>
      </c>
      <c r="F136">
        <v>0.41549999999999998</v>
      </c>
      <c r="G136">
        <v>0.18</v>
      </c>
      <c r="H136">
        <v>9.8000000000000004E-2</v>
      </c>
      <c r="I136">
        <v>0.11749999999999999</v>
      </c>
      <c r="J136">
        <v>7</v>
      </c>
      <c r="K136">
        <v>6</v>
      </c>
      <c r="L136" t="s">
        <v>46</v>
      </c>
      <c r="M136" t="s">
        <v>47</v>
      </c>
      <c r="N136" t="s">
        <v>48</v>
      </c>
      <c r="O136">
        <v>3</v>
      </c>
      <c r="P136" t="s">
        <v>10</v>
      </c>
      <c r="Q136">
        <v>3.6</v>
      </c>
      <c r="R136" t="str">
        <f t="shared" si="5"/>
        <v>II</v>
      </c>
      <c r="S136">
        <f t="shared" si="6"/>
        <v>0.145425</v>
      </c>
    </row>
    <row r="137" spans="1:19">
      <c r="A137">
        <v>2887</v>
      </c>
      <c r="B137" t="s">
        <v>33</v>
      </c>
      <c r="C137">
        <v>0.505</v>
      </c>
      <c r="D137">
        <v>0.36499999999999999</v>
      </c>
      <c r="E137">
        <v>0.115</v>
      </c>
      <c r="F137">
        <v>0.52100000000000002</v>
      </c>
      <c r="G137">
        <v>0.25</v>
      </c>
      <c r="H137">
        <v>9.6000000000000002E-2</v>
      </c>
      <c r="I137">
        <v>0.15</v>
      </c>
      <c r="J137">
        <v>8</v>
      </c>
      <c r="K137">
        <v>3</v>
      </c>
      <c r="L137" t="s">
        <v>52</v>
      </c>
      <c r="M137" t="s">
        <v>53</v>
      </c>
      <c r="N137" t="s">
        <v>54</v>
      </c>
      <c r="O137">
        <v>7</v>
      </c>
      <c r="P137" t="s">
        <v>6</v>
      </c>
      <c r="Q137">
        <v>2.5</v>
      </c>
      <c r="R137" t="str">
        <f t="shared" si="5"/>
        <v>II</v>
      </c>
      <c r="S137">
        <f t="shared" si="6"/>
        <v>0.18651800000000002</v>
      </c>
    </row>
    <row r="138" spans="1:19">
      <c r="A138">
        <v>4082</v>
      </c>
      <c r="B138" t="s">
        <v>33</v>
      </c>
      <c r="C138">
        <v>0.56000000000000005</v>
      </c>
      <c r="D138">
        <v>0.45</v>
      </c>
      <c r="E138">
        <v>0.14499999999999999</v>
      </c>
      <c r="F138">
        <v>0.9355</v>
      </c>
      <c r="G138">
        <v>0.42499999999999999</v>
      </c>
      <c r="H138">
        <v>0.16450000000000001</v>
      </c>
      <c r="I138">
        <v>0.27250000000000002</v>
      </c>
      <c r="J138">
        <v>11</v>
      </c>
      <c r="K138">
        <v>5</v>
      </c>
      <c r="L138" t="s">
        <v>67</v>
      </c>
      <c r="M138" t="s">
        <v>68</v>
      </c>
      <c r="N138" t="s">
        <v>69</v>
      </c>
      <c r="O138">
        <v>5</v>
      </c>
      <c r="P138" t="s">
        <v>12</v>
      </c>
      <c r="Q138">
        <v>12.8</v>
      </c>
      <c r="R138" t="str">
        <f t="shared" si="5"/>
        <v>III</v>
      </c>
      <c r="S138">
        <f t="shared" si="6"/>
        <v>0.44514208333333333</v>
      </c>
    </row>
    <row r="139" spans="1:19">
      <c r="A139">
        <v>3208</v>
      </c>
      <c r="B139" t="s">
        <v>33</v>
      </c>
      <c r="C139">
        <v>0.48</v>
      </c>
      <c r="D139">
        <v>0.38</v>
      </c>
      <c r="E139">
        <v>0.125</v>
      </c>
      <c r="F139">
        <v>0.52300000000000002</v>
      </c>
      <c r="G139">
        <v>0.21049999999999999</v>
      </c>
      <c r="H139">
        <v>0.1045</v>
      </c>
      <c r="I139">
        <v>0.17499999999999999</v>
      </c>
      <c r="J139">
        <v>15</v>
      </c>
      <c r="K139">
        <v>8</v>
      </c>
      <c r="L139" t="s">
        <v>55</v>
      </c>
      <c r="M139" t="s">
        <v>56</v>
      </c>
      <c r="N139" t="s">
        <v>57</v>
      </c>
      <c r="O139">
        <v>7</v>
      </c>
      <c r="P139" t="s">
        <v>6</v>
      </c>
      <c r="Q139">
        <v>2.5</v>
      </c>
      <c r="R139" t="str">
        <f t="shared" si="5"/>
        <v>II</v>
      </c>
      <c r="S139">
        <f t="shared" si="6"/>
        <v>0.18723400000000001</v>
      </c>
    </row>
    <row r="140" spans="1:19">
      <c r="A140">
        <v>912</v>
      </c>
      <c r="B140" t="s">
        <v>33</v>
      </c>
      <c r="C140">
        <v>0.34</v>
      </c>
      <c r="D140">
        <v>0.25</v>
      </c>
      <c r="E140">
        <v>7.0000000000000007E-2</v>
      </c>
      <c r="F140">
        <v>0.2225</v>
      </c>
      <c r="G140">
        <v>0.104</v>
      </c>
      <c r="H140">
        <v>4.2500000000000003E-2</v>
      </c>
      <c r="I140">
        <v>5.5E-2</v>
      </c>
      <c r="J140">
        <v>7</v>
      </c>
      <c r="K140">
        <v>10</v>
      </c>
      <c r="L140" t="s">
        <v>37</v>
      </c>
      <c r="M140" t="s">
        <v>38</v>
      </c>
      <c r="N140" t="s">
        <v>39</v>
      </c>
      <c r="O140">
        <v>5</v>
      </c>
      <c r="P140" t="s">
        <v>12</v>
      </c>
      <c r="Q140">
        <v>12.8</v>
      </c>
      <c r="R140" t="str">
        <f t="shared" si="5"/>
        <v>II</v>
      </c>
      <c r="S140">
        <f t="shared" si="6"/>
        <v>7.001333333333333E-2</v>
      </c>
    </row>
    <row r="141" spans="1:19">
      <c r="A141">
        <v>989</v>
      </c>
      <c r="B141" t="s">
        <v>33</v>
      </c>
      <c r="C141">
        <v>0.56999999999999995</v>
      </c>
      <c r="D141">
        <v>0.46</v>
      </c>
      <c r="E141">
        <v>0.17</v>
      </c>
      <c r="F141">
        <v>0.90349999999999997</v>
      </c>
      <c r="G141">
        <v>0.40749999999999997</v>
      </c>
      <c r="H141">
        <v>0.19350000000000001</v>
      </c>
      <c r="I141">
        <v>0.214</v>
      </c>
      <c r="J141">
        <v>7</v>
      </c>
      <c r="K141">
        <v>4</v>
      </c>
      <c r="L141" t="s">
        <v>40</v>
      </c>
      <c r="M141" t="s">
        <v>41</v>
      </c>
      <c r="N141" t="s">
        <v>42</v>
      </c>
      <c r="O141">
        <v>5</v>
      </c>
      <c r="P141" t="s">
        <v>12</v>
      </c>
      <c r="Q141">
        <v>12.8</v>
      </c>
      <c r="R141" t="str">
        <f t="shared" si="5"/>
        <v>III</v>
      </c>
      <c r="S141">
        <f t="shared" si="6"/>
        <v>0.4366916666666667</v>
      </c>
    </row>
    <row r="142" spans="1:19">
      <c r="A142">
        <v>1145</v>
      </c>
      <c r="B142" t="s">
        <v>33</v>
      </c>
      <c r="C142">
        <v>0.57999999999999996</v>
      </c>
      <c r="D142">
        <v>0.45500000000000002</v>
      </c>
      <c r="E142">
        <v>0.15</v>
      </c>
      <c r="F142">
        <v>1.1140000000000001</v>
      </c>
      <c r="G142">
        <v>0.47649999999999998</v>
      </c>
      <c r="H142">
        <v>0.2155</v>
      </c>
      <c r="I142">
        <v>0.26500000000000001</v>
      </c>
      <c r="J142">
        <v>8</v>
      </c>
      <c r="K142">
        <v>5</v>
      </c>
      <c r="L142" t="s">
        <v>67</v>
      </c>
      <c r="M142" t="s">
        <v>68</v>
      </c>
      <c r="N142" t="s">
        <v>69</v>
      </c>
      <c r="O142">
        <v>4</v>
      </c>
      <c r="P142" t="s">
        <v>8</v>
      </c>
      <c r="Q142">
        <v>6.1</v>
      </c>
      <c r="R142" t="str">
        <f t="shared" si="5"/>
        <v>III</v>
      </c>
      <c r="S142">
        <f t="shared" si="6"/>
        <v>0.53564833333333328</v>
      </c>
    </row>
    <row r="143" spans="1:19">
      <c r="A143">
        <v>3271</v>
      </c>
      <c r="B143" t="s">
        <v>33</v>
      </c>
      <c r="C143">
        <v>0.625</v>
      </c>
      <c r="D143">
        <v>0.47499999999999998</v>
      </c>
      <c r="E143">
        <v>0.13</v>
      </c>
      <c r="F143">
        <v>0.85950000000000004</v>
      </c>
      <c r="G143">
        <v>0.31950000000000001</v>
      </c>
      <c r="H143">
        <v>0.17749999999999999</v>
      </c>
      <c r="I143">
        <v>0.24</v>
      </c>
      <c r="J143">
        <v>13</v>
      </c>
      <c r="K143">
        <v>3</v>
      </c>
      <c r="L143" t="s">
        <v>52</v>
      </c>
      <c r="M143" t="s">
        <v>53</v>
      </c>
      <c r="N143" t="s">
        <v>54</v>
      </c>
      <c r="O143">
        <v>9</v>
      </c>
      <c r="P143" t="s">
        <v>9</v>
      </c>
      <c r="Q143">
        <v>1.9</v>
      </c>
      <c r="R143" t="str">
        <f t="shared" si="5"/>
        <v>II</v>
      </c>
      <c r="S143">
        <f t="shared" si="6"/>
        <v>0.33577800000000008</v>
      </c>
    </row>
    <row r="144" spans="1:19">
      <c r="A144">
        <v>2093</v>
      </c>
      <c r="B144" t="s">
        <v>33</v>
      </c>
      <c r="C144">
        <v>0.53</v>
      </c>
      <c r="D144">
        <v>0.42499999999999999</v>
      </c>
      <c r="E144">
        <v>0.13</v>
      </c>
      <c r="F144">
        <v>0.74550000000000005</v>
      </c>
      <c r="G144">
        <v>0.29949999999999999</v>
      </c>
      <c r="H144">
        <v>0.13550000000000001</v>
      </c>
      <c r="I144">
        <v>0.245</v>
      </c>
      <c r="J144">
        <v>10</v>
      </c>
      <c r="K144">
        <v>14</v>
      </c>
      <c r="L144" t="s">
        <v>72</v>
      </c>
      <c r="M144" t="s">
        <v>73</v>
      </c>
      <c r="N144" t="s">
        <v>74</v>
      </c>
      <c r="O144">
        <v>6</v>
      </c>
      <c r="P144" t="s">
        <v>7</v>
      </c>
      <c r="Q144">
        <v>14.1</v>
      </c>
      <c r="R144" t="str">
        <f t="shared" si="5"/>
        <v>II</v>
      </c>
      <c r="S144">
        <f t="shared" si="6"/>
        <v>0.27682900000000005</v>
      </c>
    </row>
    <row r="145" spans="1:19">
      <c r="A145">
        <v>3269</v>
      </c>
      <c r="B145" t="s">
        <v>33</v>
      </c>
      <c r="C145">
        <v>0.41</v>
      </c>
      <c r="D145">
        <v>0.31</v>
      </c>
      <c r="E145">
        <v>0.125</v>
      </c>
      <c r="F145">
        <v>0.35949999999999999</v>
      </c>
      <c r="G145">
        <v>0.14149999999999999</v>
      </c>
      <c r="H145">
        <v>8.8499999999999995E-2</v>
      </c>
      <c r="I145">
        <v>0.115</v>
      </c>
      <c r="J145">
        <v>11</v>
      </c>
      <c r="K145">
        <v>11</v>
      </c>
      <c r="L145" t="s">
        <v>65</v>
      </c>
      <c r="M145" t="s">
        <v>66</v>
      </c>
      <c r="N145" t="s">
        <v>45</v>
      </c>
      <c r="O145">
        <v>9</v>
      </c>
      <c r="P145" t="s">
        <v>9</v>
      </c>
      <c r="Q145">
        <v>1.9</v>
      </c>
      <c r="R145" t="str">
        <f t="shared" si="5"/>
        <v>II</v>
      </c>
      <c r="S145">
        <f t="shared" si="6"/>
        <v>0.12199033333333331</v>
      </c>
    </row>
    <row r="146" spans="1:19">
      <c r="A146">
        <v>3847</v>
      </c>
      <c r="B146" t="s">
        <v>33</v>
      </c>
      <c r="C146">
        <v>0.37</v>
      </c>
      <c r="D146">
        <v>0.27500000000000002</v>
      </c>
      <c r="E146">
        <v>8.5000000000000006E-2</v>
      </c>
      <c r="F146">
        <v>0.20449999999999999</v>
      </c>
      <c r="G146">
        <v>9.6000000000000002E-2</v>
      </c>
      <c r="H146">
        <v>5.6000000000000001E-2</v>
      </c>
      <c r="I146">
        <v>0.08</v>
      </c>
      <c r="J146">
        <v>6</v>
      </c>
      <c r="K146">
        <v>9</v>
      </c>
      <c r="L146" t="s">
        <v>34</v>
      </c>
      <c r="M146" t="s">
        <v>35</v>
      </c>
      <c r="N146" t="s">
        <v>36</v>
      </c>
      <c r="O146">
        <v>1</v>
      </c>
      <c r="P146" t="s">
        <v>4</v>
      </c>
      <c r="Q146">
        <v>22.1</v>
      </c>
      <c r="R146" t="str">
        <f t="shared" si="5"/>
        <v>II</v>
      </c>
      <c r="S146">
        <f t="shared" si="6"/>
        <v>6.6258000000000011E-2</v>
      </c>
    </row>
    <row r="147" spans="1:19">
      <c r="A147">
        <v>1842</v>
      </c>
      <c r="B147" t="s">
        <v>33</v>
      </c>
      <c r="C147">
        <v>0.435</v>
      </c>
      <c r="D147">
        <v>0.33500000000000002</v>
      </c>
      <c r="E147">
        <v>0.1</v>
      </c>
      <c r="F147">
        <v>0.32450000000000001</v>
      </c>
      <c r="G147">
        <v>0.13500000000000001</v>
      </c>
      <c r="H147">
        <v>7.85E-2</v>
      </c>
      <c r="I147">
        <v>9.8000000000000004E-2</v>
      </c>
      <c r="J147">
        <v>7</v>
      </c>
      <c r="K147">
        <v>11</v>
      </c>
      <c r="L147" t="s">
        <v>65</v>
      </c>
      <c r="M147" t="s">
        <v>66</v>
      </c>
      <c r="N147" t="s">
        <v>45</v>
      </c>
      <c r="O147">
        <v>10</v>
      </c>
      <c r="P147" t="s">
        <v>11</v>
      </c>
      <c r="Q147">
        <v>24.1</v>
      </c>
      <c r="R147" t="str">
        <f t="shared" si="5"/>
        <v>II</v>
      </c>
      <c r="S147">
        <f t="shared" si="6"/>
        <v>0.11119533333333334</v>
      </c>
    </row>
    <row r="148" spans="1:19">
      <c r="A148">
        <v>971</v>
      </c>
      <c r="B148" t="s">
        <v>33</v>
      </c>
      <c r="C148">
        <v>0.51500000000000001</v>
      </c>
      <c r="D148">
        <v>0.43</v>
      </c>
      <c r="E148">
        <v>0.14000000000000001</v>
      </c>
      <c r="F148">
        <v>0.83399999999999996</v>
      </c>
      <c r="G148">
        <v>0.36699999999999999</v>
      </c>
      <c r="H148">
        <v>0.2</v>
      </c>
      <c r="I148">
        <v>0.23</v>
      </c>
      <c r="J148">
        <v>8</v>
      </c>
      <c r="K148">
        <v>15</v>
      </c>
      <c r="L148" t="s">
        <v>60</v>
      </c>
      <c r="M148" t="s">
        <v>61</v>
      </c>
      <c r="N148" t="s">
        <v>45</v>
      </c>
      <c r="O148">
        <v>2</v>
      </c>
      <c r="P148" t="s">
        <v>5</v>
      </c>
      <c r="Q148">
        <v>18</v>
      </c>
      <c r="R148" t="str">
        <f t="shared" si="5"/>
        <v>II</v>
      </c>
      <c r="S148">
        <f t="shared" si="6"/>
        <v>0.30969199999999997</v>
      </c>
    </row>
    <row r="149" spans="1:19">
      <c r="A149">
        <v>1928</v>
      </c>
      <c r="B149" t="s">
        <v>33</v>
      </c>
      <c r="C149">
        <v>0.61499999999999999</v>
      </c>
      <c r="D149">
        <v>0.47</v>
      </c>
      <c r="E149">
        <v>0.15</v>
      </c>
      <c r="F149">
        <v>1.0874999999999999</v>
      </c>
      <c r="G149">
        <v>0.4975</v>
      </c>
      <c r="H149">
        <v>0.28299999999999997</v>
      </c>
      <c r="I149">
        <v>0.26850000000000002</v>
      </c>
      <c r="J149">
        <v>9</v>
      </c>
      <c r="K149">
        <v>11</v>
      </c>
      <c r="L149" t="s">
        <v>65</v>
      </c>
      <c r="M149" t="s">
        <v>66</v>
      </c>
      <c r="N149" t="s">
        <v>45</v>
      </c>
      <c r="O149">
        <v>2</v>
      </c>
      <c r="P149" t="s">
        <v>5</v>
      </c>
      <c r="Q149">
        <v>18</v>
      </c>
      <c r="R149" t="str">
        <f t="shared" si="5"/>
        <v>III</v>
      </c>
      <c r="S149">
        <f t="shared" si="6"/>
        <v>0.53196874999999988</v>
      </c>
    </row>
    <row r="150" spans="1:19">
      <c r="A150">
        <v>427</v>
      </c>
      <c r="B150" t="s">
        <v>33</v>
      </c>
      <c r="C150">
        <v>0.61</v>
      </c>
      <c r="D150">
        <v>0.48499999999999999</v>
      </c>
      <c r="E150">
        <v>0.16500000000000001</v>
      </c>
      <c r="F150">
        <v>1.0914999999999999</v>
      </c>
      <c r="G150">
        <v>0.39350000000000002</v>
      </c>
      <c r="H150">
        <v>0.24349999999999999</v>
      </c>
      <c r="I150">
        <v>0.33</v>
      </c>
      <c r="J150">
        <v>18</v>
      </c>
      <c r="K150">
        <v>11</v>
      </c>
      <c r="L150" t="s">
        <v>65</v>
      </c>
      <c r="M150" t="s">
        <v>66</v>
      </c>
      <c r="N150" t="s">
        <v>45</v>
      </c>
      <c r="O150">
        <v>7</v>
      </c>
      <c r="P150" t="s">
        <v>6</v>
      </c>
      <c r="Q150">
        <v>2.5</v>
      </c>
      <c r="R150" t="str">
        <f t="shared" si="5"/>
        <v>II</v>
      </c>
      <c r="S150">
        <f t="shared" si="6"/>
        <v>0.43077866666666664</v>
      </c>
    </row>
    <row r="151" spans="1:19">
      <c r="A151">
        <v>3572</v>
      </c>
      <c r="B151" t="s">
        <v>33</v>
      </c>
      <c r="C151">
        <v>0.58499999999999996</v>
      </c>
      <c r="D151">
        <v>0.46500000000000002</v>
      </c>
      <c r="E151">
        <v>0.16500000000000001</v>
      </c>
      <c r="F151">
        <v>0.9355</v>
      </c>
      <c r="G151">
        <v>0.40350000000000003</v>
      </c>
      <c r="H151">
        <v>0.22750000000000001</v>
      </c>
      <c r="I151">
        <v>0.25900000000000001</v>
      </c>
      <c r="J151">
        <v>9</v>
      </c>
      <c r="K151">
        <v>8</v>
      </c>
      <c r="L151" t="s">
        <v>55</v>
      </c>
      <c r="M151" t="s">
        <v>56</v>
      </c>
      <c r="N151" t="s">
        <v>57</v>
      </c>
      <c r="O151">
        <v>6</v>
      </c>
      <c r="P151" t="s">
        <v>7</v>
      </c>
      <c r="Q151">
        <v>14.1</v>
      </c>
      <c r="R151" t="str">
        <f t="shared" si="5"/>
        <v>III</v>
      </c>
      <c r="S151">
        <f t="shared" si="6"/>
        <v>0.45449708333333333</v>
      </c>
    </row>
    <row r="152" spans="1:19">
      <c r="A152">
        <v>713</v>
      </c>
      <c r="B152" t="s">
        <v>33</v>
      </c>
      <c r="C152">
        <v>0.28000000000000003</v>
      </c>
      <c r="D152">
        <v>0.20499999999999999</v>
      </c>
      <c r="E152">
        <v>5.5E-2</v>
      </c>
      <c r="F152">
        <v>0.1135</v>
      </c>
      <c r="G152">
        <v>4.4999999999999998E-2</v>
      </c>
      <c r="H152">
        <v>2.75E-2</v>
      </c>
      <c r="I152">
        <v>3.3500000000000002E-2</v>
      </c>
      <c r="J152">
        <v>7</v>
      </c>
      <c r="K152">
        <v>11</v>
      </c>
      <c r="L152" t="s">
        <v>65</v>
      </c>
      <c r="M152" t="s">
        <v>66</v>
      </c>
      <c r="N152" t="s">
        <v>45</v>
      </c>
      <c r="O152">
        <v>5</v>
      </c>
      <c r="P152" t="s">
        <v>12</v>
      </c>
      <c r="Q152">
        <v>12.8</v>
      </c>
      <c r="R152" t="str">
        <f t="shared" si="5"/>
        <v>II</v>
      </c>
      <c r="S152">
        <f t="shared" si="6"/>
        <v>3.3898666666666667E-2</v>
      </c>
    </row>
    <row r="153" spans="1:19">
      <c r="A153">
        <v>3579</v>
      </c>
      <c r="B153" t="s">
        <v>33</v>
      </c>
      <c r="C153">
        <v>0.6</v>
      </c>
      <c r="D153">
        <v>0.47499999999999998</v>
      </c>
      <c r="E153">
        <v>0.17</v>
      </c>
      <c r="F153">
        <v>1.0880000000000001</v>
      </c>
      <c r="G153">
        <v>0.49049999999999999</v>
      </c>
      <c r="H153">
        <v>0.2475</v>
      </c>
      <c r="I153">
        <v>0.31</v>
      </c>
      <c r="J153">
        <v>10</v>
      </c>
      <c r="K153">
        <v>9</v>
      </c>
      <c r="L153" t="s">
        <v>34</v>
      </c>
      <c r="M153" t="s">
        <v>35</v>
      </c>
      <c r="N153" t="s">
        <v>36</v>
      </c>
      <c r="O153">
        <v>3</v>
      </c>
      <c r="P153" t="s">
        <v>10</v>
      </c>
      <c r="Q153">
        <v>3.6</v>
      </c>
      <c r="R153" t="str">
        <f t="shared" si="5"/>
        <v>III</v>
      </c>
      <c r="S153">
        <f t="shared" si="6"/>
        <v>0.53402666666666665</v>
      </c>
    </row>
    <row r="154" spans="1:19">
      <c r="A154">
        <v>1235</v>
      </c>
      <c r="B154" t="s">
        <v>33</v>
      </c>
      <c r="C154">
        <v>0.375</v>
      </c>
      <c r="D154">
        <v>0.28999999999999998</v>
      </c>
      <c r="E154">
        <v>9.5000000000000001E-2</v>
      </c>
      <c r="F154">
        <v>0.21299999999999999</v>
      </c>
      <c r="G154">
        <v>9.6000000000000002E-2</v>
      </c>
      <c r="H154">
        <v>4.1000000000000002E-2</v>
      </c>
      <c r="I154">
        <v>6.0999999999999999E-2</v>
      </c>
      <c r="J154">
        <v>5</v>
      </c>
      <c r="K154">
        <v>1</v>
      </c>
      <c r="L154" t="s">
        <v>70</v>
      </c>
      <c r="M154" t="s">
        <v>71</v>
      </c>
      <c r="N154" t="s">
        <v>45</v>
      </c>
      <c r="O154">
        <v>3</v>
      </c>
      <c r="P154" t="s">
        <v>10</v>
      </c>
      <c r="Q154">
        <v>3.6</v>
      </c>
      <c r="R154" t="str">
        <f t="shared" si="5"/>
        <v>II</v>
      </c>
      <c r="S154">
        <f t="shared" si="6"/>
        <v>6.9863999999999996E-2</v>
      </c>
    </row>
    <row r="155" spans="1:19">
      <c r="A155">
        <v>1557</v>
      </c>
      <c r="B155" t="s">
        <v>33</v>
      </c>
      <c r="C155">
        <v>0.41499999999999998</v>
      </c>
      <c r="D155">
        <v>0.32500000000000001</v>
      </c>
      <c r="E155">
        <v>0.1</v>
      </c>
      <c r="F155">
        <v>0.313</v>
      </c>
      <c r="G155">
        <v>0.13900000000000001</v>
      </c>
      <c r="H155">
        <v>6.25E-2</v>
      </c>
      <c r="I155">
        <v>9.6500000000000002E-2</v>
      </c>
      <c r="J155">
        <v>7</v>
      </c>
      <c r="K155">
        <v>10</v>
      </c>
      <c r="L155" t="s">
        <v>37</v>
      </c>
      <c r="M155" t="s">
        <v>38</v>
      </c>
      <c r="N155" t="s">
        <v>39</v>
      </c>
      <c r="O155">
        <v>2</v>
      </c>
      <c r="P155" t="s">
        <v>5</v>
      </c>
      <c r="Q155">
        <v>18</v>
      </c>
      <c r="R155" t="str">
        <f t="shared" si="5"/>
        <v>II</v>
      </c>
      <c r="S155">
        <f t="shared" si="6"/>
        <v>0.10600266666666668</v>
      </c>
    </row>
    <row r="156" spans="1:19">
      <c r="A156">
        <v>491</v>
      </c>
      <c r="B156" t="s">
        <v>33</v>
      </c>
      <c r="C156">
        <v>0.59</v>
      </c>
      <c r="D156">
        <v>0.45500000000000002</v>
      </c>
      <c r="E156">
        <v>0.14499999999999999</v>
      </c>
      <c r="F156">
        <v>1.073</v>
      </c>
      <c r="G156">
        <v>0.47499999999999998</v>
      </c>
      <c r="H156">
        <v>0.19</v>
      </c>
      <c r="I156">
        <v>0.28499999999999998</v>
      </c>
      <c r="J156">
        <v>14</v>
      </c>
      <c r="K156">
        <v>6</v>
      </c>
      <c r="L156" t="s">
        <v>46</v>
      </c>
      <c r="M156" t="s">
        <v>47</v>
      </c>
      <c r="N156" t="s">
        <v>48</v>
      </c>
      <c r="O156">
        <v>7</v>
      </c>
      <c r="P156" t="s">
        <v>6</v>
      </c>
      <c r="Q156">
        <v>2.5</v>
      </c>
      <c r="R156" t="str">
        <f t="shared" si="5"/>
        <v>III</v>
      </c>
      <c r="S156">
        <f t="shared" si="6"/>
        <v>0.51682833333333333</v>
      </c>
    </row>
    <row r="157" spans="1:19">
      <c r="A157">
        <v>2567</v>
      </c>
      <c r="B157" t="s">
        <v>33</v>
      </c>
      <c r="C157">
        <v>0.45500000000000002</v>
      </c>
      <c r="D157">
        <v>0.35</v>
      </c>
      <c r="E157">
        <v>0.12</v>
      </c>
      <c r="F157">
        <v>0.45550000000000002</v>
      </c>
      <c r="G157">
        <v>0.19450000000000001</v>
      </c>
      <c r="H157">
        <v>0.1045</v>
      </c>
      <c r="I157">
        <v>0.13750000000000001</v>
      </c>
      <c r="J157">
        <v>7</v>
      </c>
      <c r="K157">
        <v>1</v>
      </c>
      <c r="L157" t="s">
        <v>70</v>
      </c>
      <c r="M157" t="s">
        <v>71</v>
      </c>
      <c r="N157" t="s">
        <v>45</v>
      </c>
      <c r="O157">
        <v>3</v>
      </c>
      <c r="P157" t="s">
        <v>10</v>
      </c>
      <c r="Q157">
        <v>3.6</v>
      </c>
      <c r="R157" t="str">
        <f t="shared" si="5"/>
        <v>II</v>
      </c>
      <c r="S157">
        <f t="shared" si="6"/>
        <v>0.15942500000000001</v>
      </c>
    </row>
    <row r="158" spans="1:19">
      <c r="A158">
        <v>3937</v>
      </c>
      <c r="B158" t="s">
        <v>33</v>
      </c>
      <c r="C158">
        <v>0.47499999999999998</v>
      </c>
      <c r="D158">
        <v>0.4</v>
      </c>
      <c r="E158">
        <v>0.115</v>
      </c>
      <c r="F158">
        <v>0.54100000000000004</v>
      </c>
      <c r="G158">
        <v>0.186</v>
      </c>
      <c r="H158">
        <v>0.10249999999999999</v>
      </c>
      <c r="I158">
        <v>0.21</v>
      </c>
      <c r="J158">
        <v>13</v>
      </c>
      <c r="K158">
        <v>2</v>
      </c>
      <c r="L158" t="s">
        <v>49</v>
      </c>
      <c r="M158" t="s">
        <v>50</v>
      </c>
      <c r="N158" t="s">
        <v>51</v>
      </c>
      <c r="O158">
        <v>2</v>
      </c>
      <c r="P158" t="s">
        <v>5</v>
      </c>
      <c r="Q158">
        <v>18</v>
      </c>
      <c r="R158" t="str">
        <f t="shared" si="5"/>
        <v>II</v>
      </c>
      <c r="S158">
        <f t="shared" si="6"/>
        <v>0.19403866666666669</v>
      </c>
    </row>
    <row r="159" spans="1:19">
      <c r="A159">
        <v>2605</v>
      </c>
      <c r="B159" t="s">
        <v>33</v>
      </c>
      <c r="C159">
        <v>0.62</v>
      </c>
      <c r="D159">
        <v>0.48499999999999999</v>
      </c>
      <c r="E159">
        <v>0.17499999999999999</v>
      </c>
      <c r="F159">
        <v>1.2155</v>
      </c>
      <c r="G159">
        <v>0.54500000000000004</v>
      </c>
      <c r="H159">
        <v>0.253</v>
      </c>
      <c r="I159">
        <v>0.34499999999999997</v>
      </c>
      <c r="J159">
        <v>10</v>
      </c>
      <c r="K159">
        <v>5</v>
      </c>
      <c r="L159" t="s">
        <v>67</v>
      </c>
      <c r="M159" t="s">
        <v>68</v>
      </c>
      <c r="N159" t="s">
        <v>69</v>
      </c>
      <c r="O159">
        <v>5</v>
      </c>
      <c r="P159" t="s">
        <v>12</v>
      </c>
      <c r="Q159">
        <v>12.8</v>
      </c>
      <c r="R159" t="str">
        <f t="shared" si="5"/>
        <v>I</v>
      </c>
      <c r="S159">
        <f t="shared" si="6"/>
        <v>0.90554749999999995</v>
      </c>
    </row>
    <row r="160" spans="1:19">
      <c r="A160">
        <v>729</v>
      </c>
      <c r="B160" t="s">
        <v>33</v>
      </c>
      <c r="C160">
        <v>0.505</v>
      </c>
      <c r="D160">
        <v>0.4</v>
      </c>
      <c r="E160">
        <v>0.125</v>
      </c>
      <c r="F160">
        <v>0.77</v>
      </c>
      <c r="G160">
        <v>0.27350000000000002</v>
      </c>
      <c r="H160">
        <v>0.159</v>
      </c>
      <c r="I160">
        <v>0.255</v>
      </c>
      <c r="J160">
        <v>13</v>
      </c>
      <c r="K160">
        <v>11</v>
      </c>
      <c r="L160" t="s">
        <v>65</v>
      </c>
      <c r="M160" t="s">
        <v>66</v>
      </c>
      <c r="N160" t="s">
        <v>45</v>
      </c>
      <c r="O160">
        <v>5</v>
      </c>
      <c r="P160" t="s">
        <v>12</v>
      </c>
      <c r="Q160">
        <v>12.8</v>
      </c>
      <c r="R160" t="str">
        <f t="shared" si="5"/>
        <v>II</v>
      </c>
      <c r="S160">
        <f t="shared" si="6"/>
        <v>0.28028000000000003</v>
      </c>
    </row>
    <row r="161" spans="1:19">
      <c r="A161">
        <v>841</v>
      </c>
      <c r="B161" t="s">
        <v>33</v>
      </c>
      <c r="C161">
        <v>0.49</v>
      </c>
      <c r="D161">
        <v>0.38500000000000001</v>
      </c>
      <c r="E161">
        <v>0.125</v>
      </c>
      <c r="F161">
        <v>0.60899999999999999</v>
      </c>
      <c r="G161">
        <v>0.30649999999999999</v>
      </c>
      <c r="H161">
        <v>9.6000000000000002E-2</v>
      </c>
      <c r="I161">
        <v>0.17749999999999999</v>
      </c>
      <c r="J161">
        <v>8</v>
      </c>
      <c r="K161">
        <v>9</v>
      </c>
      <c r="L161" t="s">
        <v>34</v>
      </c>
      <c r="M161" t="s">
        <v>35</v>
      </c>
      <c r="N161" t="s">
        <v>36</v>
      </c>
      <c r="O161">
        <v>6</v>
      </c>
      <c r="P161" t="s">
        <v>7</v>
      </c>
      <c r="Q161">
        <v>14.1</v>
      </c>
      <c r="R161" t="str">
        <f t="shared" si="5"/>
        <v>II</v>
      </c>
      <c r="S161">
        <f t="shared" si="6"/>
        <v>0.21924000000000002</v>
      </c>
    </row>
    <row r="162" spans="1:19">
      <c r="A162">
        <v>1901</v>
      </c>
      <c r="B162" t="s">
        <v>33</v>
      </c>
      <c r="C162">
        <v>0.57499999999999996</v>
      </c>
      <c r="D162">
        <v>0.45</v>
      </c>
      <c r="E162">
        <v>0.155</v>
      </c>
      <c r="F162">
        <v>0.97650000000000003</v>
      </c>
      <c r="G162">
        <v>0.495</v>
      </c>
      <c r="H162">
        <v>0.2145</v>
      </c>
      <c r="I162">
        <v>0.23499999999999999</v>
      </c>
      <c r="J162">
        <v>9</v>
      </c>
      <c r="K162">
        <v>11</v>
      </c>
      <c r="L162" t="s">
        <v>65</v>
      </c>
      <c r="M162" t="s">
        <v>66</v>
      </c>
      <c r="N162" t="s">
        <v>45</v>
      </c>
      <c r="O162">
        <v>10</v>
      </c>
      <c r="P162" t="s">
        <v>11</v>
      </c>
      <c r="Q162">
        <v>24.1</v>
      </c>
      <c r="R162" t="str">
        <f t="shared" si="5"/>
        <v>III</v>
      </c>
      <c r="S162">
        <f t="shared" si="6"/>
        <v>0.46871999999999997</v>
      </c>
    </row>
    <row r="163" spans="1:19">
      <c r="A163">
        <v>172</v>
      </c>
      <c r="B163" t="s">
        <v>33</v>
      </c>
      <c r="C163">
        <v>0.53</v>
      </c>
      <c r="D163">
        <v>0.39500000000000002</v>
      </c>
      <c r="E163">
        <v>0.14499999999999999</v>
      </c>
      <c r="F163">
        <v>0.77500000000000002</v>
      </c>
      <c r="G163">
        <v>0.308</v>
      </c>
      <c r="H163">
        <v>0.16900000000000001</v>
      </c>
      <c r="I163">
        <v>0.255</v>
      </c>
      <c r="J163">
        <v>7</v>
      </c>
      <c r="K163">
        <v>8</v>
      </c>
      <c r="L163" t="s">
        <v>55</v>
      </c>
      <c r="M163" t="s">
        <v>56</v>
      </c>
      <c r="N163" t="s">
        <v>57</v>
      </c>
      <c r="O163">
        <v>3</v>
      </c>
      <c r="P163" t="s">
        <v>10</v>
      </c>
      <c r="Q163">
        <v>3.6</v>
      </c>
      <c r="R163" t="str">
        <f t="shared" si="5"/>
        <v>II</v>
      </c>
      <c r="S163">
        <f t="shared" si="6"/>
        <v>0.28623333333333334</v>
      </c>
    </row>
    <row r="164" spans="1:19">
      <c r="A164">
        <v>3826</v>
      </c>
      <c r="B164" t="s">
        <v>33</v>
      </c>
      <c r="C164">
        <v>0.625</v>
      </c>
      <c r="D164">
        <v>0.47</v>
      </c>
      <c r="E164">
        <v>0.17</v>
      </c>
      <c r="F164">
        <v>1.1665000000000001</v>
      </c>
      <c r="G164">
        <v>0.46050000000000002</v>
      </c>
      <c r="H164">
        <v>0.25650000000000001</v>
      </c>
      <c r="I164">
        <v>0.39450000000000002</v>
      </c>
      <c r="J164">
        <v>11</v>
      </c>
      <c r="K164">
        <v>12</v>
      </c>
      <c r="L164" t="s">
        <v>58</v>
      </c>
      <c r="M164" t="s">
        <v>59</v>
      </c>
      <c r="N164" t="s">
        <v>45</v>
      </c>
      <c r="O164">
        <v>6</v>
      </c>
      <c r="P164" t="s">
        <v>7</v>
      </c>
      <c r="Q164">
        <v>14.1</v>
      </c>
      <c r="R164" t="str">
        <f t="shared" si="5"/>
        <v>III</v>
      </c>
      <c r="S164">
        <f t="shared" si="6"/>
        <v>0.57644541666666671</v>
      </c>
    </row>
    <row r="165" spans="1:19">
      <c r="A165">
        <v>2257</v>
      </c>
      <c r="B165" t="s">
        <v>33</v>
      </c>
      <c r="C165">
        <v>0.52</v>
      </c>
      <c r="D165">
        <v>0.38</v>
      </c>
      <c r="E165">
        <v>0.13500000000000001</v>
      </c>
      <c r="F165">
        <v>0.58250000000000002</v>
      </c>
      <c r="G165">
        <v>0.2505</v>
      </c>
      <c r="H165">
        <v>0.1565</v>
      </c>
      <c r="I165">
        <v>0.17499999999999999</v>
      </c>
      <c r="J165">
        <v>8</v>
      </c>
      <c r="K165">
        <v>2</v>
      </c>
      <c r="L165" t="s">
        <v>49</v>
      </c>
      <c r="M165" t="s">
        <v>50</v>
      </c>
      <c r="N165" t="s">
        <v>51</v>
      </c>
      <c r="O165">
        <v>1</v>
      </c>
      <c r="P165" t="s">
        <v>4</v>
      </c>
      <c r="Q165">
        <v>22.1</v>
      </c>
      <c r="R165" t="str">
        <f t="shared" si="5"/>
        <v>II</v>
      </c>
      <c r="S165">
        <f t="shared" si="6"/>
        <v>0.21241833333333329</v>
      </c>
    </row>
    <row r="166" spans="1:19">
      <c r="A166">
        <v>3495</v>
      </c>
      <c r="B166" t="s">
        <v>33</v>
      </c>
      <c r="C166">
        <v>0.55500000000000005</v>
      </c>
      <c r="D166">
        <v>0.43</v>
      </c>
      <c r="E166">
        <v>0.13500000000000001</v>
      </c>
      <c r="F166">
        <v>0.81200000000000006</v>
      </c>
      <c r="G166">
        <v>0.40550000000000003</v>
      </c>
      <c r="H166">
        <v>0.16300000000000001</v>
      </c>
      <c r="I166">
        <v>0.2215</v>
      </c>
      <c r="J166">
        <v>9</v>
      </c>
      <c r="K166">
        <v>11</v>
      </c>
      <c r="L166" t="s">
        <v>65</v>
      </c>
      <c r="M166" t="s">
        <v>66</v>
      </c>
      <c r="N166" t="s">
        <v>45</v>
      </c>
      <c r="O166">
        <v>7</v>
      </c>
      <c r="P166" t="s">
        <v>6</v>
      </c>
      <c r="Q166">
        <v>2.5</v>
      </c>
      <c r="R166" t="str">
        <f t="shared" si="5"/>
        <v>III</v>
      </c>
      <c r="S166">
        <f t="shared" si="6"/>
        <v>0.38163999999999998</v>
      </c>
    </row>
    <row r="167" spans="1:19">
      <c r="A167">
        <v>1309</v>
      </c>
      <c r="B167" t="s">
        <v>33</v>
      </c>
      <c r="C167">
        <v>0.54500000000000004</v>
      </c>
      <c r="D167">
        <v>0.44500000000000001</v>
      </c>
      <c r="E167">
        <v>0.15</v>
      </c>
      <c r="F167">
        <v>0.8</v>
      </c>
      <c r="G167">
        <v>0.35349999999999998</v>
      </c>
      <c r="H167">
        <v>0.16300000000000001</v>
      </c>
      <c r="I167">
        <v>0.20699999999999999</v>
      </c>
      <c r="J167">
        <v>9</v>
      </c>
      <c r="K167">
        <v>14</v>
      </c>
      <c r="L167" t="s">
        <v>72</v>
      </c>
      <c r="M167" t="s">
        <v>73</v>
      </c>
      <c r="N167" t="s">
        <v>74</v>
      </c>
      <c r="O167">
        <v>4</v>
      </c>
      <c r="P167" t="s">
        <v>8</v>
      </c>
      <c r="Q167">
        <v>6.1</v>
      </c>
      <c r="R167" t="str">
        <f t="shared" si="5"/>
        <v>II</v>
      </c>
      <c r="S167">
        <f t="shared" si="6"/>
        <v>0.30293333333333339</v>
      </c>
    </row>
    <row r="168" spans="1:19">
      <c r="A168">
        <v>3215</v>
      </c>
      <c r="B168" t="s">
        <v>33</v>
      </c>
      <c r="C168">
        <v>0.56999999999999995</v>
      </c>
      <c r="D168">
        <v>0.495</v>
      </c>
      <c r="E168">
        <v>0.16</v>
      </c>
      <c r="F168">
        <v>1.0914999999999999</v>
      </c>
      <c r="G168">
        <v>0.45200000000000001</v>
      </c>
      <c r="H168">
        <v>0.27500000000000002</v>
      </c>
      <c r="I168">
        <v>0.315</v>
      </c>
      <c r="J168">
        <v>14</v>
      </c>
      <c r="K168">
        <v>8</v>
      </c>
      <c r="L168" t="s">
        <v>55</v>
      </c>
      <c r="M168" t="s">
        <v>56</v>
      </c>
      <c r="N168" t="s">
        <v>57</v>
      </c>
      <c r="O168">
        <v>4</v>
      </c>
      <c r="P168" t="s">
        <v>8</v>
      </c>
      <c r="Q168">
        <v>6.1</v>
      </c>
      <c r="R168" t="str">
        <f t="shared" si="5"/>
        <v>III</v>
      </c>
      <c r="S168">
        <f t="shared" si="6"/>
        <v>0.53210625000000011</v>
      </c>
    </row>
    <row r="169" spans="1:19">
      <c r="A169">
        <v>1807</v>
      </c>
      <c r="B169" t="s">
        <v>33</v>
      </c>
      <c r="C169">
        <v>0.625</v>
      </c>
      <c r="D169">
        <v>0.49</v>
      </c>
      <c r="E169">
        <v>0.185</v>
      </c>
      <c r="F169">
        <v>1.169</v>
      </c>
      <c r="G169">
        <v>0.52749999999999997</v>
      </c>
      <c r="H169">
        <v>0.2535</v>
      </c>
      <c r="I169">
        <v>0.34399999999999997</v>
      </c>
      <c r="J169">
        <v>11</v>
      </c>
      <c r="K169">
        <v>7</v>
      </c>
      <c r="L169" t="s">
        <v>62</v>
      </c>
      <c r="M169" t="s">
        <v>63</v>
      </c>
      <c r="N169" t="s">
        <v>64</v>
      </c>
      <c r="O169">
        <v>1</v>
      </c>
      <c r="P169" t="s">
        <v>4</v>
      </c>
      <c r="Q169">
        <v>22.1</v>
      </c>
      <c r="R169" t="str">
        <f t="shared" si="5"/>
        <v>I</v>
      </c>
      <c r="S169">
        <f t="shared" si="6"/>
        <v>0.87675000000000003</v>
      </c>
    </row>
    <row r="170" spans="1:19">
      <c r="A170">
        <v>1287</v>
      </c>
      <c r="B170" t="s">
        <v>33</v>
      </c>
      <c r="C170">
        <v>0.5</v>
      </c>
      <c r="D170">
        <v>0.39500000000000002</v>
      </c>
      <c r="E170">
        <v>0.14000000000000001</v>
      </c>
      <c r="F170">
        <v>0.62150000000000005</v>
      </c>
      <c r="G170">
        <v>0.29249999999999998</v>
      </c>
      <c r="H170">
        <v>0.1205</v>
      </c>
      <c r="I170">
        <v>0.19500000000000001</v>
      </c>
      <c r="J170">
        <v>9</v>
      </c>
      <c r="K170">
        <v>8</v>
      </c>
      <c r="L170" t="s">
        <v>55</v>
      </c>
      <c r="M170" t="s">
        <v>56</v>
      </c>
      <c r="N170" t="s">
        <v>57</v>
      </c>
      <c r="O170">
        <v>3</v>
      </c>
      <c r="P170" t="s">
        <v>10</v>
      </c>
      <c r="Q170">
        <v>3.6</v>
      </c>
      <c r="R170" t="str">
        <f t="shared" si="5"/>
        <v>II</v>
      </c>
      <c r="S170">
        <f t="shared" si="6"/>
        <v>0.22664033333333333</v>
      </c>
    </row>
    <row r="171" spans="1:19">
      <c r="A171">
        <v>2153</v>
      </c>
      <c r="B171" t="s">
        <v>33</v>
      </c>
      <c r="C171">
        <v>0.4</v>
      </c>
      <c r="D171">
        <v>0.3</v>
      </c>
      <c r="E171">
        <v>0.115</v>
      </c>
      <c r="F171">
        <v>0.30249999999999999</v>
      </c>
      <c r="G171">
        <v>0.13350000000000001</v>
      </c>
      <c r="H171">
        <v>4.65E-2</v>
      </c>
      <c r="I171">
        <v>9.35E-2</v>
      </c>
      <c r="J171">
        <v>8</v>
      </c>
      <c r="K171">
        <v>4</v>
      </c>
      <c r="L171" t="s">
        <v>40</v>
      </c>
      <c r="M171" t="s">
        <v>41</v>
      </c>
      <c r="N171" t="s">
        <v>42</v>
      </c>
      <c r="O171">
        <v>3</v>
      </c>
      <c r="P171" t="s">
        <v>10</v>
      </c>
      <c r="Q171">
        <v>3.6</v>
      </c>
      <c r="R171" t="str">
        <f t="shared" si="5"/>
        <v>II</v>
      </c>
      <c r="S171">
        <f t="shared" si="6"/>
        <v>0.10143833333333335</v>
      </c>
    </row>
    <row r="172" spans="1:19">
      <c r="A172">
        <v>1640</v>
      </c>
      <c r="B172" t="s">
        <v>33</v>
      </c>
      <c r="C172">
        <v>0.57499999999999996</v>
      </c>
      <c r="D172">
        <v>0.45</v>
      </c>
      <c r="E172">
        <v>0.13500000000000001</v>
      </c>
      <c r="F172">
        <v>0.80700000000000005</v>
      </c>
      <c r="G172">
        <v>0.36149999999999999</v>
      </c>
      <c r="H172">
        <v>0.17599999999999999</v>
      </c>
      <c r="I172">
        <v>0.254</v>
      </c>
      <c r="J172">
        <v>10</v>
      </c>
      <c r="K172">
        <v>3</v>
      </c>
      <c r="L172" t="s">
        <v>52</v>
      </c>
      <c r="M172" t="s">
        <v>53</v>
      </c>
      <c r="N172" t="s">
        <v>54</v>
      </c>
      <c r="O172">
        <v>7</v>
      </c>
      <c r="P172" t="s">
        <v>6</v>
      </c>
      <c r="Q172">
        <v>2.5</v>
      </c>
      <c r="R172" t="str">
        <f t="shared" si="5"/>
        <v>II</v>
      </c>
      <c r="S172">
        <f t="shared" si="6"/>
        <v>0.30773600000000001</v>
      </c>
    </row>
    <row r="173" spans="1:19">
      <c r="A173">
        <v>4166</v>
      </c>
      <c r="B173" t="s">
        <v>33</v>
      </c>
      <c r="C173">
        <v>0.40500000000000003</v>
      </c>
      <c r="D173">
        <v>0.3</v>
      </c>
      <c r="E173">
        <v>8.5000000000000006E-2</v>
      </c>
      <c r="F173">
        <v>0.30349999999999999</v>
      </c>
      <c r="G173">
        <v>0.15</v>
      </c>
      <c r="H173">
        <v>5.0500000000000003E-2</v>
      </c>
      <c r="I173">
        <v>8.7999999999999995E-2</v>
      </c>
      <c r="J173">
        <v>7</v>
      </c>
      <c r="K173">
        <v>15</v>
      </c>
      <c r="L173" t="s">
        <v>60</v>
      </c>
      <c r="M173" t="s">
        <v>61</v>
      </c>
      <c r="N173" t="s">
        <v>45</v>
      </c>
      <c r="O173">
        <v>3</v>
      </c>
      <c r="P173" t="s">
        <v>10</v>
      </c>
      <c r="Q173">
        <v>3.6</v>
      </c>
      <c r="R173" t="str">
        <f t="shared" si="5"/>
        <v>II</v>
      </c>
      <c r="S173">
        <f t="shared" si="6"/>
        <v>0.100762</v>
      </c>
    </row>
    <row r="174" spans="1:19">
      <c r="A174">
        <v>443</v>
      </c>
      <c r="B174" t="s">
        <v>33</v>
      </c>
      <c r="C174">
        <v>0.505</v>
      </c>
      <c r="D174">
        <v>0.42499999999999999</v>
      </c>
      <c r="E174">
        <v>0.14000000000000001</v>
      </c>
      <c r="F174">
        <v>0.85</v>
      </c>
      <c r="G174">
        <v>0.27500000000000002</v>
      </c>
      <c r="H174">
        <v>0.16250000000000001</v>
      </c>
      <c r="I174">
        <v>0.28499999999999998</v>
      </c>
      <c r="J174">
        <v>19</v>
      </c>
      <c r="K174">
        <v>6</v>
      </c>
      <c r="L174" t="s">
        <v>46</v>
      </c>
      <c r="M174" t="s">
        <v>47</v>
      </c>
      <c r="N174" t="s">
        <v>48</v>
      </c>
      <c r="O174">
        <v>7</v>
      </c>
      <c r="P174" t="s">
        <v>6</v>
      </c>
      <c r="Q174">
        <v>2.5</v>
      </c>
      <c r="R174" t="str">
        <f t="shared" si="5"/>
        <v>II</v>
      </c>
      <c r="S174">
        <f t="shared" si="6"/>
        <v>0.31393333333333334</v>
      </c>
    </row>
    <row r="175" spans="1:19">
      <c r="A175">
        <v>1570</v>
      </c>
      <c r="B175" t="s">
        <v>33</v>
      </c>
      <c r="C175">
        <v>0.47499999999999998</v>
      </c>
      <c r="D175">
        <v>0.36</v>
      </c>
      <c r="E175">
        <v>0.14499999999999999</v>
      </c>
      <c r="F175">
        <v>0.63249999999999995</v>
      </c>
      <c r="G175">
        <v>0.28249999999999997</v>
      </c>
      <c r="H175">
        <v>0.13700000000000001</v>
      </c>
      <c r="I175">
        <v>0.19</v>
      </c>
      <c r="J175">
        <v>8</v>
      </c>
      <c r="K175">
        <v>5</v>
      </c>
      <c r="L175" t="s">
        <v>67</v>
      </c>
      <c r="M175" t="s">
        <v>68</v>
      </c>
      <c r="N175" t="s">
        <v>69</v>
      </c>
      <c r="O175">
        <v>7</v>
      </c>
      <c r="P175" t="s">
        <v>6</v>
      </c>
      <c r="Q175">
        <v>2.5</v>
      </c>
      <c r="R175" t="str">
        <f t="shared" si="5"/>
        <v>II</v>
      </c>
      <c r="S175">
        <f t="shared" si="6"/>
        <v>0.22601333333333337</v>
      </c>
    </row>
    <row r="176" spans="1:19">
      <c r="A176">
        <v>1271</v>
      </c>
      <c r="B176" t="s">
        <v>33</v>
      </c>
      <c r="C176">
        <v>0.47</v>
      </c>
      <c r="D176">
        <v>0.35499999999999998</v>
      </c>
      <c r="E176">
        <v>0.18</v>
      </c>
      <c r="F176">
        <v>0.48</v>
      </c>
      <c r="G176">
        <v>0.20549999999999999</v>
      </c>
      <c r="H176">
        <v>0.105</v>
      </c>
      <c r="I176">
        <v>0.15049999999999999</v>
      </c>
      <c r="J176">
        <v>8</v>
      </c>
      <c r="K176">
        <v>7</v>
      </c>
      <c r="L176" t="s">
        <v>62</v>
      </c>
      <c r="M176" t="s">
        <v>63</v>
      </c>
      <c r="N176" t="s">
        <v>64</v>
      </c>
      <c r="O176">
        <v>1</v>
      </c>
      <c r="P176" t="s">
        <v>4</v>
      </c>
      <c r="Q176">
        <v>22.1</v>
      </c>
      <c r="R176" t="str">
        <f t="shared" si="5"/>
        <v>II</v>
      </c>
      <c r="S176">
        <f t="shared" si="6"/>
        <v>0.17312</v>
      </c>
    </row>
    <row r="177" spans="1:19">
      <c r="A177">
        <v>2041</v>
      </c>
      <c r="B177" t="s">
        <v>33</v>
      </c>
      <c r="C177">
        <v>0.32</v>
      </c>
      <c r="D177">
        <v>0.255</v>
      </c>
      <c r="E177">
        <v>8.5000000000000006E-2</v>
      </c>
      <c r="F177">
        <v>0.17449999999999999</v>
      </c>
      <c r="G177">
        <v>7.1999999999999995E-2</v>
      </c>
      <c r="H177">
        <v>3.3000000000000002E-2</v>
      </c>
      <c r="I177">
        <v>5.7000000000000002E-2</v>
      </c>
      <c r="J177">
        <v>8</v>
      </c>
      <c r="K177">
        <v>4</v>
      </c>
      <c r="L177" t="s">
        <v>40</v>
      </c>
      <c r="M177" t="s">
        <v>41</v>
      </c>
      <c r="N177" t="s">
        <v>42</v>
      </c>
      <c r="O177">
        <v>5</v>
      </c>
      <c r="P177" t="s">
        <v>12</v>
      </c>
      <c r="Q177">
        <v>12.8</v>
      </c>
      <c r="R177" t="str">
        <f t="shared" si="5"/>
        <v>II</v>
      </c>
      <c r="S177">
        <f t="shared" si="6"/>
        <v>5.4909333333333338E-2</v>
      </c>
    </row>
    <row r="178" spans="1:19">
      <c r="A178">
        <v>103</v>
      </c>
      <c r="B178" t="s">
        <v>33</v>
      </c>
      <c r="C178">
        <v>0.53</v>
      </c>
      <c r="D178">
        <v>0.435</v>
      </c>
      <c r="E178">
        <v>0.16</v>
      </c>
      <c r="F178">
        <v>0.88300000000000001</v>
      </c>
      <c r="G178">
        <v>0.316</v>
      </c>
      <c r="H178">
        <v>0.16400000000000001</v>
      </c>
      <c r="I178">
        <v>0.33500000000000002</v>
      </c>
      <c r="J178">
        <v>15</v>
      </c>
      <c r="K178">
        <v>10</v>
      </c>
      <c r="L178" t="s">
        <v>37</v>
      </c>
      <c r="M178" t="s">
        <v>38</v>
      </c>
      <c r="N178" t="s">
        <v>39</v>
      </c>
      <c r="O178">
        <v>3</v>
      </c>
      <c r="P178" t="s">
        <v>10</v>
      </c>
      <c r="Q178">
        <v>3.6</v>
      </c>
      <c r="R178" t="str">
        <f t="shared" si="5"/>
        <v>II</v>
      </c>
      <c r="S178">
        <f t="shared" si="6"/>
        <v>0.33259666666666671</v>
      </c>
    </row>
    <row r="179" spans="1:19">
      <c r="A179">
        <v>1612</v>
      </c>
      <c r="B179" t="s">
        <v>33</v>
      </c>
      <c r="C179">
        <v>0.55000000000000004</v>
      </c>
      <c r="D179">
        <v>0.435</v>
      </c>
      <c r="E179">
        <v>0.14000000000000001</v>
      </c>
      <c r="F179">
        <v>0.76249999999999996</v>
      </c>
      <c r="G179">
        <v>0.32700000000000001</v>
      </c>
      <c r="H179">
        <v>0.16850000000000001</v>
      </c>
      <c r="I179">
        <v>0.25900000000000001</v>
      </c>
      <c r="J179">
        <v>10</v>
      </c>
      <c r="K179">
        <v>1</v>
      </c>
      <c r="L179" t="s">
        <v>70</v>
      </c>
      <c r="M179" t="s">
        <v>71</v>
      </c>
      <c r="N179" t="s">
        <v>45</v>
      </c>
      <c r="O179">
        <v>10</v>
      </c>
      <c r="P179" t="s">
        <v>11</v>
      </c>
      <c r="Q179">
        <v>24.1</v>
      </c>
      <c r="R179" t="str">
        <f t="shared" si="5"/>
        <v>II</v>
      </c>
      <c r="S179">
        <f t="shared" si="6"/>
        <v>0.28720833333333334</v>
      </c>
    </row>
    <row r="180" spans="1:19">
      <c r="A180">
        <v>3910</v>
      </c>
      <c r="B180" t="s">
        <v>33</v>
      </c>
      <c r="C180">
        <v>0.45500000000000002</v>
      </c>
      <c r="D180">
        <v>0.375</v>
      </c>
      <c r="E180">
        <v>0.125</v>
      </c>
      <c r="F180">
        <v>0.45800000000000002</v>
      </c>
      <c r="G180">
        <v>0.19850000000000001</v>
      </c>
      <c r="H180">
        <v>0.111</v>
      </c>
      <c r="I180">
        <v>0.12</v>
      </c>
      <c r="J180">
        <v>10</v>
      </c>
      <c r="K180">
        <v>9</v>
      </c>
      <c r="L180" t="s">
        <v>34</v>
      </c>
      <c r="M180" t="s">
        <v>35</v>
      </c>
      <c r="N180" t="s">
        <v>36</v>
      </c>
      <c r="O180">
        <v>2</v>
      </c>
      <c r="P180" t="s">
        <v>5</v>
      </c>
      <c r="Q180">
        <v>18</v>
      </c>
      <c r="R180" t="str">
        <f t="shared" si="5"/>
        <v>II</v>
      </c>
      <c r="S180">
        <f t="shared" si="6"/>
        <v>0.16213200000000003</v>
      </c>
    </row>
    <row r="181" spans="1:19">
      <c r="A181">
        <v>3295</v>
      </c>
      <c r="B181" t="s">
        <v>33</v>
      </c>
      <c r="C181">
        <v>0.63</v>
      </c>
      <c r="D181">
        <v>0.5</v>
      </c>
      <c r="E181">
        <v>0.16</v>
      </c>
      <c r="F181">
        <v>1.22</v>
      </c>
      <c r="G181">
        <v>0.49049999999999999</v>
      </c>
      <c r="H181">
        <v>0.3</v>
      </c>
      <c r="I181">
        <v>0.34499999999999997</v>
      </c>
      <c r="J181">
        <v>14</v>
      </c>
      <c r="K181">
        <v>6</v>
      </c>
      <c r="L181" t="s">
        <v>46</v>
      </c>
      <c r="M181" t="s">
        <v>47</v>
      </c>
      <c r="N181" t="s">
        <v>48</v>
      </c>
      <c r="O181">
        <v>5</v>
      </c>
      <c r="P181" t="s">
        <v>12</v>
      </c>
      <c r="Q181">
        <v>12.8</v>
      </c>
      <c r="R181" t="str">
        <f t="shared" si="5"/>
        <v>III</v>
      </c>
      <c r="S181">
        <f t="shared" si="6"/>
        <v>0.60796666666666666</v>
      </c>
    </row>
    <row r="182" spans="1:19">
      <c r="A182">
        <v>3356</v>
      </c>
      <c r="B182" t="s">
        <v>33</v>
      </c>
      <c r="C182">
        <v>0.435</v>
      </c>
      <c r="D182">
        <v>0.34</v>
      </c>
      <c r="E182">
        <v>0.11</v>
      </c>
      <c r="F182">
        <v>0.40699999999999997</v>
      </c>
      <c r="G182">
        <v>0.16850000000000001</v>
      </c>
      <c r="H182">
        <v>7.2999999999999995E-2</v>
      </c>
      <c r="I182">
        <v>0.13</v>
      </c>
      <c r="J182">
        <v>10</v>
      </c>
      <c r="K182">
        <v>2</v>
      </c>
      <c r="L182" t="s">
        <v>49</v>
      </c>
      <c r="M182" t="s">
        <v>50</v>
      </c>
      <c r="N182" t="s">
        <v>51</v>
      </c>
      <c r="O182">
        <v>1</v>
      </c>
      <c r="P182" t="s">
        <v>4</v>
      </c>
      <c r="Q182">
        <v>22.1</v>
      </c>
      <c r="R182" t="str">
        <f t="shared" si="5"/>
        <v>II</v>
      </c>
      <c r="S182">
        <f t="shared" si="6"/>
        <v>0.14027933333333331</v>
      </c>
    </row>
    <row r="183" spans="1:19">
      <c r="A183">
        <v>2785</v>
      </c>
      <c r="B183" t="s">
        <v>33</v>
      </c>
      <c r="C183">
        <v>0.6</v>
      </c>
      <c r="D183">
        <v>0.45</v>
      </c>
      <c r="E183">
        <v>0.14499999999999999</v>
      </c>
      <c r="F183">
        <v>0.877</v>
      </c>
      <c r="G183">
        <v>0.4325</v>
      </c>
      <c r="H183">
        <v>0.155</v>
      </c>
      <c r="I183">
        <v>0.24</v>
      </c>
      <c r="J183">
        <v>9</v>
      </c>
      <c r="K183">
        <v>12</v>
      </c>
      <c r="L183" t="s">
        <v>58</v>
      </c>
      <c r="M183" t="s">
        <v>59</v>
      </c>
      <c r="N183" t="s">
        <v>45</v>
      </c>
      <c r="O183">
        <v>4</v>
      </c>
      <c r="P183" t="s">
        <v>8</v>
      </c>
      <c r="Q183">
        <v>6.1</v>
      </c>
      <c r="R183" t="str">
        <f t="shared" si="5"/>
        <v>III</v>
      </c>
      <c r="S183">
        <f t="shared" si="6"/>
        <v>0.42315249999999993</v>
      </c>
    </row>
    <row r="184" spans="1:19">
      <c r="A184">
        <v>2063</v>
      </c>
      <c r="B184" t="s">
        <v>33</v>
      </c>
      <c r="C184">
        <v>0.505</v>
      </c>
      <c r="D184">
        <v>0.38500000000000001</v>
      </c>
      <c r="E184">
        <v>0.13</v>
      </c>
      <c r="F184">
        <v>0.64349999999999996</v>
      </c>
      <c r="G184">
        <v>0.3135</v>
      </c>
      <c r="H184">
        <v>0.14899999999999999</v>
      </c>
      <c r="I184">
        <v>0.1515</v>
      </c>
      <c r="J184">
        <v>7</v>
      </c>
      <c r="K184">
        <v>6</v>
      </c>
      <c r="L184" t="s">
        <v>46</v>
      </c>
      <c r="M184" t="s">
        <v>47</v>
      </c>
      <c r="N184" t="s">
        <v>48</v>
      </c>
      <c r="O184">
        <v>7</v>
      </c>
      <c r="P184" t="s">
        <v>6</v>
      </c>
      <c r="Q184">
        <v>2.5</v>
      </c>
      <c r="R184" t="str">
        <f t="shared" si="5"/>
        <v>II</v>
      </c>
      <c r="S184">
        <f t="shared" si="6"/>
        <v>0.233376</v>
      </c>
    </row>
    <row r="185" spans="1:19">
      <c r="A185">
        <v>2165</v>
      </c>
      <c r="B185" t="s">
        <v>33</v>
      </c>
      <c r="C185">
        <v>0.375</v>
      </c>
      <c r="D185">
        <v>0.30499999999999999</v>
      </c>
      <c r="E185">
        <v>0.09</v>
      </c>
      <c r="F185">
        <v>0.32450000000000001</v>
      </c>
      <c r="G185">
        <v>0.13950000000000001</v>
      </c>
      <c r="H185">
        <v>5.6500000000000002E-2</v>
      </c>
      <c r="I185">
        <v>9.5000000000000001E-2</v>
      </c>
      <c r="J185">
        <v>5</v>
      </c>
      <c r="K185">
        <v>15</v>
      </c>
      <c r="L185" t="s">
        <v>60</v>
      </c>
      <c r="M185" t="s">
        <v>61</v>
      </c>
      <c r="N185" t="s">
        <v>45</v>
      </c>
      <c r="O185">
        <v>9</v>
      </c>
      <c r="P185" t="s">
        <v>9</v>
      </c>
      <c r="Q185">
        <v>1.9</v>
      </c>
      <c r="R185" t="str">
        <f t="shared" si="5"/>
        <v>II</v>
      </c>
      <c r="S185">
        <f t="shared" si="6"/>
        <v>0.10686866666666668</v>
      </c>
    </row>
    <row r="186" spans="1:19">
      <c r="A186">
        <v>714</v>
      </c>
      <c r="B186" t="s">
        <v>33</v>
      </c>
      <c r="C186">
        <v>0.35499999999999998</v>
      </c>
      <c r="D186">
        <v>0.26500000000000001</v>
      </c>
      <c r="E186">
        <v>8.5000000000000006E-2</v>
      </c>
      <c r="F186">
        <v>0.20100000000000001</v>
      </c>
      <c r="G186">
        <v>6.9000000000000006E-2</v>
      </c>
      <c r="H186">
        <v>5.2999999999999999E-2</v>
      </c>
      <c r="I186">
        <v>6.9500000000000006E-2</v>
      </c>
      <c r="J186">
        <v>8</v>
      </c>
      <c r="K186">
        <v>12</v>
      </c>
      <c r="L186" t="s">
        <v>58</v>
      </c>
      <c r="M186" t="s">
        <v>59</v>
      </c>
      <c r="N186" t="s">
        <v>45</v>
      </c>
      <c r="O186">
        <v>10</v>
      </c>
      <c r="P186" t="s">
        <v>11</v>
      </c>
      <c r="Q186">
        <v>24.1</v>
      </c>
      <c r="R186" t="str">
        <f t="shared" si="5"/>
        <v>II</v>
      </c>
      <c r="S186">
        <f t="shared" si="6"/>
        <v>6.4453999999999997E-2</v>
      </c>
    </row>
    <row r="187" spans="1:19">
      <c r="A187">
        <v>1008</v>
      </c>
      <c r="B187" t="s">
        <v>33</v>
      </c>
      <c r="C187">
        <v>0.61</v>
      </c>
      <c r="D187">
        <v>0.47</v>
      </c>
      <c r="E187">
        <v>0.15</v>
      </c>
      <c r="F187">
        <v>1.1625000000000001</v>
      </c>
      <c r="G187">
        <v>0.56499999999999995</v>
      </c>
      <c r="H187">
        <v>0.25800000000000001</v>
      </c>
      <c r="I187">
        <v>0.3085</v>
      </c>
      <c r="J187">
        <v>11</v>
      </c>
      <c r="K187">
        <v>6</v>
      </c>
      <c r="L187" t="s">
        <v>46</v>
      </c>
      <c r="M187" t="s">
        <v>47</v>
      </c>
      <c r="N187" t="s">
        <v>48</v>
      </c>
      <c r="O187">
        <v>9</v>
      </c>
      <c r="P187" t="s">
        <v>9</v>
      </c>
      <c r="Q187">
        <v>1.9</v>
      </c>
      <c r="R187" t="str">
        <f t="shared" si="5"/>
        <v>I</v>
      </c>
      <c r="S187">
        <f t="shared" si="6"/>
        <v>0.85153125000000007</v>
      </c>
    </row>
    <row r="188" spans="1:19">
      <c r="A188">
        <v>2263</v>
      </c>
      <c r="B188" t="s">
        <v>33</v>
      </c>
      <c r="C188">
        <v>0.57999999999999996</v>
      </c>
      <c r="D188">
        <v>0.45500000000000002</v>
      </c>
      <c r="E188">
        <v>0.16</v>
      </c>
      <c r="F188">
        <v>0.92149999999999999</v>
      </c>
      <c r="G188">
        <v>0.312</v>
      </c>
      <c r="H188">
        <v>0.19600000000000001</v>
      </c>
      <c r="I188">
        <v>0.3</v>
      </c>
      <c r="J188">
        <v>17</v>
      </c>
      <c r="K188">
        <v>13</v>
      </c>
      <c r="L188" t="s">
        <v>43</v>
      </c>
      <c r="M188" t="s">
        <v>44</v>
      </c>
      <c r="N188" t="s">
        <v>45</v>
      </c>
      <c r="O188">
        <v>10</v>
      </c>
      <c r="P188" t="s">
        <v>11</v>
      </c>
      <c r="Q188">
        <v>24.1</v>
      </c>
      <c r="R188" t="str">
        <f t="shared" si="5"/>
        <v>II</v>
      </c>
      <c r="S188">
        <f t="shared" si="6"/>
        <v>0.35569899999999999</v>
      </c>
    </row>
    <row r="189" spans="1:19">
      <c r="A189">
        <v>677</v>
      </c>
      <c r="B189" t="s">
        <v>33</v>
      </c>
      <c r="C189">
        <v>0.54</v>
      </c>
      <c r="D189">
        <v>0.41499999999999998</v>
      </c>
      <c r="E189">
        <v>0.14499999999999999</v>
      </c>
      <c r="F189">
        <v>0.74</v>
      </c>
      <c r="G189">
        <v>0.26350000000000001</v>
      </c>
      <c r="H189">
        <v>0.16800000000000001</v>
      </c>
      <c r="I189">
        <v>0.245</v>
      </c>
      <c r="J189">
        <v>12</v>
      </c>
      <c r="K189">
        <v>9</v>
      </c>
      <c r="L189" t="s">
        <v>34</v>
      </c>
      <c r="M189" t="s">
        <v>35</v>
      </c>
      <c r="N189" t="s">
        <v>36</v>
      </c>
      <c r="O189">
        <v>5</v>
      </c>
      <c r="P189" t="s">
        <v>12</v>
      </c>
      <c r="Q189">
        <v>12.8</v>
      </c>
      <c r="R189" t="str">
        <f t="shared" si="5"/>
        <v>II</v>
      </c>
      <c r="S189">
        <f t="shared" si="6"/>
        <v>0.27626666666666666</v>
      </c>
    </row>
    <row r="190" spans="1:19">
      <c r="A190">
        <v>2896</v>
      </c>
      <c r="B190" t="s">
        <v>33</v>
      </c>
      <c r="C190">
        <v>0.54</v>
      </c>
      <c r="D190">
        <v>0.41499999999999998</v>
      </c>
      <c r="E190">
        <v>0.11</v>
      </c>
      <c r="F190">
        <v>0.61899999999999999</v>
      </c>
      <c r="G190">
        <v>0.27550000000000002</v>
      </c>
      <c r="H190">
        <v>0.15</v>
      </c>
      <c r="I190">
        <v>0.17649999999999999</v>
      </c>
      <c r="J190">
        <v>10</v>
      </c>
      <c r="K190">
        <v>1</v>
      </c>
      <c r="L190" t="s">
        <v>70</v>
      </c>
      <c r="M190" t="s">
        <v>71</v>
      </c>
      <c r="N190" t="s">
        <v>45</v>
      </c>
      <c r="O190">
        <v>9</v>
      </c>
      <c r="P190" t="s">
        <v>9</v>
      </c>
      <c r="Q190">
        <v>1.9</v>
      </c>
      <c r="R190" t="str">
        <f t="shared" si="5"/>
        <v>II</v>
      </c>
      <c r="S190">
        <f t="shared" si="6"/>
        <v>0.22820466666666667</v>
      </c>
    </row>
    <row r="191" spans="1:19">
      <c r="A191">
        <v>2715</v>
      </c>
      <c r="B191" t="s">
        <v>33</v>
      </c>
      <c r="C191">
        <v>0.28999999999999998</v>
      </c>
      <c r="D191">
        <v>0.215</v>
      </c>
      <c r="E191">
        <v>6.5000000000000002E-2</v>
      </c>
      <c r="F191">
        <v>9.8500000000000004E-2</v>
      </c>
      <c r="G191">
        <v>4.2500000000000003E-2</v>
      </c>
      <c r="H191">
        <v>2.1000000000000001E-2</v>
      </c>
      <c r="I191">
        <v>3.1E-2</v>
      </c>
      <c r="J191">
        <v>5</v>
      </c>
      <c r="K191">
        <v>8</v>
      </c>
      <c r="L191" t="s">
        <v>55</v>
      </c>
      <c r="M191" t="s">
        <v>56</v>
      </c>
      <c r="N191" t="s">
        <v>57</v>
      </c>
      <c r="O191">
        <v>10</v>
      </c>
      <c r="P191" t="s">
        <v>11</v>
      </c>
      <c r="Q191">
        <v>24.1</v>
      </c>
      <c r="R191" t="str">
        <f t="shared" si="5"/>
        <v>II</v>
      </c>
      <c r="S191">
        <f t="shared" si="6"/>
        <v>2.9812666666666668E-2</v>
      </c>
    </row>
    <row r="192" spans="1:19">
      <c r="A192">
        <v>3312</v>
      </c>
      <c r="B192" t="s">
        <v>33</v>
      </c>
      <c r="C192">
        <v>0.48</v>
      </c>
      <c r="D192">
        <v>0.38</v>
      </c>
      <c r="E192">
        <v>0.13500000000000001</v>
      </c>
      <c r="F192">
        <v>0.50700000000000001</v>
      </c>
      <c r="G192">
        <v>0.1915</v>
      </c>
      <c r="H192">
        <v>0.13650000000000001</v>
      </c>
      <c r="I192">
        <v>0.155</v>
      </c>
      <c r="J192">
        <v>12</v>
      </c>
      <c r="K192">
        <v>15</v>
      </c>
      <c r="L192" t="s">
        <v>60</v>
      </c>
      <c r="M192" t="s">
        <v>61</v>
      </c>
      <c r="N192" t="s">
        <v>45</v>
      </c>
      <c r="O192">
        <v>5</v>
      </c>
      <c r="P192" t="s">
        <v>12</v>
      </c>
      <c r="Q192">
        <v>12.8</v>
      </c>
      <c r="R192" t="str">
        <f t="shared" si="5"/>
        <v>II</v>
      </c>
      <c r="S192">
        <f t="shared" si="6"/>
        <v>0.18218199999999998</v>
      </c>
    </row>
    <row r="193" spans="1:19">
      <c r="A193">
        <v>9</v>
      </c>
      <c r="B193" t="s">
        <v>33</v>
      </c>
      <c r="C193">
        <v>0.47499999999999998</v>
      </c>
      <c r="D193">
        <v>0.37</v>
      </c>
      <c r="E193">
        <v>0.125</v>
      </c>
      <c r="F193">
        <v>0.50949999999999995</v>
      </c>
      <c r="G193">
        <v>0.2165</v>
      </c>
      <c r="H193">
        <v>0.1125</v>
      </c>
      <c r="I193">
        <v>0.16500000000000001</v>
      </c>
      <c r="J193">
        <v>9</v>
      </c>
      <c r="K193">
        <v>2</v>
      </c>
      <c r="L193" t="s">
        <v>49</v>
      </c>
      <c r="M193" t="s">
        <v>50</v>
      </c>
      <c r="N193" t="s">
        <v>51</v>
      </c>
      <c r="O193">
        <v>3</v>
      </c>
      <c r="P193" t="s">
        <v>10</v>
      </c>
      <c r="Q193">
        <v>3.6</v>
      </c>
      <c r="R193" t="str">
        <f t="shared" si="5"/>
        <v>II</v>
      </c>
      <c r="S193">
        <f t="shared" si="6"/>
        <v>0.18138199999999999</v>
      </c>
    </row>
    <row r="194" spans="1:19">
      <c r="A194">
        <v>2556</v>
      </c>
      <c r="B194" t="s">
        <v>33</v>
      </c>
      <c r="C194">
        <v>0.37</v>
      </c>
      <c r="D194">
        <v>0.28999999999999998</v>
      </c>
      <c r="E194">
        <v>0.08</v>
      </c>
      <c r="F194">
        <v>0.2545</v>
      </c>
      <c r="G194">
        <v>0.108</v>
      </c>
      <c r="H194">
        <v>5.6500000000000002E-2</v>
      </c>
      <c r="I194">
        <v>7.0000000000000007E-2</v>
      </c>
      <c r="J194">
        <v>6</v>
      </c>
      <c r="K194">
        <v>15</v>
      </c>
      <c r="L194" t="s">
        <v>60</v>
      </c>
      <c r="M194" t="s">
        <v>61</v>
      </c>
      <c r="N194" t="s">
        <v>45</v>
      </c>
      <c r="O194">
        <v>5</v>
      </c>
      <c r="P194" t="s">
        <v>12</v>
      </c>
      <c r="Q194">
        <v>12.8</v>
      </c>
      <c r="R194" t="str">
        <f t="shared" si="5"/>
        <v>II</v>
      </c>
      <c r="S194">
        <f t="shared" si="6"/>
        <v>8.2797333333333334E-2</v>
      </c>
    </row>
    <row r="195" spans="1:19">
      <c r="A195">
        <v>3872</v>
      </c>
      <c r="B195" t="s">
        <v>33</v>
      </c>
      <c r="C195">
        <v>0.45</v>
      </c>
      <c r="D195">
        <v>0.36</v>
      </c>
      <c r="E195">
        <v>0.11</v>
      </c>
      <c r="F195">
        <v>0.44700000000000001</v>
      </c>
      <c r="G195">
        <v>0.20300000000000001</v>
      </c>
      <c r="H195">
        <v>8.2000000000000003E-2</v>
      </c>
      <c r="I195">
        <v>0.13</v>
      </c>
      <c r="J195">
        <v>12</v>
      </c>
      <c r="K195">
        <v>13</v>
      </c>
      <c r="L195" t="s">
        <v>43</v>
      </c>
      <c r="M195" t="s">
        <v>44</v>
      </c>
      <c r="N195" t="s">
        <v>45</v>
      </c>
      <c r="O195">
        <v>10</v>
      </c>
      <c r="P195" t="s">
        <v>11</v>
      </c>
      <c r="Q195">
        <v>24.1</v>
      </c>
      <c r="R195" t="str">
        <f t="shared" ref="R195:R258" si="7">IF(OR(AND(J195 &gt; 15, B195 = "Infant"), AND(D195 = "Male", C195 &gt; 0.75),
    OR(I195 &gt; 0.8, G195 &gt; 0.5), G195 &gt; 1.2),
    "I",
    IF(OR(AND(I195 &lt; 0.4, G195 &lt; 0.4), AND(J195 &gt; 15, D195 = "Male"), AND(J195 &gt; 18, D195 = "Female"), C195 &lt; 0.36),
    "II",
    "III"))</f>
        <v>II</v>
      </c>
      <c r="S195">
        <f t="shared" ref="S195:S258" si="8">IF(OR(AND(J195 &gt; 15, B195 = "Infant"), AND(D195 = "Male", C195 &gt; 0.75), OR(I195 &gt; 0.8, G195 &gt; 0.5), G195 &gt; 1.2), (1 + (1/3)*(C195 - 0.5) + (1/3)*(D195 - 0.4) + (1/3)*(E195 - 0.4)) * F195 * 0.5 * 1.5, IF(OR(AND(I195 &lt; 0.4, G195 &lt; 0.4), AND(J195 &gt; 15, D195 = "Male"), AND(J195 &gt; 18, D195 = "Female"), C195 &lt; 0.36), (1 + (1/3)*(C195 - 0.5) + (1/3)*(D195 - 0.4) + (1/3)*(E195 - 0.4)) * F195 * 0.5 * 0.8, (1 + (1/3)*(C195 - 0.5) + (1/3)*(D195 - 0.4) + (1/3)*(E195 - 0.4)) * F195 * 0.5))</f>
        <v>0.15615200000000004</v>
      </c>
    </row>
    <row r="196" spans="1:19">
      <c r="A196">
        <v>2521</v>
      </c>
      <c r="B196" t="s">
        <v>33</v>
      </c>
      <c r="C196">
        <v>0.52500000000000002</v>
      </c>
      <c r="D196">
        <v>0.42499999999999999</v>
      </c>
      <c r="E196">
        <v>0.19</v>
      </c>
      <c r="F196">
        <v>0.872</v>
      </c>
      <c r="G196">
        <v>0.46250000000000002</v>
      </c>
      <c r="H196">
        <v>0.17249999999999999</v>
      </c>
      <c r="I196">
        <v>0.19900000000000001</v>
      </c>
      <c r="J196">
        <v>9</v>
      </c>
      <c r="K196">
        <v>8</v>
      </c>
      <c r="L196" t="s">
        <v>55</v>
      </c>
      <c r="M196" t="s">
        <v>56</v>
      </c>
      <c r="N196" t="s">
        <v>57</v>
      </c>
      <c r="O196">
        <v>9</v>
      </c>
      <c r="P196" t="s">
        <v>9</v>
      </c>
      <c r="Q196">
        <v>1.9</v>
      </c>
      <c r="R196" t="str">
        <f t="shared" si="7"/>
        <v>III</v>
      </c>
      <c r="S196">
        <f t="shared" si="8"/>
        <v>0.4127466666666666</v>
      </c>
    </row>
    <row r="197" spans="1:19">
      <c r="A197">
        <v>3507</v>
      </c>
      <c r="B197" t="s">
        <v>33</v>
      </c>
      <c r="C197">
        <v>0.625</v>
      </c>
      <c r="D197">
        <v>0.47</v>
      </c>
      <c r="E197">
        <v>0.17499999999999999</v>
      </c>
      <c r="F197">
        <v>1.179</v>
      </c>
      <c r="G197">
        <v>0.60499999999999998</v>
      </c>
      <c r="H197">
        <v>0.25800000000000001</v>
      </c>
      <c r="I197">
        <v>0.27100000000000002</v>
      </c>
      <c r="J197">
        <v>9</v>
      </c>
      <c r="K197">
        <v>12</v>
      </c>
      <c r="L197" t="s">
        <v>58</v>
      </c>
      <c r="M197" t="s">
        <v>59</v>
      </c>
      <c r="N197" t="s">
        <v>45</v>
      </c>
      <c r="O197">
        <v>3</v>
      </c>
      <c r="P197" t="s">
        <v>10</v>
      </c>
      <c r="Q197">
        <v>3.6</v>
      </c>
      <c r="R197" t="str">
        <f t="shared" si="7"/>
        <v>I</v>
      </c>
      <c r="S197">
        <f t="shared" si="8"/>
        <v>0.87540750000000012</v>
      </c>
    </row>
    <row r="198" spans="1:19">
      <c r="A198">
        <v>3361</v>
      </c>
      <c r="B198" t="s">
        <v>33</v>
      </c>
      <c r="C198">
        <v>0.57999999999999996</v>
      </c>
      <c r="D198">
        <v>0.44</v>
      </c>
      <c r="E198">
        <v>0.17499999999999999</v>
      </c>
      <c r="F198">
        <v>1.073</v>
      </c>
      <c r="G198">
        <v>0.40050000000000002</v>
      </c>
      <c r="H198">
        <v>0.23449999999999999</v>
      </c>
      <c r="I198">
        <v>0.33500000000000002</v>
      </c>
      <c r="J198">
        <v>19</v>
      </c>
      <c r="K198">
        <v>1</v>
      </c>
      <c r="L198" t="s">
        <v>70</v>
      </c>
      <c r="M198" t="s">
        <v>71</v>
      </c>
      <c r="N198" t="s">
        <v>45</v>
      </c>
      <c r="O198">
        <v>8</v>
      </c>
      <c r="P198" t="s">
        <v>13</v>
      </c>
      <c r="Q198">
        <v>12.3</v>
      </c>
      <c r="R198" t="str">
        <f t="shared" si="7"/>
        <v>III</v>
      </c>
      <c r="S198">
        <f t="shared" si="8"/>
        <v>0.51772249999999997</v>
      </c>
    </row>
    <row r="199" spans="1:19">
      <c r="A199">
        <v>821</v>
      </c>
      <c r="B199" t="s">
        <v>33</v>
      </c>
      <c r="C199">
        <v>0.36499999999999999</v>
      </c>
      <c r="D199">
        <v>0.27500000000000002</v>
      </c>
      <c r="E199">
        <v>0.13500000000000001</v>
      </c>
      <c r="F199">
        <v>0.24</v>
      </c>
      <c r="G199">
        <v>0.108</v>
      </c>
      <c r="H199">
        <v>4.4499999999999998E-2</v>
      </c>
      <c r="I199">
        <v>7.3499999999999996E-2</v>
      </c>
      <c r="J199">
        <v>7</v>
      </c>
      <c r="K199">
        <v>10</v>
      </c>
      <c r="L199" t="s">
        <v>37</v>
      </c>
      <c r="M199" t="s">
        <v>38</v>
      </c>
      <c r="N199" t="s">
        <v>39</v>
      </c>
      <c r="O199">
        <v>2</v>
      </c>
      <c r="P199" t="s">
        <v>5</v>
      </c>
      <c r="Q199">
        <v>18</v>
      </c>
      <c r="R199" t="str">
        <f t="shared" si="7"/>
        <v>II</v>
      </c>
      <c r="S199">
        <f t="shared" si="8"/>
        <v>7.9199999999999993E-2</v>
      </c>
    </row>
    <row r="200" spans="1:19">
      <c r="A200">
        <v>2007</v>
      </c>
      <c r="B200" t="s">
        <v>33</v>
      </c>
      <c r="C200">
        <v>0.40500000000000003</v>
      </c>
      <c r="D200">
        <v>0.25</v>
      </c>
      <c r="E200">
        <v>0.09</v>
      </c>
      <c r="F200">
        <v>0.28749999999999998</v>
      </c>
      <c r="G200">
        <v>0.128</v>
      </c>
      <c r="H200">
        <v>6.3E-2</v>
      </c>
      <c r="I200">
        <v>8.0500000000000002E-2</v>
      </c>
      <c r="J200">
        <v>7</v>
      </c>
      <c r="K200">
        <v>11</v>
      </c>
      <c r="L200" t="s">
        <v>65</v>
      </c>
      <c r="M200" t="s">
        <v>66</v>
      </c>
      <c r="N200" t="s">
        <v>45</v>
      </c>
      <c r="O200">
        <v>5</v>
      </c>
      <c r="P200" t="s">
        <v>12</v>
      </c>
      <c r="Q200">
        <v>12.8</v>
      </c>
      <c r="R200" t="str">
        <f t="shared" si="7"/>
        <v>II</v>
      </c>
      <c r="S200">
        <f t="shared" si="8"/>
        <v>9.3725000000000003E-2</v>
      </c>
    </row>
    <row r="201" spans="1:19">
      <c r="A201">
        <v>619</v>
      </c>
      <c r="B201" t="s">
        <v>33</v>
      </c>
      <c r="C201">
        <v>0.31</v>
      </c>
      <c r="D201">
        <v>0.22500000000000001</v>
      </c>
      <c r="E201">
        <v>7.4999999999999997E-2</v>
      </c>
      <c r="F201">
        <v>0.1295</v>
      </c>
      <c r="G201">
        <v>4.5499999999999999E-2</v>
      </c>
      <c r="H201">
        <v>3.3500000000000002E-2</v>
      </c>
      <c r="I201">
        <v>4.3999999999999997E-2</v>
      </c>
      <c r="J201">
        <v>9</v>
      </c>
      <c r="K201">
        <v>7</v>
      </c>
      <c r="L201" t="s">
        <v>62</v>
      </c>
      <c r="M201" t="s">
        <v>63</v>
      </c>
      <c r="N201" t="s">
        <v>64</v>
      </c>
      <c r="O201">
        <v>2</v>
      </c>
      <c r="P201" t="s">
        <v>5</v>
      </c>
      <c r="Q201">
        <v>18</v>
      </c>
      <c r="R201" t="str">
        <f t="shared" si="7"/>
        <v>II</v>
      </c>
      <c r="S201">
        <f t="shared" si="8"/>
        <v>3.9886000000000005E-2</v>
      </c>
    </row>
    <row r="202" spans="1:19">
      <c r="A202">
        <v>2341</v>
      </c>
      <c r="B202" t="s">
        <v>33</v>
      </c>
      <c r="C202">
        <v>0.59</v>
      </c>
      <c r="D202">
        <v>0.47</v>
      </c>
      <c r="E202">
        <v>0.17</v>
      </c>
      <c r="F202">
        <v>0.9</v>
      </c>
      <c r="G202">
        <v>0.35499999999999998</v>
      </c>
      <c r="H202">
        <v>0.1905</v>
      </c>
      <c r="I202">
        <v>0.25</v>
      </c>
      <c r="J202">
        <v>11</v>
      </c>
      <c r="K202">
        <v>7</v>
      </c>
      <c r="L202" t="s">
        <v>62</v>
      </c>
      <c r="M202" t="s">
        <v>63</v>
      </c>
      <c r="N202" t="s">
        <v>64</v>
      </c>
      <c r="O202">
        <v>1</v>
      </c>
      <c r="P202" t="s">
        <v>4</v>
      </c>
      <c r="Q202">
        <v>22.1</v>
      </c>
      <c r="R202" t="str">
        <f t="shared" si="7"/>
        <v>II</v>
      </c>
      <c r="S202">
        <f t="shared" si="8"/>
        <v>0.35159999999999997</v>
      </c>
    </row>
    <row r="203" spans="1:19">
      <c r="A203">
        <v>819</v>
      </c>
      <c r="B203" t="s">
        <v>33</v>
      </c>
      <c r="C203">
        <v>0.35</v>
      </c>
      <c r="D203">
        <v>0.25</v>
      </c>
      <c r="E203">
        <v>7.0000000000000007E-2</v>
      </c>
      <c r="F203">
        <v>0.18</v>
      </c>
      <c r="G203">
        <v>6.5500000000000003E-2</v>
      </c>
      <c r="H203">
        <v>4.8000000000000001E-2</v>
      </c>
      <c r="I203">
        <v>5.3999999999999999E-2</v>
      </c>
      <c r="J203">
        <v>6</v>
      </c>
      <c r="K203">
        <v>12</v>
      </c>
      <c r="L203" t="s">
        <v>58</v>
      </c>
      <c r="M203" t="s">
        <v>59</v>
      </c>
      <c r="N203" t="s">
        <v>45</v>
      </c>
      <c r="O203">
        <v>8</v>
      </c>
      <c r="P203" t="s">
        <v>13</v>
      </c>
      <c r="Q203">
        <v>12.3</v>
      </c>
      <c r="R203" t="str">
        <f t="shared" si="7"/>
        <v>II</v>
      </c>
      <c r="S203">
        <f t="shared" si="8"/>
        <v>5.688E-2</v>
      </c>
    </row>
    <row r="204" spans="1:19">
      <c r="A204">
        <v>404</v>
      </c>
      <c r="B204" t="s">
        <v>33</v>
      </c>
      <c r="C204">
        <v>0.51500000000000001</v>
      </c>
      <c r="D204">
        <v>0.41499999999999998</v>
      </c>
      <c r="E204">
        <v>0.14000000000000001</v>
      </c>
      <c r="F204">
        <v>0.69350000000000001</v>
      </c>
      <c r="G204">
        <v>0.3115</v>
      </c>
      <c r="H204">
        <v>0.152</v>
      </c>
      <c r="I204">
        <v>0.2</v>
      </c>
      <c r="J204">
        <v>10</v>
      </c>
      <c r="K204">
        <v>13</v>
      </c>
      <c r="L204" t="s">
        <v>43</v>
      </c>
      <c r="M204" t="s">
        <v>44</v>
      </c>
      <c r="N204" t="s">
        <v>45</v>
      </c>
      <c r="O204">
        <v>1</v>
      </c>
      <c r="P204" t="s">
        <v>4</v>
      </c>
      <c r="Q204">
        <v>22.1</v>
      </c>
      <c r="R204" t="str">
        <f t="shared" si="7"/>
        <v>II</v>
      </c>
      <c r="S204">
        <f t="shared" si="8"/>
        <v>0.25613266666666662</v>
      </c>
    </row>
    <row r="205" spans="1:19">
      <c r="A205">
        <v>3259</v>
      </c>
      <c r="B205" t="s">
        <v>33</v>
      </c>
      <c r="C205">
        <v>0.45500000000000002</v>
      </c>
      <c r="D205">
        <v>0.375</v>
      </c>
      <c r="E205">
        <v>0.125</v>
      </c>
      <c r="F205">
        <v>0.48399999999999999</v>
      </c>
      <c r="G205">
        <v>0.2155</v>
      </c>
      <c r="H205">
        <v>0.10199999999999999</v>
      </c>
      <c r="I205">
        <v>0.16500000000000001</v>
      </c>
      <c r="J205">
        <v>7</v>
      </c>
      <c r="K205">
        <v>14</v>
      </c>
      <c r="L205" t="s">
        <v>72</v>
      </c>
      <c r="M205" t="s">
        <v>73</v>
      </c>
      <c r="N205" t="s">
        <v>74</v>
      </c>
      <c r="O205">
        <v>9</v>
      </c>
      <c r="P205" t="s">
        <v>9</v>
      </c>
      <c r="Q205">
        <v>1.9</v>
      </c>
      <c r="R205" t="str">
        <f t="shared" si="7"/>
        <v>II</v>
      </c>
      <c r="S205">
        <f t="shared" si="8"/>
        <v>0.17133600000000002</v>
      </c>
    </row>
    <row r="206" spans="1:19">
      <c r="A206">
        <v>126</v>
      </c>
      <c r="B206" t="s">
        <v>33</v>
      </c>
      <c r="C206">
        <v>0.27</v>
      </c>
      <c r="D206">
        <v>0.19500000000000001</v>
      </c>
      <c r="E206">
        <v>0.06</v>
      </c>
      <c r="F206">
        <v>7.2999999999999995E-2</v>
      </c>
      <c r="G206">
        <v>2.8500000000000001E-2</v>
      </c>
      <c r="H206">
        <v>2.35E-2</v>
      </c>
      <c r="I206">
        <v>0.03</v>
      </c>
      <c r="J206">
        <v>5</v>
      </c>
      <c r="K206">
        <v>12</v>
      </c>
      <c r="L206" t="s">
        <v>58</v>
      </c>
      <c r="M206" t="s">
        <v>59</v>
      </c>
      <c r="N206" t="s">
        <v>45</v>
      </c>
      <c r="O206">
        <v>10</v>
      </c>
      <c r="P206" t="s">
        <v>11</v>
      </c>
      <c r="Q206">
        <v>24.1</v>
      </c>
      <c r="R206" t="str">
        <f t="shared" si="7"/>
        <v>II</v>
      </c>
      <c r="S206">
        <f t="shared" si="8"/>
        <v>2.1656666666666668E-2</v>
      </c>
    </row>
    <row r="207" spans="1:19">
      <c r="A207">
        <v>961</v>
      </c>
      <c r="B207" t="s">
        <v>33</v>
      </c>
      <c r="C207">
        <v>0.5</v>
      </c>
      <c r="D207">
        <v>0.4</v>
      </c>
      <c r="E207">
        <v>0.125</v>
      </c>
      <c r="F207">
        <v>0.67249999999999999</v>
      </c>
      <c r="G207">
        <v>0.33600000000000002</v>
      </c>
      <c r="H207">
        <v>0.12</v>
      </c>
      <c r="I207">
        <v>0.1825</v>
      </c>
      <c r="J207">
        <v>7</v>
      </c>
      <c r="K207">
        <v>9</v>
      </c>
      <c r="L207" t="s">
        <v>34</v>
      </c>
      <c r="M207" t="s">
        <v>35</v>
      </c>
      <c r="N207" t="s">
        <v>36</v>
      </c>
      <c r="O207">
        <v>4</v>
      </c>
      <c r="P207" t="s">
        <v>8</v>
      </c>
      <c r="Q207">
        <v>6.1</v>
      </c>
      <c r="R207" t="str">
        <f t="shared" si="7"/>
        <v>II</v>
      </c>
      <c r="S207">
        <f t="shared" si="8"/>
        <v>0.24434166666666668</v>
      </c>
    </row>
    <row r="208" spans="1:19">
      <c r="A208">
        <v>3861</v>
      </c>
      <c r="B208" t="s">
        <v>33</v>
      </c>
      <c r="C208">
        <v>0.55000000000000004</v>
      </c>
      <c r="D208">
        <v>0.46500000000000002</v>
      </c>
      <c r="E208">
        <v>0.15</v>
      </c>
      <c r="F208">
        <v>1.0820000000000001</v>
      </c>
      <c r="G208">
        <v>0.35749999999999998</v>
      </c>
      <c r="H208">
        <v>0.19400000000000001</v>
      </c>
      <c r="I208">
        <v>0.19</v>
      </c>
      <c r="J208">
        <v>14</v>
      </c>
      <c r="K208">
        <v>12</v>
      </c>
      <c r="L208" t="s">
        <v>58</v>
      </c>
      <c r="M208" t="s">
        <v>59</v>
      </c>
      <c r="N208" t="s">
        <v>45</v>
      </c>
      <c r="O208">
        <v>6</v>
      </c>
      <c r="P208" t="s">
        <v>7</v>
      </c>
      <c r="Q208">
        <v>14.1</v>
      </c>
      <c r="R208" t="str">
        <f t="shared" si="7"/>
        <v>II</v>
      </c>
      <c r="S208">
        <f t="shared" si="8"/>
        <v>0.41332400000000002</v>
      </c>
    </row>
    <row r="209" spans="1:19">
      <c r="A209">
        <v>1267</v>
      </c>
      <c r="B209" t="s">
        <v>33</v>
      </c>
      <c r="C209">
        <v>0.46</v>
      </c>
      <c r="D209">
        <v>0.35</v>
      </c>
      <c r="E209">
        <v>0.105</v>
      </c>
      <c r="F209">
        <v>0.3705</v>
      </c>
      <c r="G209">
        <v>0.1575</v>
      </c>
      <c r="H209">
        <v>7.6999999999999999E-2</v>
      </c>
      <c r="I209">
        <v>0.114</v>
      </c>
      <c r="J209">
        <v>9</v>
      </c>
      <c r="K209">
        <v>1</v>
      </c>
      <c r="L209" t="s">
        <v>70</v>
      </c>
      <c r="M209" t="s">
        <v>71</v>
      </c>
      <c r="N209" t="s">
        <v>45</v>
      </c>
      <c r="O209">
        <v>3</v>
      </c>
      <c r="P209" t="s">
        <v>10</v>
      </c>
      <c r="Q209">
        <v>3.6</v>
      </c>
      <c r="R209" t="str">
        <f t="shared" si="7"/>
        <v>II</v>
      </c>
      <c r="S209">
        <f t="shared" si="8"/>
        <v>0.12918099999999999</v>
      </c>
    </row>
    <row r="210" spans="1:19">
      <c r="A210">
        <v>2504</v>
      </c>
      <c r="B210" t="s">
        <v>33</v>
      </c>
      <c r="C210">
        <v>0.3</v>
      </c>
      <c r="D210">
        <v>0.23</v>
      </c>
      <c r="E210">
        <v>7.4999999999999997E-2</v>
      </c>
      <c r="F210">
        <v>0.127</v>
      </c>
      <c r="G210">
        <v>5.1999999999999998E-2</v>
      </c>
      <c r="H210">
        <v>0.03</v>
      </c>
      <c r="I210">
        <v>3.4500000000000003E-2</v>
      </c>
      <c r="J210">
        <v>6</v>
      </c>
      <c r="K210">
        <v>8</v>
      </c>
      <c r="L210" t="s">
        <v>55</v>
      </c>
      <c r="M210" t="s">
        <v>56</v>
      </c>
      <c r="N210" t="s">
        <v>57</v>
      </c>
      <c r="O210">
        <v>9</v>
      </c>
      <c r="P210" t="s">
        <v>9</v>
      </c>
      <c r="Q210">
        <v>1.9</v>
      </c>
      <c r="R210" t="str">
        <f t="shared" si="7"/>
        <v>II</v>
      </c>
      <c r="S210">
        <f t="shared" si="8"/>
        <v>3.9031333333333335E-2</v>
      </c>
    </row>
    <row r="211" spans="1:19">
      <c r="A211">
        <v>1126</v>
      </c>
      <c r="B211" t="s">
        <v>33</v>
      </c>
      <c r="C211">
        <v>0.55000000000000004</v>
      </c>
      <c r="D211">
        <v>0.42499999999999999</v>
      </c>
      <c r="E211">
        <v>0.15</v>
      </c>
      <c r="F211">
        <v>0.83150000000000002</v>
      </c>
      <c r="G211">
        <v>0.41099999999999998</v>
      </c>
      <c r="H211">
        <v>0.17649999999999999</v>
      </c>
      <c r="I211">
        <v>0.2165</v>
      </c>
      <c r="J211">
        <v>10</v>
      </c>
      <c r="K211">
        <v>10</v>
      </c>
      <c r="L211" t="s">
        <v>37</v>
      </c>
      <c r="M211" t="s">
        <v>38</v>
      </c>
      <c r="N211" t="s">
        <v>39</v>
      </c>
      <c r="O211">
        <v>7</v>
      </c>
      <c r="P211" t="s">
        <v>6</v>
      </c>
      <c r="Q211">
        <v>2.5</v>
      </c>
      <c r="R211" t="str">
        <f t="shared" si="7"/>
        <v>III</v>
      </c>
      <c r="S211">
        <f t="shared" si="8"/>
        <v>0.39149791666666661</v>
      </c>
    </row>
    <row r="212" spans="1:19">
      <c r="A212">
        <v>4075</v>
      </c>
      <c r="B212" t="s">
        <v>33</v>
      </c>
      <c r="C212">
        <v>0.52</v>
      </c>
      <c r="D212">
        <v>0.4</v>
      </c>
      <c r="E212">
        <v>0.14000000000000001</v>
      </c>
      <c r="F212">
        <v>0.622</v>
      </c>
      <c r="G212">
        <v>0.27800000000000002</v>
      </c>
      <c r="H212">
        <v>0.14549999999999999</v>
      </c>
      <c r="I212">
        <v>0.16900000000000001</v>
      </c>
      <c r="J212">
        <v>8</v>
      </c>
      <c r="K212">
        <v>2</v>
      </c>
      <c r="L212" t="s">
        <v>49</v>
      </c>
      <c r="M212" t="s">
        <v>50</v>
      </c>
      <c r="N212" t="s">
        <v>51</v>
      </c>
      <c r="O212">
        <v>8</v>
      </c>
      <c r="P212" t="s">
        <v>13</v>
      </c>
      <c r="Q212">
        <v>12.3</v>
      </c>
      <c r="R212" t="str">
        <f t="shared" si="7"/>
        <v>II</v>
      </c>
      <c r="S212">
        <f t="shared" si="8"/>
        <v>0.22889599999999999</v>
      </c>
    </row>
    <row r="213" spans="1:19">
      <c r="A213">
        <v>1339</v>
      </c>
      <c r="B213" t="s">
        <v>33</v>
      </c>
      <c r="C213">
        <v>0.57999999999999996</v>
      </c>
      <c r="D213">
        <v>0.45500000000000002</v>
      </c>
      <c r="E213">
        <v>0.13500000000000001</v>
      </c>
      <c r="F213">
        <v>0.79549999999999998</v>
      </c>
      <c r="G213">
        <v>0.40500000000000003</v>
      </c>
      <c r="H213">
        <v>0.16700000000000001</v>
      </c>
      <c r="I213">
        <v>0.20399999999999999</v>
      </c>
      <c r="J213">
        <v>10</v>
      </c>
      <c r="K213">
        <v>12</v>
      </c>
      <c r="L213" t="s">
        <v>58</v>
      </c>
      <c r="M213" t="s">
        <v>59</v>
      </c>
      <c r="N213" t="s">
        <v>45</v>
      </c>
      <c r="O213">
        <v>4</v>
      </c>
      <c r="P213" t="s">
        <v>8</v>
      </c>
      <c r="Q213">
        <v>6.1</v>
      </c>
      <c r="R213" t="str">
        <f t="shared" si="7"/>
        <v>III</v>
      </c>
      <c r="S213">
        <f t="shared" si="8"/>
        <v>0.3805141666666666</v>
      </c>
    </row>
    <row r="214" spans="1:19">
      <c r="A214">
        <v>3200</v>
      </c>
      <c r="B214" t="s">
        <v>33</v>
      </c>
      <c r="C214">
        <v>0.49</v>
      </c>
      <c r="D214">
        <v>0.38</v>
      </c>
      <c r="E214">
        <v>0.155</v>
      </c>
      <c r="F214">
        <v>0.57799999999999996</v>
      </c>
      <c r="G214">
        <v>0.23949999999999999</v>
      </c>
      <c r="H214">
        <v>0.1255</v>
      </c>
      <c r="I214">
        <v>0.18</v>
      </c>
      <c r="J214">
        <v>9</v>
      </c>
      <c r="K214">
        <v>12</v>
      </c>
      <c r="L214" t="s">
        <v>58</v>
      </c>
      <c r="M214" t="s">
        <v>59</v>
      </c>
      <c r="N214" t="s">
        <v>45</v>
      </c>
      <c r="O214">
        <v>1</v>
      </c>
      <c r="P214" t="s">
        <v>4</v>
      </c>
      <c r="Q214">
        <v>22.1</v>
      </c>
      <c r="R214" t="str">
        <f t="shared" si="7"/>
        <v>II</v>
      </c>
      <c r="S214">
        <f t="shared" si="8"/>
        <v>0.21000666666666665</v>
      </c>
    </row>
    <row r="215" spans="1:19">
      <c r="A215">
        <v>2392</v>
      </c>
      <c r="B215" t="s">
        <v>33</v>
      </c>
      <c r="C215">
        <v>0.37</v>
      </c>
      <c r="D215">
        <v>0.28999999999999998</v>
      </c>
      <c r="E215">
        <v>0.09</v>
      </c>
      <c r="F215">
        <v>0.24099999999999999</v>
      </c>
      <c r="G215">
        <v>0.11</v>
      </c>
      <c r="H215">
        <v>4.4999999999999998E-2</v>
      </c>
      <c r="I215">
        <v>6.9000000000000006E-2</v>
      </c>
      <c r="J215">
        <v>10</v>
      </c>
      <c r="K215">
        <v>2</v>
      </c>
      <c r="L215" t="s">
        <v>49</v>
      </c>
      <c r="M215" t="s">
        <v>50</v>
      </c>
      <c r="N215" t="s">
        <v>51</v>
      </c>
      <c r="O215">
        <v>5</v>
      </c>
      <c r="P215" t="s">
        <v>12</v>
      </c>
      <c r="Q215">
        <v>12.8</v>
      </c>
      <c r="R215" t="str">
        <f t="shared" si="7"/>
        <v>II</v>
      </c>
      <c r="S215">
        <f t="shared" si="8"/>
        <v>7.8726666666666667E-2</v>
      </c>
    </row>
    <row r="216" spans="1:19">
      <c r="A216">
        <v>1810</v>
      </c>
      <c r="B216" t="s">
        <v>33</v>
      </c>
      <c r="C216">
        <v>0.64</v>
      </c>
      <c r="D216">
        <v>0.47499999999999998</v>
      </c>
      <c r="E216">
        <v>0.14000000000000001</v>
      </c>
      <c r="F216">
        <v>1.0725</v>
      </c>
      <c r="G216">
        <v>0.48949999999999999</v>
      </c>
      <c r="H216">
        <v>0.22950000000000001</v>
      </c>
      <c r="I216">
        <v>0.31</v>
      </c>
      <c r="J216">
        <v>8</v>
      </c>
      <c r="K216">
        <v>3</v>
      </c>
      <c r="L216" t="s">
        <v>52</v>
      </c>
      <c r="M216" t="s">
        <v>53</v>
      </c>
      <c r="N216" t="s">
        <v>54</v>
      </c>
      <c r="O216">
        <v>7</v>
      </c>
      <c r="P216" t="s">
        <v>6</v>
      </c>
      <c r="Q216">
        <v>2.5</v>
      </c>
      <c r="R216" t="str">
        <f t="shared" si="7"/>
        <v>III</v>
      </c>
      <c r="S216">
        <f t="shared" si="8"/>
        <v>0.52820624999999999</v>
      </c>
    </row>
    <row r="217" spans="1:19">
      <c r="A217">
        <v>3036</v>
      </c>
      <c r="B217" t="s">
        <v>33</v>
      </c>
      <c r="C217">
        <v>0.55000000000000004</v>
      </c>
      <c r="D217">
        <v>0.40500000000000003</v>
      </c>
      <c r="E217">
        <v>0.15</v>
      </c>
      <c r="F217">
        <v>0.67549999999999999</v>
      </c>
      <c r="G217">
        <v>0.30149999999999999</v>
      </c>
      <c r="H217">
        <v>0.14649999999999999</v>
      </c>
      <c r="I217">
        <v>0.21</v>
      </c>
      <c r="J217">
        <v>10</v>
      </c>
      <c r="K217">
        <v>12</v>
      </c>
      <c r="L217" t="s">
        <v>58</v>
      </c>
      <c r="M217" t="s">
        <v>59</v>
      </c>
      <c r="N217" t="s">
        <v>45</v>
      </c>
      <c r="O217">
        <v>9</v>
      </c>
      <c r="P217" t="s">
        <v>9</v>
      </c>
      <c r="Q217">
        <v>1.9</v>
      </c>
      <c r="R217" t="str">
        <f t="shared" si="7"/>
        <v>II</v>
      </c>
      <c r="S217">
        <f t="shared" si="8"/>
        <v>0.252637</v>
      </c>
    </row>
    <row r="218" spans="1:19">
      <c r="A218">
        <v>314</v>
      </c>
      <c r="B218" t="s">
        <v>33</v>
      </c>
      <c r="C218">
        <v>0.62</v>
      </c>
      <c r="D218">
        <v>0.47</v>
      </c>
      <c r="E218">
        <v>0.2</v>
      </c>
      <c r="F218">
        <v>1.2255</v>
      </c>
      <c r="G218">
        <v>0.38100000000000001</v>
      </c>
      <c r="H218">
        <v>0.27</v>
      </c>
      <c r="I218">
        <v>0.435</v>
      </c>
      <c r="J218">
        <v>23</v>
      </c>
      <c r="K218">
        <v>9</v>
      </c>
      <c r="L218" t="s">
        <v>34</v>
      </c>
      <c r="M218" t="s">
        <v>35</v>
      </c>
      <c r="N218" t="s">
        <v>36</v>
      </c>
      <c r="O218">
        <v>6</v>
      </c>
      <c r="P218" t="s">
        <v>7</v>
      </c>
      <c r="Q218">
        <v>14.1</v>
      </c>
      <c r="R218" t="str">
        <f t="shared" si="7"/>
        <v>III</v>
      </c>
      <c r="S218">
        <f t="shared" si="8"/>
        <v>0.61070750000000007</v>
      </c>
    </row>
    <row r="219" spans="1:19">
      <c r="A219">
        <v>1532</v>
      </c>
      <c r="B219" t="s">
        <v>33</v>
      </c>
      <c r="C219">
        <v>0.21</v>
      </c>
      <c r="D219">
        <v>0.17</v>
      </c>
      <c r="E219">
        <v>4.4999999999999998E-2</v>
      </c>
      <c r="F219">
        <v>4.7500000000000001E-2</v>
      </c>
      <c r="G219">
        <v>1.9E-2</v>
      </c>
      <c r="H219">
        <v>1.0999999999999999E-2</v>
      </c>
      <c r="I219">
        <v>1.2999999999999999E-2</v>
      </c>
      <c r="J219">
        <v>5</v>
      </c>
      <c r="K219">
        <v>11</v>
      </c>
      <c r="L219" t="s">
        <v>65</v>
      </c>
      <c r="M219" t="s">
        <v>66</v>
      </c>
      <c r="N219" t="s">
        <v>45</v>
      </c>
      <c r="O219">
        <v>7</v>
      </c>
      <c r="P219" t="s">
        <v>6</v>
      </c>
      <c r="Q219">
        <v>2.5</v>
      </c>
      <c r="R219" t="str">
        <f t="shared" si="7"/>
        <v>II</v>
      </c>
      <c r="S219">
        <f t="shared" si="8"/>
        <v>1.3458333333333334E-2</v>
      </c>
    </row>
    <row r="220" spans="1:19">
      <c r="A220">
        <v>2344</v>
      </c>
      <c r="B220" t="s">
        <v>33</v>
      </c>
      <c r="C220">
        <v>0.17</v>
      </c>
      <c r="D220">
        <v>0.125</v>
      </c>
      <c r="E220">
        <v>5.5E-2</v>
      </c>
      <c r="F220">
        <v>2.35E-2</v>
      </c>
      <c r="G220">
        <v>8.9999999999999993E-3</v>
      </c>
      <c r="H220">
        <v>5.4999999999999997E-3</v>
      </c>
      <c r="I220">
        <v>8.0000000000000002E-3</v>
      </c>
      <c r="J220">
        <v>6</v>
      </c>
      <c r="K220">
        <v>13</v>
      </c>
      <c r="L220" t="s">
        <v>43</v>
      </c>
      <c r="M220" t="s">
        <v>44</v>
      </c>
      <c r="N220" t="s">
        <v>45</v>
      </c>
      <c r="O220">
        <v>8</v>
      </c>
      <c r="P220" t="s">
        <v>13</v>
      </c>
      <c r="Q220">
        <v>12.3</v>
      </c>
      <c r="R220" t="str">
        <f t="shared" si="7"/>
        <v>II</v>
      </c>
      <c r="S220">
        <f t="shared" si="8"/>
        <v>6.4233333333333338E-3</v>
      </c>
    </row>
    <row r="221" spans="1:19">
      <c r="A221">
        <v>1165</v>
      </c>
      <c r="B221" t="s">
        <v>33</v>
      </c>
      <c r="C221">
        <v>0.61499999999999999</v>
      </c>
      <c r="D221">
        <v>0.46</v>
      </c>
      <c r="E221">
        <v>0.17</v>
      </c>
      <c r="F221">
        <v>1.0565</v>
      </c>
      <c r="G221">
        <v>0.48149999999999998</v>
      </c>
      <c r="H221">
        <v>0.27200000000000002</v>
      </c>
      <c r="I221">
        <v>0.27</v>
      </c>
      <c r="J221">
        <v>10</v>
      </c>
      <c r="K221">
        <v>14</v>
      </c>
      <c r="L221" t="s">
        <v>72</v>
      </c>
      <c r="M221" t="s">
        <v>73</v>
      </c>
      <c r="N221" t="s">
        <v>74</v>
      </c>
      <c r="O221">
        <v>9</v>
      </c>
      <c r="P221" t="s">
        <v>9</v>
      </c>
      <c r="Q221">
        <v>1.9</v>
      </c>
      <c r="R221" t="str">
        <f t="shared" si="7"/>
        <v>III</v>
      </c>
      <c r="S221">
        <f t="shared" si="8"/>
        <v>0.51856541666666667</v>
      </c>
    </row>
    <row r="222" spans="1:19">
      <c r="A222">
        <v>1009</v>
      </c>
      <c r="B222" t="s">
        <v>33</v>
      </c>
      <c r="C222">
        <v>0.61</v>
      </c>
      <c r="D222">
        <v>0.47499999999999998</v>
      </c>
      <c r="E222">
        <v>0.155</v>
      </c>
      <c r="F222">
        <v>1.1679999999999999</v>
      </c>
      <c r="G222">
        <v>0.55400000000000005</v>
      </c>
      <c r="H222">
        <v>0.23899999999999999</v>
      </c>
      <c r="I222">
        <v>0.32950000000000002</v>
      </c>
      <c r="J222">
        <v>10</v>
      </c>
      <c r="K222">
        <v>10</v>
      </c>
      <c r="L222" t="s">
        <v>37</v>
      </c>
      <c r="M222" t="s">
        <v>38</v>
      </c>
      <c r="N222" t="s">
        <v>39</v>
      </c>
      <c r="O222">
        <v>3</v>
      </c>
      <c r="P222" t="s">
        <v>10</v>
      </c>
      <c r="Q222">
        <v>3.6</v>
      </c>
      <c r="R222" t="str">
        <f t="shared" si="7"/>
        <v>I</v>
      </c>
      <c r="S222">
        <f t="shared" si="8"/>
        <v>0.85847999999999991</v>
      </c>
    </row>
    <row r="223" spans="1:19">
      <c r="A223">
        <v>735</v>
      </c>
      <c r="B223" t="s">
        <v>33</v>
      </c>
      <c r="C223">
        <v>0.52500000000000002</v>
      </c>
      <c r="D223">
        <v>0.42499999999999999</v>
      </c>
      <c r="E223">
        <v>0.12</v>
      </c>
      <c r="F223">
        <v>0.86650000000000005</v>
      </c>
      <c r="G223">
        <v>0.28249999999999997</v>
      </c>
      <c r="H223">
        <v>0.17599999999999999</v>
      </c>
      <c r="I223">
        <v>0.28999999999999998</v>
      </c>
      <c r="J223">
        <v>18</v>
      </c>
      <c r="K223">
        <v>8</v>
      </c>
      <c r="L223" t="s">
        <v>55</v>
      </c>
      <c r="M223" t="s">
        <v>56</v>
      </c>
      <c r="N223" t="s">
        <v>57</v>
      </c>
      <c r="O223">
        <v>7</v>
      </c>
      <c r="P223" t="s">
        <v>6</v>
      </c>
      <c r="Q223">
        <v>2.5</v>
      </c>
      <c r="R223" t="str">
        <f t="shared" si="7"/>
        <v>II</v>
      </c>
      <c r="S223">
        <f t="shared" si="8"/>
        <v>0.32002733333333333</v>
      </c>
    </row>
    <row r="224" spans="1:19">
      <c r="A224">
        <v>3889</v>
      </c>
      <c r="B224" t="s">
        <v>33</v>
      </c>
      <c r="C224">
        <v>0.57499999999999996</v>
      </c>
      <c r="D224">
        <v>0.45</v>
      </c>
      <c r="E224">
        <v>0.1</v>
      </c>
      <c r="F224">
        <v>0.93149999999999999</v>
      </c>
      <c r="G224">
        <v>0.43099999999999999</v>
      </c>
      <c r="H224">
        <v>0.222</v>
      </c>
      <c r="I224">
        <v>0.23499999999999999</v>
      </c>
      <c r="J224">
        <v>12</v>
      </c>
      <c r="K224">
        <v>6</v>
      </c>
      <c r="L224" t="s">
        <v>46</v>
      </c>
      <c r="M224" t="s">
        <v>47</v>
      </c>
      <c r="N224" t="s">
        <v>48</v>
      </c>
      <c r="O224">
        <v>2</v>
      </c>
      <c r="P224" t="s">
        <v>5</v>
      </c>
      <c r="Q224">
        <v>18</v>
      </c>
      <c r="R224" t="str">
        <f t="shared" si="7"/>
        <v>III</v>
      </c>
      <c r="S224">
        <f t="shared" si="8"/>
        <v>0.43858124999999992</v>
      </c>
    </row>
    <row r="225" spans="1:19">
      <c r="A225">
        <v>3722</v>
      </c>
      <c r="B225" t="s">
        <v>33</v>
      </c>
      <c r="C225">
        <v>0.43</v>
      </c>
      <c r="D225">
        <v>0.31</v>
      </c>
      <c r="E225">
        <v>0.13</v>
      </c>
      <c r="F225">
        <v>0.64849999999999997</v>
      </c>
      <c r="G225">
        <v>0.27350000000000002</v>
      </c>
      <c r="H225">
        <v>0.16300000000000001</v>
      </c>
      <c r="I225">
        <v>0.184</v>
      </c>
      <c r="J225">
        <v>9</v>
      </c>
      <c r="K225">
        <v>15</v>
      </c>
      <c r="L225" t="s">
        <v>60</v>
      </c>
      <c r="M225" t="s">
        <v>61</v>
      </c>
      <c r="N225" t="s">
        <v>45</v>
      </c>
      <c r="O225">
        <v>10</v>
      </c>
      <c r="P225" t="s">
        <v>11</v>
      </c>
      <c r="Q225">
        <v>24.1</v>
      </c>
      <c r="R225" t="str">
        <f t="shared" si="7"/>
        <v>II</v>
      </c>
      <c r="S225">
        <f t="shared" si="8"/>
        <v>0.22221933333333332</v>
      </c>
    </row>
    <row r="226" spans="1:19">
      <c r="A226">
        <v>2583</v>
      </c>
      <c r="B226" t="s">
        <v>33</v>
      </c>
      <c r="C226">
        <v>0.53</v>
      </c>
      <c r="D226">
        <v>0.41</v>
      </c>
      <c r="E226">
        <v>0.14000000000000001</v>
      </c>
      <c r="F226">
        <v>0.68100000000000005</v>
      </c>
      <c r="G226">
        <v>0.3095</v>
      </c>
      <c r="H226">
        <v>0.14149999999999999</v>
      </c>
      <c r="I226">
        <v>0.1835</v>
      </c>
      <c r="J226">
        <v>6</v>
      </c>
      <c r="K226">
        <v>13</v>
      </c>
      <c r="L226" t="s">
        <v>43</v>
      </c>
      <c r="M226" t="s">
        <v>44</v>
      </c>
      <c r="N226" t="s">
        <v>45</v>
      </c>
      <c r="O226">
        <v>6</v>
      </c>
      <c r="P226" t="s">
        <v>7</v>
      </c>
      <c r="Q226">
        <v>14.1</v>
      </c>
      <c r="R226" t="str">
        <f t="shared" si="7"/>
        <v>II</v>
      </c>
      <c r="S226">
        <f t="shared" si="8"/>
        <v>0.25242400000000004</v>
      </c>
    </row>
    <row r="227" spans="1:19">
      <c r="A227">
        <v>1215</v>
      </c>
      <c r="B227" t="s">
        <v>33</v>
      </c>
      <c r="C227">
        <v>0.27500000000000002</v>
      </c>
      <c r="D227">
        <v>0.19500000000000001</v>
      </c>
      <c r="E227">
        <v>0.09</v>
      </c>
      <c r="F227">
        <v>0.1125</v>
      </c>
      <c r="G227">
        <v>5.45E-2</v>
      </c>
      <c r="H227">
        <v>2.9499999999999998E-2</v>
      </c>
      <c r="I227">
        <v>3.5499999999999997E-2</v>
      </c>
      <c r="J227">
        <v>6</v>
      </c>
      <c r="K227">
        <v>4</v>
      </c>
      <c r="L227" t="s">
        <v>40</v>
      </c>
      <c r="M227" t="s">
        <v>41</v>
      </c>
      <c r="N227" t="s">
        <v>42</v>
      </c>
      <c r="O227">
        <v>2</v>
      </c>
      <c r="P227" t="s">
        <v>5</v>
      </c>
      <c r="Q227">
        <v>18</v>
      </c>
      <c r="R227" t="str">
        <f t="shared" si="7"/>
        <v>II</v>
      </c>
      <c r="S227">
        <f t="shared" si="8"/>
        <v>3.39E-2</v>
      </c>
    </row>
    <row r="228" spans="1:19">
      <c r="A228">
        <v>814</v>
      </c>
      <c r="B228" t="s">
        <v>33</v>
      </c>
      <c r="C228">
        <v>0.255</v>
      </c>
      <c r="D228">
        <v>0.185</v>
      </c>
      <c r="E228">
        <v>0.06</v>
      </c>
      <c r="F228">
        <v>8.7999999999999995E-2</v>
      </c>
      <c r="G228">
        <v>3.6499999999999998E-2</v>
      </c>
      <c r="H228">
        <v>2.1000000000000001E-2</v>
      </c>
      <c r="I228">
        <v>2.3E-2</v>
      </c>
      <c r="J228">
        <v>5</v>
      </c>
      <c r="K228">
        <v>14</v>
      </c>
      <c r="L228" t="s">
        <v>72</v>
      </c>
      <c r="M228" t="s">
        <v>73</v>
      </c>
      <c r="N228" t="s">
        <v>74</v>
      </c>
      <c r="O228">
        <v>7</v>
      </c>
      <c r="P228" t="s">
        <v>6</v>
      </c>
      <c r="Q228">
        <v>2.5</v>
      </c>
      <c r="R228" t="str">
        <f t="shared" si="7"/>
        <v>II</v>
      </c>
      <c r="S228">
        <f t="shared" si="8"/>
        <v>2.5813333333333334E-2</v>
      </c>
    </row>
    <row r="229" spans="1:19">
      <c r="A229">
        <v>908</v>
      </c>
      <c r="B229" t="s">
        <v>33</v>
      </c>
      <c r="C229">
        <v>0.33</v>
      </c>
      <c r="D229">
        <v>0.26500000000000001</v>
      </c>
      <c r="E229">
        <v>8.5000000000000006E-2</v>
      </c>
      <c r="F229">
        <v>0.19600000000000001</v>
      </c>
      <c r="G229">
        <v>7.7499999999999999E-2</v>
      </c>
      <c r="H229">
        <v>3.0499999999999999E-2</v>
      </c>
      <c r="I229">
        <v>4.4499999999999998E-2</v>
      </c>
      <c r="J229">
        <v>6</v>
      </c>
      <c r="K229">
        <v>1</v>
      </c>
      <c r="L229" t="s">
        <v>70</v>
      </c>
      <c r="M229" t="s">
        <v>71</v>
      </c>
      <c r="N229" t="s">
        <v>45</v>
      </c>
      <c r="O229">
        <v>1</v>
      </c>
      <c r="P229" t="s">
        <v>4</v>
      </c>
      <c r="Q229">
        <v>22.1</v>
      </c>
      <c r="R229" t="str">
        <f t="shared" si="7"/>
        <v>II</v>
      </c>
      <c r="S229">
        <f t="shared" si="8"/>
        <v>6.2197333333333341E-2</v>
      </c>
    </row>
    <row r="230" spans="1:19">
      <c r="A230">
        <v>1606</v>
      </c>
      <c r="B230" t="s">
        <v>33</v>
      </c>
      <c r="C230">
        <v>0.54</v>
      </c>
      <c r="D230">
        <v>0.42</v>
      </c>
      <c r="E230">
        <v>0.14000000000000001</v>
      </c>
      <c r="F230">
        <v>0.62749999999999995</v>
      </c>
      <c r="G230">
        <v>0.2505</v>
      </c>
      <c r="H230">
        <v>0.11749999999999999</v>
      </c>
      <c r="I230">
        <v>0.23499999999999999</v>
      </c>
      <c r="J230">
        <v>9</v>
      </c>
      <c r="K230">
        <v>5</v>
      </c>
      <c r="L230" t="s">
        <v>67</v>
      </c>
      <c r="M230" t="s">
        <v>68</v>
      </c>
      <c r="N230" t="s">
        <v>69</v>
      </c>
      <c r="O230">
        <v>7</v>
      </c>
      <c r="P230" t="s">
        <v>6</v>
      </c>
      <c r="Q230">
        <v>2.5</v>
      </c>
      <c r="R230" t="str">
        <f t="shared" si="7"/>
        <v>II</v>
      </c>
      <c r="S230">
        <f t="shared" si="8"/>
        <v>0.23426666666666668</v>
      </c>
    </row>
    <row r="231" spans="1:19">
      <c r="A231">
        <v>2298</v>
      </c>
      <c r="B231" t="s">
        <v>33</v>
      </c>
      <c r="C231">
        <v>0.47499999999999998</v>
      </c>
      <c r="D231">
        <v>0.36</v>
      </c>
      <c r="E231">
        <v>0.12</v>
      </c>
      <c r="F231">
        <v>0.57799999999999996</v>
      </c>
      <c r="G231">
        <v>0.28249999999999997</v>
      </c>
      <c r="H231">
        <v>0.12</v>
      </c>
      <c r="I231">
        <v>0.17</v>
      </c>
      <c r="J231">
        <v>8</v>
      </c>
      <c r="K231">
        <v>1</v>
      </c>
      <c r="L231" t="s">
        <v>70</v>
      </c>
      <c r="M231" t="s">
        <v>71</v>
      </c>
      <c r="N231" t="s">
        <v>45</v>
      </c>
      <c r="O231">
        <v>8</v>
      </c>
      <c r="P231" t="s">
        <v>13</v>
      </c>
      <c r="Q231">
        <v>12.3</v>
      </c>
      <c r="R231" t="str">
        <f t="shared" si="7"/>
        <v>II</v>
      </c>
      <c r="S231">
        <f t="shared" si="8"/>
        <v>0.20461199999999999</v>
      </c>
    </row>
    <row r="232" spans="1:19">
      <c r="A232">
        <v>710</v>
      </c>
      <c r="B232" t="s">
        <v>33</v>
      </c>
      <c r="C232">
        <v>0.29499999999999998</v>
      </c>
      <c r="D232">
        <v>0.22500000000000001</v>
      </c>
      <c r="E232">
        <v>0.09</v>
      </c>
      <c r="F232">
        <v>0.1105</v>
      </c>
      <c r="G232">
        <v>4.0500000000000001E-2</v>
      </c>
      <c r="H232">
        <v>2.4500000000000001E-2</v>
      </c>
      <c r="I232">
        <v>3.2000000000000001E-2</v>
      </c>
      <c r="J232">
        <v>7</v>
      </c>
      <c r="K232">
        <v>13</v>
      </c>
      <c r="L232" t="s">
        <v>43</v>
      </c>
      <c r="M232" t="s">
        <v>44</v>
      </c>
      <c r="N232" t="s">
        <v>45</v>
      </c>
      <c r="O232">
        <v>7</v>
      </c>
      <c r="P232" t="s">
        <v>6</v>
      </c>
      <c r="Q232">
        <v>2.5</v>
      </c>
      <c r="R232" t="str">
        <f t="shared" si="7"/>
        <v>II</v>
      </c>
      <c r="S232">
        <f t="shared" si="8"/>
        <v>3.4034000000000002E-2</v>
      </c>
    </row>
    <row r="233" spans="1:19">
      <c r="A233">
        <v>551</v>
      </c>
      <c r="B233" t="s">
        <v>33</v>
      </c>
      <c r="C233">
        <v>0.65</v>
      </c>
      <c r="D233">
        <v>0.51500000000000001</v>
      </c>
      <c r="E233">
        <v>0.16</v>
      </c>
      <c r="F233">
        <v>1.1625000000000001</v>
      </c>
      <c r="G233">
        <v>0.495</v>
      </c>
      <c r="H233">
        <v>0.20300000000000001</v>
      </c>
      <c r="I233">
        <v>0.33</v>
      </c>
      <c r="J233">
        <v>17</v>
      </c>
      <c r="K233">
        <v>1</v>
      </c>
      <c r="L233" t="s">
        <v>70</v>
      </c>
      <c r="M233" t="s">
        <v>71</v>
      </c>
      <c r="N233" t="s">
        <v>45</v>
      </c>
      <c r="O233">
        <v>6</v>
      </c>
      <c r="P233" t="s">
        <v>7</v>
      </c>
      <c r="Q233">
        <v>14.1</v>
      </c>
      <c r="R233" t="str">
        <f t="shared" si="7"/>
        <v>III</v>
      </c>
      <c r="S233">
        <f t="shared" si="8"/>
        <v>0.58609375000000008</v>
      </c>
    </row>
    <row r="234" spans="1:19">
      <c r="A234">
        <v>4102</v>
      </c>
      <c r="B234" t="s">
        <v>33</v>
      </c>
      <c r="C234">
        <v>0.67500000000000004</v>
      </c>
      <c r="D234">
        <v>0.51</v>
      </c>
      <c r="E234">
        <v>0.15</v>
      </c>
      <c r="F234">
        <v>1.1964999999999999</v>
      </c>
      <c r="G234">
        <v>0.47499999999999998</v>
      </c>
      <c r="H234">
        <v>0.30399999999999999</v>
      </c>
      <c r="I234">
        <v>0.38600000000000001</v>
      </c>
      <c r="J234">
        <v>11</v>
      </c>
      <c r="K234">
        <v>6</v>
      </c>
      <c r="L234" t="s">
        <v>46</v>
      </c>
      <c r="M234" t="s">
        <v>47</v>
      </c>
      <c r="N234" t="s">
        <v>48</v>
      </c>
      <c r="O234">
        <v>10</v>
      </c>
      <c r="P234" t="s">
        <v>11</v>
      </c>
      <c r="Q234">
        <v>24.1</v>
      </c>
      <c r="R234" t="str">
        <f t="shared" si="7"/>
        <v>III</v>
      </c>
      <c r="S234">
        <f t="shared" si="8"/>
        <v>0.60522958333333332</v>
      </c>
    </row>
    <row r="235" spans="1:19">
      <c r="A235">
        <v>3843</v>
      </c>
      <c r="B235" t="s">
        <v>33</v>
      </c>
      <c r="C235">
        <v>0.61499999999999999</v>
      </c>
      <c r="D235">
        <v>0.47499999999999998</v>
      </c>
      <c r="E235">
        <v>0.14499999999999999</v>
      </c>
      <c r="F235">
        <v>0.95250000000000001</v>
      </c>
      <c r="G235">
        <v>0.39150000000000001</v>
      </c>
      <c r="H235">
        <v>0.19500000000000001</v>
      </c>
      <c r="I235">
        <v>0.32</v>
      </c>
      <c r="J235">
        <v>9</v>
      </c>
      <c r="K235">
        <v>14</v>
      </c>
      <c r="L235" t="s">
        <v>72</v>
      </c>
      <c r="M235" t="s">
        <v>73</v>
      </c>
      <c r="N235" t="s">
        <v>74</v>
      </c>
      <c r="O235">
        <v>6</v>
      </c>
      <c r="P235" t="s">
        <v>7</v>
      </c>
      <c r="Q235">
        <v>14.1</v>
      </c>
      <c r="R235" t="str">
        <f t="shared" si="7"/>
        <v>II</v>
      </c>
      <c r="S235">
        <f t="shared" si="8"/>
        <v>0.37274499999999999</v>
      </c>
    </row>
    <row r="236" spans="1:19">
      <c r="A236">
        <v>22</v>
      </c>
      <c r="B236" t="s">
        <v>33</v>
      </c>
      <c r="C236">
        <v>0.38</v>
      </c>
      <c r="D236">
        <v>0.27500000000000002</v>
      </c>
      <c r="E236">
        <v>0.1</v>
      </c>
      <c r="F236">
        <v>0.22550000000000001</v>
      </c>
      <c r="G236">
        <v>0.08</v>
      </c>
      <c r="H236">
        <v>4.9000000000000002E-2</v>
      </c>
      <c r="I236">
        <v>8.5000000000000006E-2</v>
      </c>
      <c r="J236">
        <v>10</v>
      </c>
      <c r="K236">
        <v>2</v>
      </c>
      <c r="L236" t="s">
        <v>49</v>
      </c>
      <c r="M236" t="s">
        <v>50</v>
      </c>
      <c r="N236" t="s">
        <v>51</v>
      </c>
      <c r="O236">
        <v>8</v>
      </c>
      <c r="P236" t="s">
        <v>13</v>
      </c>
      <c r="Q236">
        <v>12.3</v>
      </c>
      <c r="R236" t="str">
        <f t="shared" si="7"/>
        <v>II</v>
      </c>
      <c r="S236">
        <f t="shared" si="8"/>
        <v>7.3813666666666666E-2</v>
      </c>
    </row>
    <row r="237" spans="1:19">
      <c r="A237">
        <v>157</v>
      </c>
      <c r="B237" t="s">
        <v>33</v>
      </c>
      <c r="C237">
        <v>0.57499999999999996</v>
      </c>
      <c r="D237">
        <v>0.46</v>
      </c>
      <c r="E237">
        <v>0.19</v>
      </c>
      <c r="F237">
        <v>0.99399999999999999</v>
      </c>
      <c r="G237">
        <v>0.39200000000000002</v>
      </c>
      <c r="H237">
        <v>0.24249999999999999</v>
      </c>
      <c r="I237">
        <v>0.34</v>
      </c>
      <c r="J237">
        <v>13</v>
      </c>
      <c r="K237">
        <v>14</v>
      </c>
      <c r="L237" t="s">
        <v>72</v>
      </c>
      <c r="M237" t="s">
        <v>73</v>
      </c>
      <c r="N237" t="s">
        <v>74</v>
      </c>
      <c r="O237">
        <v>3</v>
      </c>
      <c r="P237" t="s">
        <v>10</v>
      </c>
      <c r="Q237">
        <v>3.6</v>
      </c>
      <c r="R237" t="str">
        <f t="shared" si="7"/>
        <v>II</v>
      </c>
      <c r="S237">
        <f t="shared" si="8"/>
        <v>0.38765999999999995</v>
      </c>
    </row>
    <row r="238" spans="1:19">
      <c r="A238">
        <v>2501</v>
      </c>
      <c r="B238" t="s">
        <v>33</v>
      </c>
      <c r="C238">
        <v>0.48</v>
      </c>
      <c r="D238">
        <v>0.39</v>
      </c>
      <c r="E238">
        <v>0.125</v>
      </c>
      <c r="F238">
        <v>0.6905</v>
      </c>
      <c r="G238">
        <v>0.219</v>
      </c>
      <c r="H238">
        <v>0.155</v>
      </c>
      <c r="I238">
        <v>0.2</v>
      </c>
      <c r="J238">
        <v>12</v>
      </c>
      <c r="K238">
        <v>12</v>
      </c>
      <c r="L238" t="s">
        <v>58</v>
      </c>
      <c r="M238" t="s">
        <v>59</v>
      </c>
      <c r="N238" t="s">
        <v>45</v>
      </c>
      <c r="O238">
        <v>1</v>
      </c>
      <c r="P238" t="s">
        <v>4</v>
      </c>
      <c r="Q238">
        <v>22.1</v>
      </c>
      <c r="R238" t="str">
        <f t="shared" si="7"/>
        <v>II</v>
      </c>
      <c r="S238">
        <f t="shared" si="8"/>
        <v>0.24811966666666666</v>
      </c>
    </row>
    <row r="239" spans="1:19">
      <c r="A239">
        <v>2226</v>
      </c>
      <c r="B239" t="s">
        <v>33</v>
      </c>
      <c r="C239">
        <v>0.59</v>
      </c>
      <c r="D239">
        <v>0.47499999999999998</v>
      </c>
      <c r="E239">
        <v>0.155</v>
      </c>
      <c r="F239">
        <v>0.85699999999999998</v>
      </c>
      <c r="G239">
        <v>0.35599999999999998</v>
      </c>
      <c r="H239">
        <v>0.17399999999999999</v>
      </c>
      <c r="I239">
        <v>0.28000000000000003</v>
      </c>
      <c r="J239">
        <v>13</v>
      </c>
      <c r="K239">
        <v>13</v>
      </c>
      <c r="L239" t="s">
        <v>43</v>
      </c>
      <c r="M239" t="s">
        <v>44</v>
      </c>
      <c r="N239" t="s">
        <v>45</v>
      </c>
      <c r="O239">
        <v>5</v>
      </c>
      <c r="P239" t="s">
        <v>12</v>
      </c>
      <c r="Q239">
        <v>12.8</v>
      </c>
      <c r="R239" t="str">
        <f t="shared" si="7"/>
        <v>II</v>
      </c>
      <c r="S239">
        <f t="shared" si="8"/>
        <v>0.33365866666666666</v>
      </c>
    </row>
    <row r="240" spans="1:19">
      <c r="A240">
        <v>2763</v>
      </c>
      <c r="B240" t="s">
        <v>33</v>
      </c>
      <c r="C240">
        <v>0.55000000000000004</v>
      </c>
      <c r="D240">
        <v>0.42</v>
      </c>
      <c r="E240">
        <v>0.155</v>
      </c>
      <c r="F240">
        <v>0.91200000000000003</v>
      </c>
      <c r="G240">
        <v>0.495</v>
      </c>
      <c r="H240">
        <v>0.18049999999999999</v>
      </c>
      <c r="I240">
        <v>0.20499999999999999</v>
      </c>
      <c r="J240">
        <v>9</v>
      </c>
      <c r="K240">
        <v>2</v>
      </c>
      <c r="L240" t="s">
        <v>49</v>
      </c>
      <c r="M240" t="s">
        <v>50</v>
      </c>
      <c r="N240" t="s">
        <v>51</v>
      </c>
      <c r="O240">
        <v>10</v>
      </c>
      <c r="P240" t="s">
        <v>11</v>
      </c>
      <c r="Q240">
        <v>24.1</v>
      </c>
      <c r="R240" t="str">
        <f t="shared" si="7"/>
        <v>III</v>
      </c>
      <c r="S240">
        <f t="shared" si="8"/>
        <v>0.42939999999999995</v>
      </c>
    </row>
    <row r="241" spans="1:19">
      <c r="A241">
        <v>3723</v>
      </c>
      <c r="B241" t="s">
        <v>33</v>
      </c>
      <c r="C241">
        <v>0.46500000000000002</v>
      </c>
      <c r="D241">
        <v>0.36</v>
      </c>
      <c r="E241">
        <v>0.105</v>
      </c>
      <c r="F241">
        <v>0.45200000000000001</v>
      </c>
      <c r="G241">
        <v>0.22</v>
      </c>
      <c r="H241">
        <v>0.159</v>
      </c>
      <c r="I241">
        <v>0.10349999999999999</v>
      </c>
      <c r="J241">
        <v>9</v>
      </c>
      <c r="K241">
        <v>4</v>
      </c>
      <c r="L241" t="s">
        <v>40</v>
      </c>
      <c r="M241" t="s">
        <v>41</v>
      </c>
      <c r="N241" t="s">
        <v>42</v>
      </c>
      <c r="O241">
        <v>2</v>
      </c>
      <c r="P241" t="s">
        <v>5</v>
      </c>
      <c r="Q241">
        <v>18</v>
      </c>
      <c r="R241" t="str">
        <f t="shared" si="7"/>
        <v>II</v>
      </c>
      <c r="S241">
        <f t="shared" si="8"/>
        <v>0.15850133333333333</v>
      </c>
    </row>
    <row r="242" spans="1:19">
      <c r="A242">
        <v>3494</v>
      </c>
      <c r="B242" t="s">
        <v>33</v>
      </c>
      <c r="C242">
        <v>0.55500000000000005</v>
      </c>
      <c r="D242">
        <v>0.44</v>
      </c>
      <c r="E242">
        <v>0.15</v>
      </c>
      <c r="F242">
        <v>0.83799999999999997</v>
      </c>
      <c r="G242">
        <v>0.41549999999999998</v>
      </c>
      <c r="H242">
        <v>0.14599999999999999</v>
      </c>
      <c r="I242">
        <v>0.23</v>
      </c>
      <c r="J242">
        <v>8</v>
      </c>
      <c r="K242">
        <v>1</v>
      </c>
      <c r="L242" t="s">
        <v>70</v>
      </c>
      <c r="M242" t="s">
        <v>71</v>
      </c>
      <c r="N242" t="s">
        <v>45</v>
      </c>
      <c r="O242">
        <v>2</v>
      </c>
      <c r="P242" t="s">
        <v>5</v>
      </c>
      <c r="Q242">
        <v>18</v>
      </c>
      <c r="R242" t="str">
        <f t="shared" si="7"/>
        <v>III</v>
      </c>
      <c r="S242">
        <f t="shared" si="8"/>
        <v>0.39735166666666666</v>
      </c>
    </row>
    <row r="243" spans="1:19">
      <c r="A243">
        <v>1337</v>
      </c>
      <c r="B243" t="s">
        <v>33</v>
      </c>
      <c r="C243">
        <v>0.57499999999999996</v>
      </c>
      <c r="D243">
        <v>0.46</v>
      </c>
      <c r="E243">
        <v>0.155</v>
      </c>
      <c r="F243">
        <v>0.89200000000000002</v>
      </c>
      <c r="G243">
        <v>0.4415</v>
      </c>
      <c r="H243">
        <v>0.17599999999999999</v>
      </c>
      <c r="I243">
        <v>0.22</v>
      </c>
      <c r="J243">
        <v>10</v>
      </c>
      <c r="K243">
        <v>4</v>
      </c>
      <c r="L243" t="s">
        <v>40</v>
      </c>
      <c r="M243" t="s">
        <v>41</v>
      </c>
      <c r="N243" t="s">
        <v>42</v>
      </c>
      <c r="O243">
        <v>4</v>
      </c>
      <c r="P243" t="s">
        <v>8</v>
      </c>
      <c r="Q243">
        <v>6.1</v>
      </c>
      <c r="R243" t="str">
        <f t="shared" si="7"/>
        <v>III</v>
      </c>
      <c r="S243">
        <f t="shared" si="8"/>
        <v>0.42964666666666662</v>
      </c>
    </row>
    <row r="244" spans="1:19">
      <c r="A244">
        <v>1949</v>
      </c>
      <c r="B244" t="s">
        <v>33</v>
      </c>
      <c r="C244">
        <v>0.63500000000000001</v>
      </c>
      <c r="D244">
        <v>0.51500000000000001</v>
      </c>
      <c r="E244">
        <v>0.16500000000000001</v>
      </c>
      <c r="F244">
        <v>1.2290000000000001</v>
      </c>
      <c r="G244">
        <v>0.50549999999999995</v>
      </c>
      <c r="H244">
        <v>0.29749999999999999</v>
      </c>
      <c r="I244">
        <v>0.35349999999999998</v>
      </c>
      <c r="J244">
        <v>10</v>
      </c>
      <c r="K244">
        <v>13</v>
      </c>
      <c r="L244" t="s">
        <v>43</v>
      </c>
      <c r="M244" t="s">
        <v>44</v>
      </c>
      <c r="N244" t="s">
        <v>45</v>
      </c>
      <c r="O244">
        <v>4</v>
      </c>
      <c r="P244" t="s">
        <v>8</v>
      </c>
      <c r="Q244">
        <v>6.1</v>
      </c>
      <c r="R244" t="str">
        <f t="shared" si="7"/>
        <v>I</v>
      </c>
      <c r="S244">
        <f t="shared" si="8"/>
        <v>0.9263587499999999</v>
      </c>
    </row>
    <row r="245" spans="1:19">
      <c r="A245">
        <v>378</v>
      </c>
      <c r="B245" t="s">
        <v>33</v>
      </c>
      <c r="C245">
        <v>0.58499999999999996</v>
      </c>
      <c r="D245">
        <v>0.45</v>
      </c>
      <c r="E245">
        <v>0.16</v>
      </c>
      <c r="F245">
        <v>1.077</v>
      </c>
      <c r="G245">
        <v>0.4995</v>
      </c>
      <c r="H245">
        <v>0.28749999999999998</v>
      </c>
      <c r="I245">
        <v>0.25</v>
      </c>
      <c r="J245">
        <v>10</v>
      </c>
      <c r="K245">
        <v>8</v>
      </c>
      <c r="L245" t="s">
        <v>55</v>
      </c>
      <c r="M245" t="s">
        <v>56</v>
      </c>
      <c r="N245" t="s">
        <v>57</v>
      </c>
      <c r="O245">
        <v>8</v>
      </c>
      <c r="P245" t="s">
        <v>13</v>
      </c>
      <c r="Q245">
        <v>12.3</v>
      </c>
      <c r="R245" t="str">
        <f t="shared" si="7"/>
        <v>III</v>
      </c>
      <c r="S245">
        <f t="shared" si="8"/>
        <v>0.51965249999999996</v>
      </c>
    </row>
    <row r="246" spans="1:19">
      <c r="A246">
        <v>2559</v>
      </c>
      <c r="B246" t="s">
        <v>33</v>
      </c>
      <c r="C246">
        <v>0.40500000000000003</v>
      </c>
      <c r="D246">
        <v>0.31</v>
      </c>
      <c r="E246">
        <v>6.5000000000000002E-2</v>
      </c>
      <c r="F246">
        <v>0.32050000000000001</v>
      </c>
      <c r="G246">
        <v>0.1575</v>
      </c>
      <c r="H246">
        <v>6.6000000000000003E-2</v>
      </c>
      <c r="I246">
        <v>8.7999999999999995E-2</v>
      </c>
      <c r="J246">
        <v>6</v>
      </c>
      <c r="K246">
        <v>7</v>
      </c>
      <c r="L246" t="s">
        <v>62</v>
      </c>
      <c r="M246" t="s">
        <v>63</v>
      </c>
      <c r="N246" t="s">
        <v>64</v>
      </c>
      <c r="O246">
        <v>1</v>
      </c>
      <c r="P246" t="s">
        <v>4</v>
      </c>
      <c r="Q246">
        <v>22.1</v>
      </c>
      <c r="R246" t="str">
        <f t="shared" si="7"/>
        <v>II</v>
      </c>
      <c r="S246">
        <f t="shared" si="8"/>
        <v>0.10597866666666667</v>
      </c>
    </row>
    <row r="247" spans="1:19">
      <c r="A247">
        <v>331</v>
      </c>
      <c r="B247" t="s">
        <v>33</v>
      </c>
      <c r="C247">
        <v>0.5</v>
      </c>
      <c r="D247">
        <v>0.38</v>
      </c>
      <c r="E247">
        <v>0.155</v>
      </c>
      <c r="F247">
        <v>0.59550000000000003</v>
      </c>
      <c r="G247">
        <v>0.2135</v>
      </c>
      <c r="H247">
        <v>0.161</v>
      </c>
      <c r="I247">
        <v>0.2</v>
      </c>
      <c r="J247">
        <v>12</v>
      </c>
      <c r="K247">
        <v>15</v>
      </c>
      <c r="L247" t="s">
        <v>60</v>
      </c>
      <c r="M247" t="s">
        <v>61</v>
      </c>
      <c r="N247" t="s">
        <v>45</v>
      </c>
      <c r="O247">
        <v>4</v>
      </c>
      <c r="P247" t="s">
        <v>8</v>
      </c>
      <c r="Q247">
        <v>6.1</v>
      </c>
      <c r="R247" t="str">
        <f t="shared" si="7"/>
        <v>II</v>
      </c>
      <c r="S247">
        <f t="shared" si="8"/>
        <v>0.21715900000000002</v>
      </c>
    </row>
    <row r="248" spans="1:19">
      <c r="A248">
        <v>1229</v>
      </c>
      <c r="B248" t="s">
        <v>33</v>
      </c>
      <c r="C248">
        <v>0.36</v>
      </c>
      <c r="D248">
        <v>0.27</v>
      </c>
      <c r="E248">
        <v>8.5000000000000006E-2</v>
      </c>
      <c r="F248">
        <v>0.19600000000000001</v>
      </c>
      <c r="G248">
        <v>8.7499999999999994E-2</v>
      </c>
      <c r="H248">
        <v>3.5000000000000003E-2</v>
      </c>
      <c r="I248">
        <v>6.4000000000000001E-2</v>
      </c>
      <c r="J248">
        <v>4</v>
      </c>
      <c r="K248">
        <v>1</v>
      </c>
      <c r="L248" t="s">
        <v>70</v>
      </c>
      <c r="M248" t="s">
        <v>71</v>
      </c>
      <c r="N248" t="s">
        <v>45</v>
      </c>
      <c r="O248">
        <v>3</v>
      </c>
      <c r="P248" t="s">
        <v>10</v>
      </c>
      <c r="Q248">
        <v>3.6</v>
      </c>
      <c r="R248" t="str">
        <f t="shared" si="7"/>
        <v>II</v>
      </c>
      <c r="S248">
        <f t="shared" si="8"/>
        <v>6.3112000000000001E-2</v>
      </c>
    </row>
    <row r="249" spans="1:19">
      <c r="A249">
        <v>6</v>
      </c>
      <c r="B249" t="s">
        <v>33</v>
      </c>
      <c r="C249">
        <v>0.42499999999999999</v>
      </c>
      <c r="D249">
        <v>0.3</v>
      </c>
      <c r="E249">
        <v>9.5000000000000001E-2</v>
      </c>
      <c r="F249">
        <v>0.35149999999999998</v>
      </c>
      <c r="G249">
        <v>0.14099999999999999</v>
      </c>
      <c r="H249">
        <v>7.7499999999999999E-2</v>
      </c>
      <c r="I249">
        <v>0.12</v>
      </c>
      <c r="J249">
        <v>8</v>
      </c>
      <c r="K249">
        <v>9</v>
      </c>
      <c r="L249" t="s">
        <v>34</v>
      </c>
      <c r="M249" t="s">
        <v>35</v>
      </c>
      <c r="N249" t="s">
        <v>36</v>
      </c>
      <c r="O249">
        <v>3</v>
      </c>
      <c r="P249" t="s">
        <v>10</v>
      </c>
      <c r="Q249">
        <v>3.6</v>
      </c>
      <c r="R249" t="str">
        <f t="shared" si="7"/>
        <v>II</v>
      </c>
      <c r="S249">
        <f t="shared" si="8"/>
        <v>0.11810399999999999</v>
      </c>
    </row>
    <row r="250" spans="1:19">
      <c r="A250">
        <v>2514</v>
      </c>
      <c r="B250" t="s">
        <v>33</v>
      </c>
      <c r="C250">
        <v>0.46500000000000002</v>
      </c>
      <c r="D250">
        <v>0.35</v>
      </c>
      <c r="E250">
        <v>0.13500000000000001</v>
      </c>
      <c r="F250">
        <v>0.62649999999999995</v>
      </c>
      <c r="G250">
        <v>0.25900000000000001</v>
      </c>
      <c r="H250">
        <v>0.14449999999999999</v>
      </c>
      <c r="I250">
        <v>0.17499999999999999</v>
      </c>
      <c r="J250">
        <v>8</v>
      </c>
      <c r="K250">
        <v>3</v>
      </c>
      <c r="L250" t="s">
        <v>52</v>
      </c>
      <c r="M250" t="s">
        <v>53</v>
      </c>
      <c r="N250" t="s">
        <v>54</v>
      </c>
      <c r="O250">
        <v>6</v>
      </c>
      <c r="P250" t="s">
        <v>7</v>
      </c>
      <c r="Q250">
        <v>14.1</v>
      </c>
      <c r="R250" t="str">
        <f t="shared" si="7"/>
        <v>II</v>
      </c>
      <c r="S250">
        <f t="shared" si="8"/>
        <v>0.22136333333333327</v>
      </c>
    </row>
    <row r="251" spans="1:19">
      <c r="A251">
        <v>1333</v>
      </c>
      <c r="B251" t="s">
        <v>33</v>
      </c>
      <c r="C251">
        <v>0.56999999999999995</v>
      </c>
      <c r="D251">
        <v>0.44</v>
      </c>
      <c r="E251">
        <v>0.13</v>
      </c>
      <c r="F251">
        <v>0.76649999999999996</v>
      </c>
      <c r="G251">
        <v>0.34699999999999998</v>
      </c>
      <c r="H251">
        <v>0.17849999999999999</v>
      </c>
      <c r="I251">
        <v>0.20200000000000001</v>
      </c>
      <c r="J251">
        <v>10</v>
      </c>
      <c r="K251">
        <v>14</v>
      </c>
      <c r="L251" t="s">
        <v>72</v>
      </c>
      <c r="M251" t="s">
        <v>73</v>
      </c>
      <c r="N251" t="s">
        <v>74</v>
      </c>
      <c r="O251">
        <v>3</v>
      </c>
      <c r="P251" t="s">
        <v>10</v>
      </c>
      <c r="Q251">
        <v>3.6</v>
      </c>
      <c r="R251" t="str">
        <f t="shared" si="7"/>
        <v>II</v>
      </c>
      <c r="S251">
        <f t="shared" si="8"/>
        <v>0.29024800000000006</v>
      </c>
    </row>
    <row r="252" spans="1:19">
      <c r="A252">
        <v>3894</v>
      </c>
      <c r="B252" t="s">
        <v>33</v>
      </c>
      <c r="C252">
        <v>0.435</v>
      </c>
      <c r="D252">
        <v>0.35499999999999998</v>
      </c>
      <c r="E252">
        <v>0.125</v>
      </c>
      <c r="F252">
        <v>0.40749999999999997</v>
      </c>
      <c r="G252">
        <v>0.1535</v>
      </c>
      <c r="H252">
        <v>7.3999999999999996E-2</v>
      </c>
      <c r="I252">
        <v>0.16500000000000001</v>
      </c>
      <c r="J252">
        <v>9</v>
      </c>
      <c r="K252">
        <v>9</v>
      </c>
      <c r="L252" t="s">
        <v>34</v>
      </c>
      <c r="M252" t="s">
        <v>35</v>
      </c>
      <c r="N252" t="s">
        <v>36</v>
      </c>
      <c r="O252">
        <v>5</v>
      </c>
      <c r="P252" t="s">
        <v>12</v>
      </c>
      <c r="Q252">
        <v>12.8</v>
      </c>
      <c r="R252" t="str">
        <f t="shared" si="7"/>
        <v>II</v>
      </c>
      <c r="S252">
        <f t="shared" si="8"/>
        <v>0.14208166666666663</v>
      </c>
    </row>
    <row r="253" spans="1:19">
      <c r="A253">
        <v>2875</v>
      </c>
      <c r="B253" t="s">
        <v>33</v>
      </c>
      <c r="C253">
        <v>0.42499999999999999</v>
      </c>
      <c r="D253">
        <v>0.34</v>
      </c>
      <c r="E253">
        <v>0.1</v>
      </c>
      <c r="F253">
        <v>0.371</v>
      </c>
      <c r="G253">
        <v>0.15</v>
      </c>
      <c r="H253">
        <v>8.6499999999999994E-2</v>
      </c>
      <c r="I253">
        <v>0.115</v>
      </c>
      <c r="J253">
        <v>8</v>
      </c>
      <c r="K253">
        <v>7</v>
      </c>
      <c r="L253" t="s">
        <v>62</v>
      </c>
      <c r="M253" t="s">
        <v>63</v>
      </c>
      <c r="N253" t="s">
        <v>64</v>
      </c>
      <c r="O253">
        <v>4</v>
      </c>
      <c r="P253" t="s">
        <v>8</v>
      </c>
      <c r="Q253">
        <v>6.1</v>
      </c>
      <c r="R253" t="str">
        <f t="shared" si="7"/>
        <v>II</v>
      </c>
      <c r="S253">
        <f t="shared" si="8"/>
        <v>0.12688200000000002</v>
      </c>
    </row>
    <row r="254" spans="1:19">
      <c r="A254">
        <v>1382</v>
      </c>
      <c r="B254" t="s">
        <v>33</v>
      </c>
      <c r="C254">
        <v>0.625</v>
      </c>
      <c r="D254">
        <v>0.505</v>
      </c>
      <c r="E254">
        <v>0.17499999999999999</v>
      </c>
      <c r="F254">
        <v>1.1499999999999999</v>
      </c>
      <c r="G254">
        <v>0.54749999999999999</v>
      </c>
      <c r="H254">
        <v>0.25600000000000001</v>
      </c>
      <c r="I254">
        <v>0.30449999999999999</v>
      </c>
      <c r="J254">
        <v>11</v>
      </c>
      <c r="K254">
        <v>7</v>
      </c>
      <c r="L254" t="s">
        <v>62</v>
      </c>
      <c r="M254" t="s">
        <v>63</v>
      </c>
      <c r="N254" t="s">
        <v>64</v>
      </c>
      <c r="O254">
        <v>7</v>
      </c>
      <c r="P254" t="s">
        <v>6</v>
      </c>
      <c r="Q254">
        <v>2.5</v>
      </c>
      <c r="R254" t="str">
        <f t="shared" si="7"/>
        <v>I</v>
      </c>
      <c r="S254">
        <f t="shared" si="8"/>
        <v>0.86393750000000002</v>
      </c>
    </row>
    <row r="255" spans="1:19">
      <c r="A255">
        <v>3118</v>
      </c>
      <c r="B255" t="s">
        <v>33</v>
      </c>
      <c r="C255">
        <v>0.47</v>
      </c>
      <c r="D255">
        <v>0.36</v>
      </c>
      <c r="E255">
        <v>0.1</v>
      </c>
      <c r="F255">
        <v>0.47049999999999997</v>
      </c>
      <c r="G255">
        <v>0.16350000000000001</v>
      </c>
      <c r="H255">
        <v>8.8999999999999996E-2</v>
      </c>
      <c r="I255">
        <v>0.13850000000000001</v>
      </c>
      <c r="J255">
        <v>8</v>
      </c>
      <c r="K255">
        <v>13</v>
      </c>
      <c r="L255" t="s">
        <v>43</v>
      </c>
      <c r="M255" t="s">
        <v>44</v>
      </c>
      <c r="N255" t="s">
        <v>45</v>
      </c>
      <c r="O255">
        <v>5</v>
      </c>
      <c r="P255" t="s">
        <v>12</v>
      </c>
      <c r="Q255">
        <v>12.8</v>
      </c>
      <c r="R255" t="str">
        <f t="shared" si="7"/>
        <v>II</v>
      </c>
      <c r="S255">
        <f t="shared" si="8"/>
        <v>0.16498866666666667</v>
      </c>
    </row>
    <row r="256" spans="1:19">
      <c r="A256">
        <v>3308</v>
      </c>
      <c r="B256" t="s">
        <v>33</v>
      </c>
      <c r="C256">
        <v>0.45</v>
      </c>
      <c r="D256">
        <v>0.32500000000000001</v>
      </c>
      <c r="E256">
        <v>0.13500000000000001</v>
      </c>
      <c r="F256">
        <v>0.438</v>
      </c>
      <c r="G256">
        <v>0.18049999999999999</v>
      </c>
      <c r="H256">
        <v>0.11650000000000001</v>
      </c>
      <c r="I256">
        <v>0.11</v>
      </c>
      <c r="J256">
        <v>9</v>
      </c>
      <c r="K256">
        <v>2</v>
      </c>
      <c r="L256" t="s">
        <v>49</v>
      </c>
      <c r="M256" t="s">
        <v>50</v>
      </c>
      <c r="N256" t="s">
        <v>51</v>
      </c>
      <c r="O256">
        <v>4</v>
      </c>
      <c r="P256" t="s">
        <v>8</v>
      </c>
      <c r="Q256">
        <v>6.1</v>
      </c>
      <c r="R256" t="str">
        <f t="shared" si="7"/>
        <v>II</v>
      </c>
      <c r="S256">
        <f t="shared" si="8"/>
        <v>0.152424</v>
      </c>
    </row>
    <row r="257" spans="1:19">
      <c r="A257">
        <v>3952</v>
      </c>
      <c r="B257" t="s">
        <v>33</v>
      </c>
      <c r="C257">
        <v>0.46500000000000002</v>
      </c>
      <c r="D257">
        <v>0.39</v>
      </c>
      <c r="E257">
        <v>0.11</v>
      </c>
      <c r="F257">
        <v>0.63549999999999995</v>
      </c>
      <c r="G257">
        <v>0.18149999999999999</v>
      </c>
      <c r="H257">
        <v>0.157</v>
      </c>
      <c r="I257">
        <v>0.22500000000000001</v>
      </c>
      <c r="J257">
        <v>13</v>
      </c>
      <c r="K257">
        <v>10</v>
      </c>
      <c r="L257" t="s">
        <v>37</v>
      </c>
      <c r="M257" t="s">
        <v>38</v>
      </c>
      <c r="N257" t="s">
        <v>39</v>
      </c>
      <c r="O257">
        <v>7</v>
      </c>
      <c r="P257" t="s">
        <v>6</v>
      </c>
      <c r="Q257">
        <v>2.5</v>
      </c>
      <c r="R257" t="str">
        <f t="shared" si="7"/>
        <v>II</v>
      </c>
      <c r="S257">
        <f t="shared" si="8"/>
        <v>0.22581433333333331</v>
      </c>
    </row>
    <row r="258" spans="1:19">
      <c r="A258">
        <v>1904</v>
      </c>
      <c r="B258" t="s">
        <v>33</v>
      </c>
      <c r="C258">
        <v>0.57499999999999996</v>
      </c>
      <c r="D258">
        <v>0.44500000000000001</v>
      </c>
      <c r="E258">
        <v>0.14499999999999999</v>
      </c>
      <c r="F258">
        <v>0.876</v>
      </c>
      <c r="G258">
        <v>0.3795</v>
      </c>
      <c r="H258">
        <v>0.1615</v>
      </c>
      <c r="I258">
        <v>0.27</v>
      </c>
      <c r="J258">
        <v>10</v>
      </c>
      <c r="K258">
        <v>12</v>
      </c>
      <c r="L258" t="s">
        <v>58</v>
      </c>
      <c r="M258" t="s">
        <v>59</v>
      </c>
      <c r="N258" t="s">
        <v>45</v>
      </c>
      <c r="O258">
        <v>2</v>
      </c>
      <c r="P258" t="s">
        <v>5</v>
      </c>
      <c r="Q258">
        <v>18</v>
      </c>
      <c r="R258" t="str">
        <f t="shared" si="7"/>
        <v>II</v>
      </c>
      <c r="S258">
        <f t="shared" si="8"/>
        <v>0.33463199999999999</v>
      </c>
    </row>
    <row r="259" spans="1:19">
      <c r="A259">
        <v>3980</v>
      </c>
      <c r="B259" t="s">
        <v>33</v>
      </c>
      <c r="C259">
        <v>0.495</v>
      </c>
      <c r="D259">
        <v>0.375</v>
      </c>
      <c r="E259">
        <v>0.115</v>
      </c>
      <c r="F259">
        <v>0.62450000000000006</v>
      </c>
      <c r="G259">
        <v>0.28199999999999997</v>
      </c>
      <c r="H259">
        <v>0.14299999999999999</v>
      </c>
      <c r="I259">
        <v>0.155</v>
      </c>
      <c r="J259">
        <v>6</v>
      </c>
      <c r="K259">
        <v>13</v>
      </c>
      <c r="L259" t="s">
        <v>43</v>
      </c>
      <c r="M259" t="s">
        <v>44</v>
      </c>
      <c r="N259" t="s">
        <v>45</v>
      </c>
      <c r="O259">
        <v>2</v>
      </c>
      <c r="P259" t="s">
        <v>5</v>
      </c>
      <c r="Q259">
        <v>18</v>
      </c>
      <c r="R259" t="str">
        <f t="shared" ref="R259:R322" si="9">IF(OR(AND(J259 &gt; 15, B259 = "Infant"), AND(D259 = "Male", C259 &gt; 0.75),
    OR(I259 &gt; 0.8, G259 &gt; 0.5), G259 &gt; 1.2),
    "I",
    IF(OR(AND(I259 &lt; 0.4, G259 &lt; 0.4), AND(J259 &gt; 15, D259 = "Male"), AND(J259 &gt; 18, D259 = "Female"), C259 &lt; 0.36),
    "II",
    "III"))</f>
        <v>II</v>
      </c>
      <c r="S259">
        <f t="shared" ref="S259:S322" si="10">IF(OR(AND(J259 &gt; 15, B259 = "Infant"), AND(D259 = "Male", C259 &gt; 0.75), OR(I259 &gt; 0.8, G259 &gt; 0.5), G259 &gt; 1.2), (1 + (1/3)*(C259 - 0.5) + (1/3)*(D259 - 0.4) + (1/3)*(E259 - 0.4)) * F259 * 0.5 * 1.5, IF(OR(AND(I259 &lt; 0.4, G259 &lt; 0.4), AND(J259 &gt; 15, D259 = "Male"), AND(J259 &gt; 18, D259 = "Female"), C259 &lt; 0.36), (1 + (1/3)*(C259 - 0.5) + (1/3)*(D259 - 0.4) + (1/3)*(E259 - 0.4)) * F259 * 0.5 * 0.8, (1 + (1/3)*(C259 - 0.5) + (1/3)*(D259 - 0.4) + (1/3)*(E259 - 0.4)) * F259 * 0.5))</f>
        <v>0.22357100000000002</v>
      </c>
    </row>
    <row r="260" spans="1:19">
      <c r="A260">
        <v>2104</v>
      </c>
      <c r="B260" t="s">
        <v>33</v>
      </c>
      <c r="C260">
        <v>0.375</v>
      </c>
      <c r="D260">
        <v>0.28999999999999998</v>
      </c>
      <c r="E260">
        <v>0.1</v>
      </c>
      <c r="F260">
        <v>0.27600000000000002</v>
      </c>
      <c r="G260">
        <v>0.11749999999999999</v>
      </c>
      <c r="H260">
        <v>5.6500000000000002E-2</v>
      </c>
      <c r="I260">
        <v>8.5000000000000006E-2</v>
      </c>
      <c r="J260">
        <v>9</v>
      </c>
      <c r="K260">
        <v>3</v>
      </c>
      <c r="L260" t="s">
        <v>52</v>
      </c>
      <c r="M260" t="s">
        <v>53</v>
      </c>
      <c r="N260" t="s">
        <v>54</v>
      </c>
      <c r="O260">
        <v>2</v>
      </c>
      <c r="P260" t="s">
        <v>5</v>
      </c>
      <c r="Q260">
        <v>18</v>
      </c>
      <c r="R260" t="str">
        <f t="shared" si="9"/>
        <v>II</v>
      </c>
      <c r="S260">
        <f t="shared" si="10"/>
        <v>9.0712000000000015E-2</v>
      </c>
    </row>
    <row r="261" spans="1:19">
      <c r="A261">
        <v>1467</v>
      </c>
      <c r="B261" t="s">
        <v>33</v>
      </c>
      <c r="C261">
        <v>0.51500000000000001</v>
      </c>
      <c r="D261">
        <v>0.42499999999999999</v>
      </c>
      <c r="E261">
        <v>0.14499999999999999</v>
      </c>
      <c r="F261">
        <v>0.9365</v>
      </c>
      <c r="G261">
        <v>0.497</v>
      </c>
      <c r="H261">
        <v>0.18099999999999999</v>
      </c>
      <c r="I261">
        <v>0.2185</v>
      </c>
      <c r="J261">
        <v>8</v>
      </c>
      <c r="K261">
        <v>15</v>
      </c>
      <c r="L261" t="s">
        <v>60</v>
      </c>
      <c r="M261" t="s">
        <v>61</v>
      </c>
      <c r="N261" t="s">
        <v>45</v>
      </c>
      <c r="O261">
        <v>9</v>
      </c>
      <c r="P261" t="s">
        <v>9</v>
      </c>
      <c r="Q261">
        <v>1.9</v>
      </c>
      <c r="R261" t="str">
        <f t="shared" si="9"/>
        <v>III</v>
      </c>
      <c r="S261">
        <f t="shared" si="10"/>
        <v>0.43469208333333331</v>
      </c>
    </row>
    <row r="262" spans="1:19">
      <c r="A262">
        <v>978</v>
      </c>
      <c r="B262" t="s">
        <v>33</v>
      </c>
      <c r="C262">
        <v>0.53500000000000003</v>
      </c>
      <c r="D262">
        <v>0.4</v>
      </c>
      <c r="E262">
        <v>0.13500000000000001</v>
      </c>
      <c r="F262">
        <v>0.82150000000000001</v>
      </c>
      <c r="G262">
        <v>0.39350000000000002</v>
      </c>
      <c r="H262">
        <v>0.19600000000000001</v>
      </c>
      <c r="I262">
        <v>0.20499999999999999</v>
      </c>
      <c r="J262">
        <v>8</v>
      </c>
      <c r="K262">
        <v>2</v>
      </c>
      <c r="L262" t="s">
        <v>49</v>
      </c>
      <c r="M262" t="s">
        <v>50</v>
      </c>
      <c r="N262" t="s">
        <v>51</v>
      </c>
      <c r="O262">
        <v>7</v>
      </c>
      <c r="P262" t="s">
        <v>6</v>
      </c>
      <c r="Q262">
        <v>2.5</v>
      </c>
      <c r="R262" t="str">
        <f t="shared" si="9"/>
        <v>II</v>
      </c>
      <c r="S262">
        <f t="shared" si="10"/>
        <v>0.30340733333333336</v>
      </c>
    </row>
    <row r="263" spans="1:19">
      <c r="A263">
        <v>3146</v>
      </c>
      <c r="B263" t="s">
        <v>33</v>
      </c>
      <c r="C263">
        <v>0.55000000000000004</v>
      </c>
      <c r="D263">
        <v>0.42</v>
      </c>
      <c r="E263">
        <v>0.17</v>
      </c>
      <c r="F263">
        <v>0.84650000000000003</v>
      </c>
      <c r="G263">
        <v>0.33600000000000002</v>
      </c>
      <c r="H263">
        <v>0.24049999999999999</v>
      </c>
      <c r="I263">
        <v>0.245</v>
      </c>
      <c r="J263">
        <v>13</v>
      </c>
      <c r="K263">
        <v>8</v>
      </c>
      <c r="L263" t="s">
        <v>55</v>
      </c>
      <c r="M263" t="s">
        <v>56</v>
      </c>
      <c r="N263" t="s">
        <v>57</v>
      </c>
      <c r="O263">
        <v>2</v>
      </c>
      <c r="P263" t="s">
        <v>5</v>
      </c>
      <c r="Q263">
        <v>18</v>
      </c>
      <c r="R263" t="str">
        <f t="shared" si="9"/>
        <v>II</v>
      </c>
      <c r="S263">
        <f t="shared" si="10"/>
        <v>0.32054133333333334</v>
      </c>
    </row>
    <row r="264" spans="1:19">
      <c r="A264">
        <v>2244</v>
      </c>
      <c r="B264" t="s">
        <v>33</v>
      </c>
      <c r="C264">
        <v>0.46500000000000002</v>
      </c>
      <c r="D264">
        <v>0.36</v>
      </c>
      <c r="E264">
        <v>0.13</v>
      </c>
      <c r="F264">
        <v>0.52649999999999997</v>
      </c>
      <c r="G264">
        <v>0.21049999999999999</v>
      </c>
      <c r="H264">
        <v>0.11849999999999999</v>
      </c>
      <c r="I264">
        <v>0.16500000000000001</v>
      </c>
      <c r="J264">
        <v>10</v>
      </c>
      <c r="K264">
        <v>3</v>
      </c>
      <c r="L264" t="s">
        <v>52</v>
      </c>
      <c r="M264" t="s">
        <v>53</v>
      </c>
      <c r="N264" t="s">
        <v>54</v>
      </c>
      <c r="O264">
        <v>10</v>
      </c>
      <c r="P264" t="s">
        <v>11</v>
      </c>
      <c r="Q264">
        <v>24.1</v>
      </c>
      <c r="R264" t="str">
        <f t="shared" si="9"/>
        <v>II</v>
      </c>
      <c r="S264">
        <f t="shared" si="10"/>
        <v>0.18638100000000002</v>
      </c>
    </row>
    <row r="265" spans="1:19">
      <c r="A265">
        <v>2793</v>
      </c>
      <c r="B265" t="s">
        <v>33</v>
      </c>
      <c r="C265">
        <v>0.625</v>
      </c>
      <c r="D265">
        <v>0.49</v>
      </c>
      <c r="E265">
        <v>0.16500000000000001</v>
      </c>
      <c r="F265">
        <v>1.2050000000000001</v>
      </c>
      <c r="G265">
        <v>0.51749999999999996</v>
      </c>
      <c r="H265">
        <v>0.3105</v>
      </c>
      <c r="I265">
        <v>0.34649999999999997</v>
      </c>
      <c r="J265">
        <v>10</v>
      </c>
      <c r="K265">
        <v>4</v>
      </c>
      <c r="L265" t="s">
        <v>40</v>
      </c>
      <c r="M265" t="s">
        <v>41</v>
      </c>
      <c r="N265" t="s">
        <v>42</v>
      </c>
      <c r="O265">
        <v>7</v>
      </c>
      <c r="P265" t="s">
        <v>6</v>
      </c>
      <c r="Q265">
        <v>2.5</v>
      </c>
      <c r="R265" t="str">
        <f t="shared" si="9"/>
        <v>I</v>
      </c>
      <c r="S265">
        <f t="shared" si="10"/>
        <v>0.89772500000000011</v>
      </c>
    </row>
    <row r="266" spans="1:19">
      <c r="A266">
        <v>829</v>
      </c>
      <c r="B266" t="s">
        <v>33</v>
      </c>
      <c r="C266">
        <v>0.41</v>
      </c>
      <c r="D266">
        <v>0.32500000000000001</v>
      </c>
      <c r="E266">
        <v>0.1</v>
      </c>
      <c r="F266">
        <v>0.39400000000000002</v>
      </c>
      <c r="G266">
        <v>0.20799999999999999</v>
      </c>
      <c r="H266">
        <v>6.5500000000000003E-2</v>
      </c>
      <c r="I266">
        <v>0.106</v>
      </c>
      <c r="J266">
        <v>6</v>
      </c>
      <c r="K266">
        <v>1</v>
      </c>
      <c r="L266" t="s">
        <v>70</v>
      </c>
      <c r="M266" t="s">
        <v>71</v>
      </c>
      <c r="N266" t="s">
        <v>45</v>
      </c>
      <c r="O266">
        <v>5</v>
      </c>
      <c r="P266" t="s">
        <v>12</v>
      </c>
      <c r="Q266">
        <v>12.8</v>
      </c>
      <c r="R266" t="str">
        <f t="shared" si="9"/>
        <v>II</v>
      </c>
      <c r="S266">
        <f t="shared" si="10"/>
        <v>0.13317200000000001</v>
      </c>
    </row>
    <row r="267" spans="1:19">
      <c r="A267">
        <v>2310</v>
      </c>
      <c r="B267" t="s">
        <v>33</v>
      </c>
      <c r="C267">
        <v>0.47</v>
      </c>
      <c r="D267">
        <v>0.375</v>
      </c>
      <c r="E267">
        <v>0.13</v>
      </c>
      <c r="F267">
        <v>0.57950000000000002</v>
      </c>
      <c r="G267">
        <v>0.2145</v>
      </c>
      <c r="H267">
        <v>0.16400000000000001</v>
      </c>
      <c r="I267">
        <v>0.19500000000000001</v>
      </c>
      <c r="J267">
        <v>13</v>
      </c>
      <c r="K267">
        <v>12</v>
      </c>
      <c r="L267" t="s">
        <v>58</v>
      </c>
      <c r="M267" t="s">
        <v>59</v>
      </c>
      <c r="N267" t="s">
        <v>45</v>
      </c>
      <c r="O267">
        <v>8</v>
      </c>
      <c r="P267" t="s">
        <v>13</v>
      </c>
      <c r="Q267">
        <v>12.3</v>
      </c>
      <c r="R267" t="str">
        <f t="shared" si="9"/>
        <v>II</v>
      </c>
      <c r="S267">
        <f t="shared" si="10"/>
        <v>0.20668833333333336</v>
      </c>
    </row>
    <row r="268" spans="1:19">
      <c r="A268">
        <v>1453</v>
      </c>
      <c r="B268" t="s">
        <v>33</v>
      </c>
      <c r="C268">
        <v>0.47</v>
      </c>
      <c r="D268">
        <v>0.34499999999999997</v>
      </c>
      <c r="E268">
        <v>0.14000000000000001</v>
      </c>
      <c r="F268">
        <v>0.46150000000000002</v>
      </c>
      <c r="G268">
        <v>0.22900000000000001</v>
      </c>
      <c r="H268">
        <v>0.1105</v>
      </c>
      <c r="I268">
        <v>0.11600000000000001</v>
      </c>
      <c r="J268">
        <v>9</v>
      </c>
      <c r="K268">
        <v>11</v>
      </c>
      <c r="L268" t="s">
        <v>65</v>
      </c>
      <c r="M268" t="s">
        <v>66</v>
      </c>
      <c r="N268" t="s">
        <v>45</v>
      </c>
      <c r="O268">
        <v>4</v>
      </c>
      <c r="P268" t="s">
        <v>8</v>
      </c>
      <c r="Q268">
        <v>6.1</v>
      </c>
      <c r="R268" t="str">
        <f t="shared" si="9"/>
        <v>II</v>
      </c>
      <c r="S268">
        <f t="shared" si="10"/>
        <v>0.16337100000000002</v>
      </c>
    </row>
    <row r="269" spans="1:19">
      <c r="A269">
        <v>3549</v>
      </c>
      <c r="B269" t="s">
        <v>33</v>
      </c>
      <c r="C269">
        <v>0.495</v>
      </c>
      <c r="D269">
        <v>0.37</v>
      </c>
      <c r="E269">
        <v>0.12</v>
      </c>
      <c r="F269">
        <v>0.59399999999999997</v>
      </c>
      <c r="G269">
        <v>0.28000000000000003</v>
      </c>
      <c r="H269">
        <v>0.11</v>
      </c>
      <c r="I269">
        <v>0.13750000000000001</v>
      </c>
      <c r="J269">
        <v>7</v>
      </c>
      <c r="K269">
        <v>12</v>
      </c>
      <c r="L269" t="s">
        <v>58</v>
      </c>
      <c r="M269" t="s">
        <v>59</v>
      </c>
      <c r="N269" t="s">
        <v>45</v>
      </c>
      <c r="O269">
        <v>5</v>
      </c>
      <c r="P269" t="s">
        <v>12</v>
      </c>
      <c r="Q269">
        <v>12.8</v>
      </c>
      <c r="R269" t="str">
        <f t="shared" si="9"/>
        <v>II</v>
      </c>
      <c r="S269">
        <f t="shared" si="10"/>
        <v>0.21265199999999998</v>
      </c>
    </row>
    <row r="270" spans="1:19">
      <c r="A270">
        <v>794</v>
      </c>
      <c r="B270" t="s">
        <v>33</v>
      </c>
      <c r="C270">
        <v>0.57499999999999996</v>
      </c>
      <c r="D270">
        <v>0.45</v>
      </c>
      <c r="E270">
        <v>0.16500000000000001</v>
      </c>
      <c r="F270">
        <v>0.92149999999999999</v>
      </c>
      <c r="G270">
        <v>0.32750000000000001</v>
      </c>
      <c r="H270">
        <v>0.22500000000000001</v>
      </c>
      <c r="I270">
        <v>0.25600000000000001</v>
      </c>
      <c r="J270">
        <v>12</v>
      </c>
      <c r="K270">
        <v>14</v>
      </c>
      <c r="L270" t="s">
        <v>72</v>
      </c>
      <c r="M270" t="s">
        <v>73</v>
      </c>
      <c r="N270" t="s">
        <v>74</v>
      </c>
      <c r="O270">
        <v>1</v>
      </c>
      <c r="P270" t="s">
        <v>4</v>
      </c>
      <c r="Q270">
        <v>22.1</v>
      </c>
      <c r="R270" t="str">
        <f t="shared" si="9"/>
        <v>II</v>
      </c>
      <c r="S270">
        <f t="shared" si="10"/>
        <v>0.3550846666666666</v>
      </c>
    </row>
    <row r="271" spans="1:19">
      <c r="A271">
        <v>1251</v>
      </c>
      <c r="B271" t="s">
        <v>33</v>
      </c>
      <c r="C271">
        <v>0.4</v>
      </c>
      <c r="D271">
        <v>0.28999999999999998</v>
      </c>
      <c r="E271">
        <v>0.1</v>
      </c>
      <c r="F271">
        <v>0.26750000000000002</v>
      </c>
      <c r="G271">
        <v>0.1205</v>
      </c>
      <c r="H271">
        <v>6.0499999999999998E-2</v>
      </c>
      <c r="I271">
        <v>7.6499999999999999E-2</v>
      </c>
      <c r="J271">
        <v>5</v>
      </c>
      <c r="K271">
        <v>14</v>
      </c>
      <c r="L271" t="s">
        <v>72</v>
      </c>
      <c r="M271" t="s">
        <v>73</v>
      </c>
      <c r="N271" t="s">
        <v>74</v>
      </c>
      <c r="O271">
        <v>7</v>
      </c>
      <c r="P271" t="s">
        <v>6</v>
      </c>
      <c r="Q271">
        <v>2.5</v>
      </c>
      <c r="R271" t="str">
        <f t="shared" si="9"/>
        <v>II</v>
      </c>
      <c r="S271">
        <f t="shared" si="10"/>
        <v>8.881E-2</v>
      </c>
    </row>
    <row r="272" spans="1:19">
      <c r="A272">
        <v>2496</v>
      </c>
      <c r="B272" t="s">
        <v>33</v>
      </c>
      <c r="C272">
        <v>0.45</v>
      </c>
      <c r="D272">
        <v>0.36</v>
      </c>
      <c r="E272">
        <v>0.16</v>
      </c>
      <c r="F272">
        <v>0.56699999999999995</v>
      </c>
      <c r="G272">
        <v>0.17399999999999999</v>
      </c>
      <c r="H272">
        <v>0.1245</v>
      </c>
      <c r="I272">
        <v>0.22500000000000001</v>
      </c>
      <c r="J272">
        <v>12</v>
      </c>
      <c r="K272">
        <v>14</v>
      </c>
      <c r="L272" t="s">
        <v>72</v>
      </c>
      <c r="M272" t="s">
        <v>73</v>
      </c>
      <c r="N272" t="s">
        <v>74</v>
      </c>
      <c r="O272">
        <v>3</v>
      </c>
      <c r="P272" t="s">
        <v>10</v>
      </c>
      <c r="Q272">
        <v>3.6</v>
      </c>
      <c r="R272" t="str">
        <f t="shared" si="9"/>
        <v>II</v>
      </c>
      <c r="S272">
        <f t="shared" si="10"/>
        <v>0.20185200000000003</v>
      </c>
    </row>
    <row r="273" spans="1:19">
      <c r="A273">
        <v>2446</v>
      </c>
      <c r="B273" t="s">
        <v>33</v>
      </c>
      <c r="C273">
        <v>0.5</v>
      </c>
      <c r="D273">
        <v>0.38</v>
      </c>
      <c r="E273">
        <v>0.13500000000000001</v>
      </c>
      <c r="F273">
        <v>0.58350000000000002</v>
      </c>
      <c r="G273">
        <v>0.22950000000000001</v>
      </c>
      <c r="H273">
        <v>0.1265</v>
      </c>
      <c r="I273">
        <v>0.18</v>
      </c>
      <c r="J273">
        <v>12</v>
      </c>
      <c r="K273">
        <v>11</v>
      </c>
      <c r="L273" t="s">
        <v>65</v>
      </c>
      <c r="M273" t="s">
        <v>66</v>
      </c>
      <c r="N273" t="s">
        <v>45</v>
      </c>
      <c r="O273">
        <v>6</v>
      </c>
      <c r="P273" t="s">
        <v>7</v>
      </c>
      <c r="Q273">
        <v>14.1</v>
      </c>
      <c r="R273" t="str">
        <f t="shared" si="9"/>
        <v>II</v>
      </c>
      <c r="S273">
        <f t="shared" si="10"/>
        <v>0.21122700000000003</v>
      </c>
    </row>
    <row r="274" spans="1:19">
      <c r="A274">
        <v>2124</v>
      </c>
      <c r="B274" t="s">
        <v>33</v>
      </c>
      <c r="C274">
        <v>0.28999999999999998</v>
      </c>
      <c r="D274">
        <v>0.21</v>
      </c>
      <c r="E274">
        <v>7.4999999999999997E-2</v>
      </c>
      <c r="F274">
        <v>0.27500000000000002</v>
      </c>
      <c r="G274">
        <v>0.113</v>
      </c>
      <c r="H274">
        <v>6.7500000000000004E-2</v>
      </c>
      <c r="I274">
        <v>3.5000000000000003E-2</v>
      </c>
      <c r="J274">
        <v>6</v>
      </c>
      <c r="K274">
        <v>3</v>
      </c>
      <c r="L274" t="s">
        <v>52</v>
      </c>
      <c r="M274" t="s">
        <v>53</v>
      </c>
      <c r="N274" t="s">
        <v>54</v>
      </c>
      <c r="O274">
        <v>3</v>
      </c>
      <c r="P274" t="s">
        <v>10</v>
      </c>
      <c r="Q274">
        <v>3.6</v>
      </c>
      <c r="R274" t="str">
        <f t="shared" si="9"/>
        <v>II</v>
      </c>
      <c r="S274">
        <f t="shared" si="10"/>
        <v>8.3416666666666681E-2</v>
      </c>
    </row>
    <row r="275" spans="1:19">
      <c r="A275">
        <v>323</v>
      </c>
      <c r="B275" t="s">
        <v>33</v>
      </c>
      <c r="C275">
        <v>0.38500000000000001</v>
      </c>
      <c r="D275">
        <v>0.31</v>
      </c>
      <c r="E275">
        <v>0.1</v>
      </c>
      <c r="F275">
        <v>0.28449999999999998</v>
      </c>
      <c r="G275">
        <v>0.1065</v>
      </c>
      <c r="H275">
        <v>7.4999999999999997E-2</v>
      </c>
      <c r="I275">
        <v>0.1</v>
      </c>
      <c r="J275">
        <v>11</v>
      </c>
      <c r="K275">
        <v>5</v>
      </c>
      <c r="L275" t="s">
        <v>67</v>
      </c>
      <c r="M275" t="s">
        <v>68</v>
      </c>
      <c r="N275" t="s">
        <v>69</v>
      </c>
      <c r="O275">
        <v>6</v>
      </c>
      <c r="P275" t="s">
        <v>7</v>
      </c>
      <c r="Q275">
        <v>14.1</v>
      </c>
      <c r="R275" t="str">
        <f t="shared" si="9"/>
        <v>II</v>
      </c>
      <c r="S275">
        <f t="shared" si="10"/>
        <v>9.4643666666666668E-2</v>
      </c>
    </row>
    <row r="276" spans="1:19">
      <c r="A276">
        <v>2575</v>
      </c>
      <c r="B276" t="s">
        <v>33</v>
      </c>
      <c r="C276">
        <v>0.48</v>
      </c>
      <c r="D276">
        <v>0.37</v>
      </c>
      <c r="E276">
        <v>0.1</v>
      </c>
      <c r="F276">
        <v>0.51349999999999996</v>
      </c>
      <c r="G276">
        <v>0.24299999999999999</v>
      </c>
      <c r="H276">
        <v>0.10150000000000001</v>
      </c>
      <c r="I276">
        <v>0.13500000000000001</v>
      </c>
      <c r="J276">
        <v>8</v>
      </c>
      <c r="K276">
        <v>14</v>
      </c>
      <c r="L276" t="s">
        <v>72</v>
      </c>
      <c r="M276" t="s">
        <v>73</v>
      </c>
      <c r="N276" t="s">
        <v>74</v>
      </c>
      <c r="O276">
        <v>9</v>
      </c>
      <c r="P276" t="s">
        <v>9</v>
      </c>
      <c r="Q276">
        <v>1.9</v>
      </c>
      <c r="R276" t="str">
        <f t="shared" si="9"/>
        <v>II</v>
      </c>
      <c r="S276">
        <f t="shared" si="10"/>
        <v>0.18143666666666666</v>
      </c>
    </row>
    <row r="277" spans="1:19">
      <c r="A277">
        <v>1885</v>
      </c>
      <c r="B277" t="s">
        <v>33</v>
      </c>
      <c r="C277">
        <v>0.55500000000000005</v>
      </c>
      <c r="D277">
        <v>0.4</v>
      </c>
      <c r="E277">
        <v>0.13</v>
      </c>
      <c r="F277">
        <v>0.70750000000000002</v>
      </c>
      <c r="G277">
        <v>0.33200000000000002</v>
      </c>
      <c r="H277">
        <v>0.1585</v>
      </c>
      <c r="I277">
        <v>0.18</v>
      </c>
      <c r="J277">
        <v>7</v>
      </c>
      <c r="K277">
        <v>14</v>
      </c>
      <c r="L277" t="s">
        <v>72</v>
      </c>
      <c r="M277" t="s">
        <v>73</v>
      </c>
      <c r="N277" t="s">
        <v>74</v>
      </c>
      <c r="O277">
        <v>1</v>
      </c>
      <c r="P277" t="s">
        <v>4</v>
      </c>
      <c r="Q277">
        <v>22.1</v>
      </c>
      <c r="R277" t="str">
        <f t="shared" si="9"/>
        <v>II</v>
      </c>
      <c r="S277">
        <f t="shared" si="10"/>
        <v>0.26271833333333333</v>
      </c>
    </row>
    <row r="278" spans="1:19">
      <c r="A278">
        <v>3502</v>
      </c>
      <c r="B278" t="s">
        <v>33</v>
      </c>
      <c r="C278">
        <v>0.6</v>
      </c>
      <c r="D278">
        <v>0.47499999999999998</v>
      </c>
      <c r="E278">
        <v>0.16</v>
      </c>
      <c r="F278">
        <v>1.1639999999999999</v>
      </c>
      <c r="G278">
        <v>0.50449999999999995</v>
      </c>
      <c r="H278">
        <v>0.26350000000000001</v>
      </c>
      <c r="I278">
        <v>0.33500000000000002</v>
      </c>
      <c r="J278">
        <v>12</v>
      </c>
      <c r="K278">
        <v>13</v>
      </c>
      <c r="L278" t="s">
        <v>43</v>
      </c>
      <c r="M278" t="s">
        <v>44</v>
      </c>
      <c r="N278" t="s">
        <v>45</v>
      </c>
      <c r="O278">
        <v>7</v>
      </c>
      <c r="P278" t="s">
        <v>6</v>
      </c>
      <c r="Q278">
        <v>2.5</v>
      </c>
      <c r="R278" t="str">
        <f t="shared" si="9"/>
        <v>I</v>
      </c>
      <c r="S278">
        <f t="shared" si="10"/>
        <v>0.85408499999999976</v>
      </c>
    </row>
    <row r="279" spans="1:19">
      <c r="A279">
        <v>1613</v>
      </c>
      <c r="B279" t="s">
        <v>33</v>
      </c>
      <c r="C279">
        <v>0.55000000000000004</v>
      </c>
      <c r="D279">
        <v>0.42499999999999999</v>
      </c>
      <c r="E279">
        <v>0.15</v>
      </c>
      <c r="F279">
        <v>0.63900000000000001</v>
      </c>
      <c r="G279">
        <v>0.26900000000000002</v>
      </c>
      <c r="H279">
        <v>0.13450000000000001</v>
      </c>
      <c r="I279">
        <v>0.217</v>
      </c>
      <c r="J279">
        <v>9</v>
      </c>
      <c r="K279">
        <v>4</v>
      </c>
      <c r="L279" t="s">
        <v>40</v>
      </c>
      <c r="M279" t="s">
        <v>41</v>
      </c>
      <c r="N279" t="s">
        <v>42</v>
      </c>
      <c r="O279">
        <v>7</v>
      </c>
      <c r="P279" t="s">
        <v>6</v>
      </c>
      <c r="Q279">
        <v>2.5</v>
      </c>
      <c r="R279" t="str">
        <f t="shared" si="9"/>
        <v>II</v>
      </c>
      <c r="S279">
        <f t="shared" si="10"/>
        <v>0.24068999999999999</v>
      </c>
    </row>
    <row r="280" spans="1:19">
      <c r="A280">
        <v>2096</v>
      </c>
      <c r="B280" t="s">
        <v>33</v>
      </c>
      <c r="C280">
        <v>0.41499999999999998</v>
      </c>
      <c r="D280">
        <v>0.3</v>
      </c>
      <c r="E280">
        <v>0.1</v>
      </c>
      <c r="F280">
        <v>0.33550000000000002</v>
      </c>
      <c r="G280">
        <v>0.1545</v>
      </c>
      <c r="H280">
        <v>6.8500000000000005E-2</v>
      </c>
      <c r="I280">
        <v>9.5000000000000001E-2</v>
      </c>
      <c r="J280">
        <v>7</v>
      </c>
      <c r="K280">
        <v>14</v>
      </c>
      <c r="L280" t="s">
        <v>72</v>
      </c>
      <c r="M280" t="s">
        <v>73</v>
      </c>
      <c r="N280" t="s">
        <v>74</v>
      </c>
      <c r="O280">
        <v>7</v>
      </c>
      <c r="P280" t="s">
        <v>6</v>
      </c>
      <c r="Q280">
        <v>2.5</v>
      </c>
      <c r="R280" t="str">
        <f t="shared" si="9"/>
        <v>II</v>
      </c>
      <c r="S280">
        <f t="shared" si="10"/>
        <v>0.11250433333333335</v>
      </c>
    </row>
    <row r="281" spans="1:19">
      <c r="A281">
        <v>519</v>
      </c>
      <c r="B281" t="s">
        <v>33</v>
      </c>
      <c r="C281">
        <v>0.32500000000000001</v>
      </c>
      <c r="D281">
        <v>0.23</v>
      </c>
      <c r="E281">
        <v>0.09</v>
      </c>
      <c r="F281">
        <v>0.14699999999999999</v>
      </c>
      <c r="G281">
        <v>0.06</v>
      </c>
      <c r="H281">
        <v>3.4000000000000002E-2</v>
      </c>
      <c r="I281">
        <v>4.4999999999999998E-2</v>
      </c>
      <c r="J281">
        <v>4</v>
      </c>
      <c r="K281">
        <v>4</v>
      </c>
      <c r="L281" t="s">
        <v>40</v>
      </c>
      <c r="M281" t="s">
        <v>41</v>
      </c>
      <c r="N281" t="s">
        <v>42</v>
      </c>
      <c r="O281">
        <v>6</v>
      </c>
      <c r="P281" t="s">
        <v>7</v>
      </c>
      <c r="Q281">
        <v>14.1</v>
      </c>
      <c r="R281" t="str">
        <f t="shared" si="9"/>
        <v>II</v>
      </c>
      <c r="S281">
        <f t="shared" si="10"/>
        <v>4.5962000000000003E-2</v>
      </c>
    </row>
    <row r="282" spans="1:19">
      <c r="A282">
        <v>1106</v>
      </c>
      <c r="B282" t="s">
        <v>33</v>
      </c>
      <c r="C282">
        <v>0.51</v>
      </c>
      <c r="D282">
        <v>0.4</v>
      </c>
      <c r="E282">
        <v>0.125</v>
      </c>
      <c r="F282">
        <v>0.54500000000000004</v>
      </c>
      <c r="G282">
        <v>0.26100000000000001</v>
      </c>
      <c r="H282">
        <v>0.115</v>
      </c>
      <c r="I282">
        <v>0.13850000000000001</v>
      </c>
      <c r="J282">
        <v>6</v>
      </c>
      <c r="K282">
        <v>14</v>
      </c>
      <c r="L282" t="s">
        <v>72</v>
      </c>
      <c r="M282" t="s">
        <v>73</v>
      </c>
      <c r="N282" t="s">
        <v>74</v>
      </c>
      <c r="O282">
        <v>9</v>
      </c>
      <c r="P282" t="s">
        <v>9</v>
      </c>
      <c r="Q282">
        <v>1.9</v>
      </c>
      <c r="R282" t="str">
        <f t="shared" si="9"/>
        <v>II</v>
      </c>
      <c r="S282">
        <f t="shared" si="10"/>
        <v>0.19874333333333338</v>
      </c>
    </row>
    <row r="283" spans="1:19">
      <c r="A283">
        <v>48</v>
      </c>
      <c r="B283" t="s">
        <v>33</v>
      </c>
      <c r="C283">
        <v>0.46</v>
      </c>
      <c r="D283">
        <v>0.375</v>
      </c>
      <c r="E283">
        <v>0.12</v>
      </c>
      <c r="F283">
        <v>0.46050000000000002</v>
      </c>
      <c r="G283">
        <v>0.17749999999999999</v>
      </c>
      <c r="H283">
        <v>0.11</v>
      </c>
      <c r="I283">
        <v>0.15</v>
      </c>
      <c r="J283">
        <v>7</v>
      </c>
      <c r="K283">
        <v>2</v>
      </c>
      <c r="L283" t="s">
        <v>49</v>
      </c>
      <c r="M283" t="s">
        <v>50</v>
      </c>
      <c r="N283" t="s">
        <v>51</v>
      </c>
      <c r="O283">
        <v>4</v>
      </c>
      <c r="P283" t="s">
        <v>8</v>
      </c>
      <c r="Q283">
        <v>6.1</v>
      </c>
      <c r="R283" t="str">
        <f t="shared" si="9"/>
        <v>II</v>
      </c>
      <c r="S283">
        <f t="shared" si="10"/>
        <v>0.16301700000000002</v>
      </c>
    </row>
    <row r="284" spans="1:19">
      <c r="A284">
        <v>4156</v>
      </c>
      <c r="B284" t="s">
        <v>33</v>
      </c>
      <c r="C284">
        <v>0.44</v>
      </c>
      <c r="D284">
        <v>0.35</v>
      </c>
      <c r="E284">
        <v>0.11</v>
      </c>
      <c r="F284">
        <v>0.3805</v>
      </c>
      <c r="G284">
        <v>0.1575</v>
      </c>
      <c r="H284">
        <v>8.9499999999999996E-2</v>
      </c>
      <c r="I284">
        <v>0.115</v>
      </c>
      <c r="J284">
        <v>6</v>
      </c>
      <c r="K284">
        <v>9</v>
      </c>
      <c r="L284" t="s">
        <v>34</v>
      </c>
      <c r="M284" t="s">
        <v>35</v>
      </c>
      <c r="N284" t="s">
        <v>36</v>
      </c>
      <c r="O284">
        <v>2</v>
      </c>
      <c r="P284" t="s">
        <v>5</v>
      </c>
      <c r="Q284">
        <v>18</v>
      </c>
      <c r="R284" t="str">
        <f t="shared" si="9"/>
        <v>II</v>
      </c>
      <c r="S284">
        <f t="shared" si="10"/>
        <v>0.13190666666666667</v>
      </c>
    </row>
    <row r="285" spans="1:19">
      <c r="A285">
        <v>2548</v>
      </c>
      <c r="B285" t="s">
        <v>33</v>
      </c>
      <c r="C285">
        <v>0.23</v>
      </c>
      <c r="D285">
        <v>0.18</v>
      </c>
      <c r="E285">
        <v>0.05</v>
      </c>
      <c r="F285">
        <v>6.4000000000000001E-2</v>
      </c>
      <c r="G285">
        <v>2.1499999999999998E-2</v>
      </c>
      <c r="H285">
        <v>1.35E-2</v>
      </c>
      <c r="I285">
        <v>0.02</v>
      </c>
      <c r="J285">
        <v>5</v>
      </c>
      <c r="K285">
        <v>7</v>
      </c>
      <c r="L285" t="s">
        <v>62</v>
      </c>
      <c r="M285" t="s">
        <v>63</v>
      </c>
      <c r="N285" t="s">
        <v>64</v>
      </c>
      <c r="O285">
        <v>6</v>
      </c>
      <c r="P285" t="s">
        <v>7</v>
      </c>
      <c r="Q285">
        <v>14.1</v>
      </c>
      <c r="R285" t="str">
        <f t="shared" si="9"/>
        <v>II</v>
      </c>
      <c r="S285">
        <f t="shared" si="10"/>
        <v>1.8432E-2</v>
      </c>
    </row>
    <row r="286" spans="1:19">
      <c r="A286">
        <v>834</v>
      </c>
      <c r="B286" t="s">
        <v>33</v>
      </c>
      <c r="C286">
        <v>0.44500000000000001</v>
      </c>
      <c r="D286">
        <v>0.33500000000000002</v>
      </c>
      <c r="E286">
        <v>0.1</v>
      </c>
      <c r="F286">
        <v>0.48949999999999999</v>
      </c>
      <c r="G286">
        <v>0.27450000000000002</v>
      </c>
      <c r="H286">
        <v>8.5999999999999993E-2</v>
      </c>
      <c r="I286">
        <v>0.1105</v>
      </c>
      <c r="J286">
        <v>7</v>
      </c>
      <c r="K286">
        <v>6</v>
      </c>
      <c r="L286" t="s">
        <v>46</v>
      </c>
      <c r="M286" t="s">
        <v>47</v>
      </c>
      <c r="N286" t="s">
        <v>48</v>
      </c>
      <c r="O286">
        <v>1</v>
      </c>
      <c r="P286" t="s">
        <v>4</v>
      </c>
      <c r="Q286">
        <v>22.1</v>
      </c>
      <c r="R286" t="str">
        <f t="shared" si="9"/>
        <v>II</v>
      </c>
      <c r="S286">
        <f t="shared" si="10"/>
        <v>0.16838800000000001</v>
      </c>
    </row>
    <row r="287" spans="1:19">
      <c r="A287">
        <v>896</v>
      </c>
      <c r="B287" t="s">
        <v>33</v>
      </c>
      <c r="C287">
        <v>0.255</v>
      </c>
      <c r="D287">
        <v>0.19</v>
      </c>
      <c r="E287">
        <v>0.05</v>
      </c>
      <c r="F287">
        <v>8.3000000000000004E-2</v>
      </c>
      <c r="G287">
        <v>2.9499999999999998E-2</v>
      </c>
      <c r="H287">
        <v>2.1499999999999998E-2</v>
      </c>
      <c r="I287">
        <v>2.7E-2</v>
      </c>
      <c r="J287">
        <v>6</v>
      </c>
      <c r="K287">
        <v>15</v>
      </c>
      <c r="L287" t="s">
        <v>60</v>
      </c>
      <c r="M287" t="s">
        <v>61</v>
      </c>
      <c r="N287" t="s">
        <v>45</v>
      </c>
      <c r="O287">
        <v>4</v>
      </c>
      <c r="P287" t="s">
        <v>8</v>
      </c>
      <c r="Q287">
        <v>6.1</v>
      </c>
      <c r="R287" t="str">
        <f t="shared" si="9"/>
        <v>II</v>
      </c>
      <c r="S287">
        <f t="shared" si="10"/>
        <v>2.4291333333333335E-2</v>
      </c>
    </row>
    <row r="288" spans="1:19">
      <c r="A288">
        <v>4110</v>
      </c>
      <c r="B288" t="s">
        <v>33</v>
      </c>
      <c r="C288">
        <v>0.48</v>
      </c>
      <c r="D288">
        <v>0.36499999999999999</v>
      </c>
      <c r="E288">
        <v>0.13</v>
      </c>
      <c r="F288">
        <v>0.53049999999999997</v>
      </c>
      <c r="G288">
        <v>0.24049999999999999</v>
      </c>
      <c r="H288">
        <v>0.127</v>
      </c>
      <c r="I288">
        <v>0.13900000000000001</v>
      </c>
      <c r="J288">
        <v>8</v>
      </c>
      <c r="K288">
        <v>2</v>
      </c>
      <c r="L288" t="s">
        <v>49</v>
      </c>
      <c r="M288" t="s">
        <v>50</v>
      </c>
      <c r="N288" t="s">
        <v>51</v>
      </c>
      <c r="O288">
        <v>4</v>
      </c>
      <c r="P288" t="s">
        <v>8</v>
      </c>
      <c r="Q288">
        <v>6.1</v>
      </c>
      <c r="R288" t="str">
        <f t="shared" si="9"/>
        <v>II</v>
      </c>
      <c r="S288">
        <f t="shared" si="10"/>
        <v>0.18921166666666667</v>
      </c>
    </row>
    <row r="289" spans="1:19">
      <c r="A289">
        <v>147</v>
      </c>
      <c r="B289" t="s">
        <v>17</v>
      </c>
      <c r="C289">
        <v>0.46</v>
      </c>
      <c r="D289">
        <v>0.35</v>
      </c>
      <c r="E289">
        <v>0.12</v>
      </c>
      <c r="F289">
        <v>0.51500000000000001</v>
      </c>
      <c r="G289">
        <v>0.224</v>
      </c>
      <c r="H289">
        <v>0.108</v>
      </c>
      <c r="I289">
        <v>0.1565</v>
      </c>
      <c r="J289">
        <v>10</v>
      </c>
      <c r="K289">
        <v>1</v>
      </c>
      <c r="L289" t="s">
        <v>70</v>
      </c>
      <c r="M289" t="s">
        <v>71</v>
      </c>
      <c r="N289" t="s">
        <v>45</v>
      </c>
      <c r="O289">
        <v>6</v>
      </c>
      <c r="P289" t="s">
        <v>7</v>
      </c>
      <c r="Q289">
        <v>14.1</v>
      </c>
      <c r="R289" t="str">
        <f t="shared" si="9"/>
        <v>II</v>
      </c>
      <c r="S289">
        <f t="shared" si="10"/>
        <v>0.18059333333333333</v>
      </c>
    </row>
    <row r="290" spans="1:19">
      <c r="A290">
        <v>2023</v>
      </c>
      <c r="B290" t="s">
        <v>75</v>
      </c>
      <c r="C290">
        <v>0.53</v>
      </c>
      <c r="D290">
        <v>0.43</v>
      </c>
      <c r="E290">
        <v>0.15</v>
      </c>
      <c r="F290">
        <v>0.74099999999999999</v>
      </c>
      <c r="G290">
        <v>0.32500000000000001</v>
      </c>
      <c r="H290">
        <v>0.1855</v>
      </c>
      <c r="I290">
        <v>0.19600000000000001</v>
      </c>
      <c r="J290">
        <v>9</v>
      </c>
      <c r="K290">
        <v>4</v>
      </c>
      <c r="L290" t="s">
        <v>40</v>
      </c>
      <c r="M290" t="s">
        <v>41</v>
      </c>
      <c r="N290" t="s">
        <v>42</v>
      </c>
      <c r="O290">
        <v>3</v>
      </c>
      <c r="P290" t="s">
        <v>10</v>
      </c>
      <c r="Q290">
        <v>3.6</v>
      </c>
      <c r="R290" t="str">
        <f t="shared" si="9"/>
        <v>II</v>
      </c>
      <c r="S290">
        <f t="shared" si="10"/>
        <v>0.27762799999999999</v>
      </c>
    </row>
    <row r="291" spans="1:19">
      <c r="A291">
        <v>2873</v>
      </c>
      <c r="B291" t="s">
        <v>75</v>
      </c>
      <c r="C291">
        <v>0.4</v>
      </c>
      <c r="D291">
        <v>0.315</v>
      </c>
      <c r="E291">
        <v>0.09</v>
      </c>
      <c r="F291">
        <v>0.32450000000000001</v>
      </c>
      <c r="G291">
        <v>0.151</v>
      </c>
      <c r="H291">
        <v>7.2999999999999995E-2</v>
      </c>
      <c r="I291">
        <v>8.7999999999999995E-2</v>
      </c>
      <c r="J291">
        <v>8</v>
      </c>
      <c r="K291">
        <v>3</v>
      </c>
      <c r="L291" t="s">
        <v>52</v>
      </c>
      <c r="M291" t="s">
        <v>53</v>
      </c>
      <c r="N291" t="s">
        <v>54</v>
      </c>
      <c r="O291">
        <v>5</v>
      </c>
      <c r="P291" t="s">
        <v>12</v>
      </c>
      <c r="Q291">
        <v>12.8</v>
      </c>
      <c r="R291" t="str">
        <f t="shared" si="9"/>
        <v>II</v>
      </c>
      <c r="S291">
        <f t="shared" si="10"/>
        <v>0.10838300000000001</v>
      </c>
    </row>
    <row r="292" spans="1:19">
      <c r="A292">
        <v>3819</v>
      </c>
      <c r="B292" t="s">
        <v>75</v>
      </c>
      <c r="C292">
        <v>0.56499999999999995</v>
      </c>
      <c r="D292">
        <v>0.44500000000000001</v>
      </c>
      <c r="E292">
        <v>0.14000000000000001</v>
      </c>
      <c r="F292">
        <v>0.83599999999999997</v>
      </c>
      <c r="G292">
        <v>0.40600000000000003</v>
      </c>
      <c r="H292">
        <v>0.1605</v>
      </c>
      <c r="I292">
        <v>0.22450000000000001</v>
      </c>
      <c r="J292">
        <v>9</v>
      </c>
      <c r="K292">
        <v>12</v>
      </c>
      <c r="L292" t="s">
        <v>58</v>
      </c>
      <c r="M292" t="s">
        <v>59</v>
      </c>
      <c r="N292" t="s">
        <v>45</v>
      </c>
      <c r="O292">
        <v>4</v>
      </c>
      <c r="P292" t="s">
        <v>8</v>
      </c>
      <c r="Q292">
        <v>6.1</v>
      </c>
      <c r="R292" t="str">
        <f t="shared" si="9"/>
        <v>III</v>
      </c>
      <c r="S292">
        <f t="shared" si="10"/>
        <v>0.39709999999999995</v>
      </c>
    </row>
    <row r="293" spans="1:19">
      <c r="A293">
        <v>152</v>
      </c>
      <c r="B293" t="s">
        <v>75</v>
      </c>
      <c r="C293">
        <v>0.60499999999999998</v>
      </c>
      <c r="D293">
        <v>0.5</v>
      </c>
      <c r="E293">
        <v>0.185</v>
      </c>
      <c r="F293">
        <v>1.1185</v>
      </c>
      <c r="G293">
        <v>0.46899999999999997</v>
      </c>
      <c r="H293">
        <v>0.25850000000000001</v>
      </c>
      <c r="I293">
        <v>0.33500000000000002</v>
      </c>
      <c r="J293">
        <v>9</v>
      </c>
      <c r="K293">
        <v>12</v>
      </c>
      <c r="L293" t="s">
        <v>58</v>
      </c>
      <c r="M293" t="s">
        <v>59</v>
      </c>
      <c r="N293" t="s">
        <v>45</v>
      </c>
      <c r="O293">
        <v>1</v>
      </c>
      <c r="P293" t="s">
        <v>4</v>
      </c>
      <c r="Q293">
        <v>22.1</v>
      </c>
      <c r="R293" t="str">
        <f t="shared" si="9"/>
        <v>III</v>
      </c>
      <c r="S293">
        <f t="shared" si="10"/>
        <v>0.55738583333333336</v>
      </c>
    </row>
    <row r="294" spans="1:19">
      <c r="A294">
        <v>1537</v>
      </c>
      <c r="B294" t="s">
        <v>75</v>
      </c>
      <c r="C294">
        <v>0.33500000000000002</v>
      </c>
      <c r="D294">
        <v>0.255</v>
      </c>
      <c r="E294">
        <v>0.08</v>
      </c>
      <c r="F294">
        <v>0.16800000000000001</v>
      </c>
      <c r="G294">
        <v>7.9000000000000001E-2</v>
      </c>
      <c r="H294">
        <v>3.5499999999999997E-2</v>
      </c>
      <c r="I294">
        <v>0.05</v>
      </c>
      <c r="J294">
        <v>5</v>
      </c>
      <c r="K294">
        <v>14</v>
      </c>
      <c r="L294" t="s">
        <v>72</v>
      </c>
      <c r="M294" t="s">
        <v>73</v>
      </c>
      <c r="N294" t="s">
        <v>74</v>
      </c>
      <c r="O294">
        <v>1</v>
      </c>
      <c r="P294" t="s">
        <v>4</v>
      </c>
      <c r="Q294">
        <v>22.1</v>
      </c>
      <c r="R294" t="str">
        <f t="shared" si="9"/>
        <v>II</v>
      </c>
      <c r="S294">
        <f t="shared" si="10"/>
        <v>5.3088000000000003E-2</v>
      </c>
    </row>
    <row r="295" spans="1:19">
      <c r="A295">
        <v>4031</v>
      </c>
      <c r="B295" t="s">
        <v>75</v>
      </c>
      <c r="C295">
        <v>0.435</v>
      </c>
      <c r="D295">
        <v>0.32500000000000001</v>
      </c>
      <c r="E295">
        <v>0.1</v>
      </c>
      <c r="F295">
        <v>0.36599999999999999</v>
      </c>
      <c r="G295">
        <v>0.17399999999999999</v>
      </c>
      <c r="H295">
        <v>7.2499999999999995E-2</v>
      </c>
      <c r="I295">
        <v>0.109</v>
      </c>
      <c r="J295">
        <v>7</v>
      </c>
      <c r="K295">
        <v>12</v>
      </c>
      <c r="L295" t="s">
        <v>58</v>
      </c>
      <c r="M295" t="s">
        <v>59</v>
      </c>
      <c r="N295" t="s">
        <v>45</v>
      </c>
      <c r="O295">
        <v>1</v>
      </c>
      <c r="P295" t="s">
        <v>4</v>
      </c>
      <c r="Q295">
        <v>22.1</v>
      </c>
      <c r="R295" t="str">
        <f t="shared" si="9"/>
        <v>II</v>
      </c>
      <c r="S295">
        <f t="shared" si="10"/>
        <v>0.124928</v>
      </c>
    </row>
    <row r="296" spans="1:19">
      <c r="A296">
        <v>4115</v>
      </c>
      <c r="B296" t="s">
        <v>75</v>
      </c>
      <c r="C296">
        <v>0.56999999999999995</v>
      </c>
      <c r="D296">
        <v>0.45</v>
      </c>
      <c r="E296">
        <v>0.15</v>
      </c>
      <c r="F296">
        <v>0.96450000000000002</v>
      </c>
      <c r="G296">
        <v>0.53100000000000003</v>
      </c>
      <c r="H296">
        <v>0.189</v>
      </c>
      <c r="I296">
        <v>0.20899999999999999</v>
      </c>
      <c r="J296">
        <v>9</v>
      </c>
      <c r="K296">
        <v>5</v>
      </c>
      <c r="L296" t="s">
        <v>67</v>
      </c>
      <c r="M296" t="s">
        <v>68</v>
      </c>
      <c r="N296" t="s">
        <v>69</v>
      </c>
      <c r="O296">
        <v>8</v>
      </c>
      <c r="P296" t="s">
        <v>13</v>
      </c>
      <c r="Q296">
        <v>12.3</v>
      </c>
      <c r="R296" t="str">
        <f t="shared" si="9"/>
        <v>I</v>
      </c>
      <c r="S296">
        <f t="shared" si="10"/>
        <v>0.69202874999999997</v>
      </c>
    </row>
    <row r="297" spans="1:19">
      <c r="A297">
        <v>3222</v>
      </c>
      <c r="B297" t="s">
        <v>75</v>
      </c>
      <c r="C297">
        <v>0.38500000000000001</v>
      </c>
      <c r="D297">
        <v>0.30499999999999999</v>
      </c>
      <c r="E297">
        <v>0.09</v>
      </c>
      <c r="F297">
        <v>0.27750000000000002</v>
      </c>
      <c r="G297">
        <v>0.109</v>
      </c>
      <c r="H297">
        <v>5.1499999999999997E-2</v>
      </c>
      <c r="I297">
        <v>0.1</v>
      </c>
      <c r="J297">
        <v>9</v>
      </c>
      <c r="K297">
        <v>5</v>
      </c>
      <c r="L297" t="s">
        <v>67</v>
      </c>
      <c r="M297" t="s">
        <v>68</v>
      </c>
      <c r="N297" t="s">
        <v>69</v>
      </c>
      <c r="O297">
        <v>7</v>
      </c>
      <c r="P297" t="s">
        <v>6</v>
      </c>
      <c r="Q297">
        <v>2.5</v>
      </c>
      <c r="R297" t="str">
        <f t="shared" si="9"/>
        <v>II</v>
      </c>
      <c r="S297">
        <f t="shared" si="10"/>
        <v>9.1760000000000008E-2</v>
      </c>
    </row>
    <row r="298" spans="1:19">
      <c r="A298">
        <v>1281</v>
      </c>
      <c r="B298" t="s">
        <v>75</v>
      </c>
      <c r="C298">
        <v>0.495</v>
      </c>
      <c r="D298">
        <v>0.39500000000000002</v>
      </c>
      <c r="E298">
        <v>0.12</v>
      </c>
      <c r="F298">
        <v>0.55300000000000005</v>
      </c>
      <c r="G298">
        <v>0.224</v>
      </c>
      <c r="H298">
        <v>0.13750000000000001</v>
      </c>
      <c r="I298">
        <v>0.16700000000000001</v>
      </c>
      <c r="J298">
        <v>8</v>
      </c>
      <c r="K298">
        <v>15</v>
      </c>
      <c r="L298" t="s">
        <v>60</v>
      </c>
      <c r="M298" t="s">
        <v>61</v>
      </c>
      <c r="N298" t="s">
        <v>45</v>
      </c>
      <c r="O298">
        <v>6</v>
      </c>
      <c r="P298" t="s">
        <v>7</v>
      </c>
      <c r="Q298">
        <v>14.1</v>
      </c>
      <c r="R298" t="str">
        <f t="shared" si="9"/>
        <v>II</v>
      </c>
      <c r="S298">
        <f t="shared" si="10"/>
        <v>0.19981733333333332</v>
      </c>
    </row>
    <row r="299" spans="1:19">
      <c r="A299">
        <v>1617</v>
      </c>
      <c r="B299" t="s">
        <v>75</v>
      </c>
      <c r="C299">
        <v>0.55500000000000005</v>
      </c>
      <c r="D299">
        <v>0.39500000000000002</v>
      </c>
      <c r="E299">
        <v>0.13</v>
      </c>
      <c r="F299">
        <v>0.5585</v>
      </c>
      <c r="G299">
        <v>0.222</v>
      </c>
      <c r="H299">
        <v>0.1245</v>
      </c>
      <c r="I299">
        <v>0.17</v>
      </c>
      <c r="J299">
        <v>9</v>
      </c>
      <c r="K299">
        <v>10</v>
      </c>
      <c r="L299" t="s">
        <v>37</v>
      </c>
      <c r="M299" t="s">
        <v>38</v>
      </c>
      <c r="N299" t="s">
        <v>39</v>
      </c>
      <c r="O299">
        <v>9</v>
      </c>
      <c r="P299" t="s">
        <v>9</v>
      </c>
      <c r="Q299">
        <v>1.9</v>
      </c>
      <c r="R299" t="str">
        <f t="shared" si="9"/>
        <v>II</v>
      </c>
      <c r="S299">
        <f t="shared" si="10"/>
        <v>0.20701733333333336</v>
      </c>
    </row>
    <row r="300" spans="1:19">
      <c r="A300">
        <v>3654</v>
      </c>
      <c r="B300" t="s">
        <v>75</v>
      </c>
      <c r="C300">
        <v>0.53</v>
      </c>
      <c r="D300">
        <v>0.42499999999999999</v>
      </c>
      <c r="E300">
        <v>0.13</v>
      </c>
      <c r="F300">
        <v>0.78100000000000003</v>
      </c>
      <c r="G300">
        <v>0.39050000000000001</v>
      </c>
      <c r="H300">
        <v>0.20050000000000001</v>
      </c>
      <c r="I300">
        <v>0.215</v>
      </c>
      <c r="J300">
        <v>9</v>
      </c>
      <c r="K300">
        <v>3</v>
      </c>
      <c r="L300" t="s">
        <v>52</v>
      </c>
      <c r="M300" t="s">
        <v>53</v>
      </c>
      <c r="N300" t="s">
        <v>54</v>
      </c>
      <c r="O300">
        <v>2</v>
      </c>
      <c r="P300" t="s">
        <v>5</v>
      </c>
      <c r="Q300">
        <v>18</v>
      </c>
      <c r="R300" t="str">
        <f t="shared" si="9"/>
        <v>II</v>
      </c>
      <c r="S300">
        <f t="shared" si="10"/>
        <v>0.29001133333333334</v>
      </c>
    </row>
    <row r="301" spans="1:19">
      <c r="A301">
        <v>2024</v>
      </c>
      <c r="B301" t="s">
        <v>75</v>
      </c>
      <c r="C301">
        <v>0.53</v>
      </c>
      <c r="D301">
        <v>0.40500000000000003</v>
      </c>
      <c r="E301">
        <v>0.13</v>
      </c>
      <c r="F301">
        <v>0.63549999999999995</v>
      </c>
      <c r="G301">
        <v>0.26350000000000001</v>
      </c>
      <c r="H301">
        <v>0.1565</v>
      </c>
      <c r="I301">
        <v>0.185</v>
      </c>
      <c r="J301">
        <v>9</v>
      </c>
      <c r="K301">
        <v>14</v>
      </c>
      <c r="L301" t="s">
        <v>72</v>
      </c>
      <c r="M301" t="s">
        <v>73</v>
      </c>
      <c r="N301" t="s">
        <v>74</v>
      </c>
      <c r="O301">
        <v>2</v>
      </c>
      <c r="P301" t="s">
        <v>5</v>
      </c>
      <c r="Q301">
        <v>18</v>
      </c>
      <c r="R301" t="str">
        <f t="shared" si="9"/>
        <v>II</v>
      </c>
      <c r="S301">
        <f t="shared" si="10"/>
        <v>0.23428766666666667</v>
      </c>
    </row>
    <row r="302" spans="1:19">
      <c r="A302">
        <v>3099</v>
      </c>
      <c r="B302" t="s">
        <v>75</v>
      </c>
      <c r="C302">
        <v>0.55000000000000004</v>
      </c>
      <c r="D302">
        <v>0.43</v>
      </c>
      <c r="E302">
        <v>0.15</v>
      </c>
      <c r="F302">
        <v>0.65500000000000003</v>
      </c>
      <c r="G302">
        <v>0.26350000000000001</v>
      </c>
      <c r="H302">
        <v>0.122</v>
      </c>
      <c r="I302">
        <v>0.221</v>
      </c>
      <c r="J302">
        <v>8</v>
      </c>
      <c r="K302">
        <v>14</v>
      </c>
      <c r="L302" t="s">
        <v>72</v>
      </c>
      <c r="M302" t="s">
        <v>73</v>
      </c>
      <c r="N302" t="s">
        <v>74</v>
      </c>
      <c r="O302">
        <v>4</v>
      </c>
      <c r="P302" t="s">
        <v>8</v>
      </c>
      <c r="Q302">
        <v>6.1</v>
      </c>
      <c r="R302" t="str">
        <f t="shared" si="9"/>
        <v>II</v>
      </c>
      <c r="S302">
        <f t="shared" si="10"/>
        <v>0.24715333333333334</v>
      </c>
    </row>
    <row r="303" spans="1:19">
      <c r="A303">
        <v>2490</v>
      </c>
      <c r="B303" t="s">
        <v>75</v>
      </c>
      <c r="C303">
        <v>0.49</v>
      </c>
      <c r="D303">
        <v>0.39</v>
      </c>
      <c r="E303">
        <v>0.13500000000000001</v>
      </c>
      <c r="F303">
        <v>0.59199999999999997</v>
      </c>
      <c r="G303">
        <v>0.24199999999999999</v>
      </c>
      <c r="H303">
        <v>9.6000000000000002E-2</v>
      </c>
      <c r="I303">
        <v>0.1835</v>
      </c>
      <c r="J303">
        <v>15</v>
      </c>
      <c r="K303">
        <v>2</v>
      </c>
      <c r="L303" t="s">
        <v>49</v>
      </c>
      <c r="M303" t="s">
        <v>50</v>
      </c>
      <c r="N303" t="s">
        <v>51</v>
      </c>
      <c r="O303">
        <v>1</v>
      </c>
      <c r="P303" t="s">
        <v>4</v>
      </c>
      <c r="Q303">
        <v>22.1</v>
      </c>
      <c r="R303" t="str">
        <f t="shared" si="9"/>
        <v>II</v>
      </c>
      <c r="S303">
        <f t="shared" si="10"/>
        <v>0.21430400000000002</v>
      </c>
    </row>
    <row r="304" spans="1:19">
      <c r="A304">
        <v>2549</v>
      </c>
      <c r="B304" t="s">
        <v>75</v>
      </c>
      <c r="C304">
        <v>0.27500000000000002</v>
      </c>
      <c r="D304">
        <v>0.19500000000000001</v>
      </c>
      <c r="E304">
        <v>7.0000000000000007E-2</v>
      </c>
      <c r="F304">
        <v>8.7499999999999994E-2</v>
      </c>
      <c r="G304">
        <v>3.4500000000000003E-2</v>
      </c>
      <c r="H304">
        <v>2.1999999999999999E-2</v>
      </c>
      <c r="I304">
        <v>2.5499999999999998E-2</v>
      </c>
      <c r="J304">
        <v>4</v>
      </c>
      <c r="K304">
        <v>6</v>
      </c>
      <c r="L304" t="s">
        <v>46</v>
      </c>
      <c r="M304" t="s">
        <v>47</v>
      </c>
      <c r="N304" t="s">
        <v>48</v>
      </c>
      <c r="O304">
        <v>5</v>
      </c>
      <c r="P304" t="s">
        <v>12</v>
      </c>
      <c r="Q304">
        <v>12.8</v>
      </c>
      <c r="R304" t="str">
        <f t="shared" si="9"/>
        <v>II</v>
      </c>
      <c r="S304">
        <f t="shared" si="10"/>
        <v>2.6133333333333331E-2</v>
      </c>
    </row>
    <row r="305" spans="1:19">
      <c r="A305">
        <v>753</v>
      </c>
      <c r="B305" t="s">
        <v>75</v>
      </c>
      <c r="C305">
        <v>0.60499999999999998</v>
      </c>
      <c r="D305">
        <v>0.46</v>
      </c>
      <c r="E305">
        <v>0.17</v>
      </c>
      <c r="F305">
        <v>1.1220000000000001</v>
      </c>
      <c r="G305">
        <v>0.34699999999999998</v>
      </c>
      <c r="H305">
        <v>0.30449999999999999</v>
      </c>
      <c r="I305">
        <v>0.315</v>
      </c>
      <c r="J305">
        <v>13</v>
      </c>
      <c r="K305">
        <v>15</v>
      </c>
      <c r="L305" t="s">
        <v>60</v>
      </c>
      <c r="M305" t="s">
        <v>61</v>
      </c>
      <c r="N305" t="s">
        <v>45</v>
      </c>
      <c r="O305">
        <v>4</v>
      </c>
      <c r="P305" t="s">
        <v>8</v>
      </c>
      <c r="Q305">
        <v>6.1</v>
      </c>
      <c r="R305" t="str">
        <f t="shared" si="9"/>
        <v>II</v>
      </c>
      <c r="S305">
        <f t="shared" si="10"/>
        <v>0.43907600000000002</v>
      </c>
    </row>
    <row r="306" spans="1:19">
      <c r="A306">
        <v>1550</v>
      </c>
      <c r="B306" t="s">
        <v>75</v>
      </c>
      <c r="C306">
        <v>0.38500000000000001</v>
      </c>
      <c r="D306">
        <v>0.28000000000000003</v>
      </c>
      <c r="E306">
        <v>9.5000000000000001E-2</v>
      </c>
      <c r="F306">
        <v>0.25700000000000001</v>
      </c>
      <c r="G306">
        <v>0.11899999999999999</v>
      </c>
      <c r="H306">
        <v>5.8999999999999997E-2</v>
      </c>
      <c r="I306">
        <v>7.0000000000000007E-2</v>
      </c>
      <c r="J306">
        <v>7</v>
      </c>
      <c r="K306">
        <v>4</v>
      </c>
      <c r="L306" t="s">
        <v>40</v>
      </c>
      <c r="M306" t="s">
        <v>41</v>
      </c>
      <c r="N306" t="s">
        <v>42</v>
      </c>
      <c r="O306">
        <v>10</v>
      </c>
      <c r="P306" t="s">
        <v>11</v>
      </c>
      <c r="Q306">
        <v>24.1</v>
      </c>
      <c r="R306" t="str">
        <f t="shared" si="9"/>
        <v>II</v>
      </c>
      <c r="S306">
        <f t="shared" si="10"/>
        <v>8.4295999999999996E-2</v>
      </c>
    </row>
    <row r="307" spans="1:19">
      <c r="A307">
        <v>4153</v>
      </c>
      <c r="B307" t="s">
        <v>75</v>
      </c>
      <c r="C307">
        <v>0.37</v>
      </c>
      <c r="D307">
        <v>0.28000000000000003</v>
      </c>
      <c r="E307">
        <v>0.09</v>
      </c>
      <c r="F307">
        <v>0.218</v>
      </c>
      <c r="G307">
        <v>9.9500000000000005E-2</v>
      </c>
      <c r="H307">
        <v>5.45E-2</v>
      </c>
      <c r="I307">
        <v>6.1499999999999999E-2</v>
      </c>
      <c r="J307">
        <v>7</v>
      </c>
      <c r="K307">
        <v>8</v>
      </c>
      <c r="L307" t="s">
        <v>55</v>
      </c>
      <c r="M307" t="s">
        <v>56</v>
      </c>
      <c r="N307" t="s">
        <v>57</v>
      </c>
      <c r="O307">
        <v>8</v>
      </c>
      <c r="P307" t="s">
        <v>13</v>
      </c>
      <c r="Q307">
        <v>12.3</v>
      </c>
      <c r="R307" t="str">
        <f t="shared" si="9"/>
        <v>II</v>
      </c>
      <c r="S307">
        <f t="shared" si="10"/>
        <v>7.0922666666666662E-2</v>
      </c>
    </row>
    <row r="308" spans="1:19">
      <c r="A308">
        <v>1777</v>
      </c>
      <c r="B308" t="s">
        <v>75</v>
      </c>
      <c r="C308">
        <v>0.48499999999999999</v>
      </c>
      <c r="D308">
        <v>0.37</v>
      </c>
      <c r="E308">
        <v>0.155</v>
      </c>
      <c r="F308">
        <v>0.96799999999999997</v>
      </c>
      <c r="G308">
        <v>0.41899999999999998</v>
      </c>
      <c r="H308">
        <v>0.2455</v>
      </c>
      <c r="I308">
        <v>0.23649999999999999</v>
      </c>
      <c r="J308">
        <v>9</v>
      </c>
      <c r="K308">
        <v>2</v>
      </c>
      <c r="L308" t="s">
        <v>49</v>
      </c>
      <c r="M308" t="s">
        <v>50</v>
      </c>
      <c r="N308" t="s">
        <v>51</v>
      </c>
      <c r="O308">
        <v>6</v>
      </c>
      <c r="P308" t="s">
        <v>7</v>
      </c>
      <c r="Q308">
        <v>14.1</v>
      </c>
      <c r="R308" t="str">
        <f t="shared" si="9"/>
        <v>III</v>
      </c>
      <c r="S308">
        <f t="shared" si="10"/>
        <v>0.43721333333333329</v>
      </c>
    </row>
    <row r="309" spans="1:19">
      <c r="A309">
        <v>2778</v>
      </c>
      <c r="B309" t="s">
        <v>75</v>
      </c>
      <c r="C309">
        <v>0.58499999999999996</v>
      </c>
      <c r="D309">
        <v>0.42</v>
      </c>
      <c r="E309">
        <v>0.14499999999999999</v>
      </c>
      <c r="F309">
        <v>0.67349999999999999</v>
      </c>
      <c r="G309">
        <v>0.28949999999999998</v>
      </c>
      <c r="H309">
        <v>0.13450000000000001</v>
      </c>
      <c r="I309">
        <v>0.22</v>
      </c>
      <c r="J309">
        <v>9</v>
      </c>
      <c r="K309">
        <v>15</v>
      </c>
      <c r="L309" t="s">
        <v>60</v>
      </c>
      <c r="M309" t="s">
        <v>61</v>
      </c>
      <c r="N309" t="s">
        <v>45</v>
      </c>
      <c r="O309">
        <v>5</v>
      </c>
      <c r="P309" t="s">
        <v>12</v>
      </c>
      <c r="Q309">
        <v>12.8</v>
      </c>
      <c r="R309" t="str">
        <f t="shared" si="9"/>
        <v>II</v>
      </c>
      <c r="S309">
        <f t="shared" si="10"/>
        <v>0.25592999999999999</v>
      </c>
    </row>
    <row r="310" spans="1:19">
      <c r="A310">
        <v>976</v>
      </c>
      <c r="B310" t="s">
        <v>75</v>
      </c>
      <c r="C310">
        <v>0.53</v>
      </c>
      <c r="D310">
        <v>0.42499999999999999</v>
      </c>
      <c r="E310">
        <v>0.15</v>
      </c>
      <c r="F310">
        <v>0.84950000000000003</v>
      </c>
      <c r="G310">
        <v>0.32800000000000001</v>
      </c>
      <c r="H310">
        <v>0.23200000000000001</v>
      </c>
      <c r="I310">
        <v>0.20200000000000001</v>
      </c>
      <c r="J310">
        <v>8</v>
      </c>
      <c r="K310">
        <v>14</v>
      </c>
      <c r="L310" t="s">
        <v>72</v>
      </c>
      <c r="M310" t="s">
        <v>73</v>
      </c>
      <c r="N310" t="s">
        <v>74</v>
      </c>
      <c r="O310">
        <v>9</v>
      </c>
      <c r="P310" t="s">
        <v>9</v>
      </c>
      <c r="Q310">
        <v>1.9</v>
      </c>
      <c r="R310" t="str">
        <f t="shared" si="9"/>
        <v>II</v>
      </c>
      <c r="S310">
        <f t="shared" si="10"/>
        <v>0.31771300000000002</v>
      </c>
    </row>
    <row r="311" spans="1:19">
      <c r="A311">
        <v>638</v>
      </c>
      <c r="B311" t="s">
        <v>75</v>
      </c>
      <c r="C311">
        <v>0.35499999999999998</v>
      </c>
      <c r="D311">
        <v>0.26</v>
      </c>
      <c r="E311">
        <v>8.5000000000000006E-2</v>
      </c>
      <c r="F311">
        <v>0.1905</v>
      </c>
      <c r="G311">
        <v>8.1000000000000003E-2</v>
      </c>
      <c r="H311">
        <v>4.8500000000000001E-2</v>
      </c>
      <c r="I311">
        <v>5.5E-2</v>
      </c>
      <c r="J311">
        <v>6</v>
      </c>
      <c r="K311">
        <v>4</v>
      </c>
      <c r="L311" t="s">
        <v>40</v>
      </c>
      <c r="M311" t="s">
        <v>41</v>
      </c>
      <c r="N311" t="s">
        <v>42</v>
      </c>
      <c r="O311">
        <v>6</v>
      </c>
      <c r="P311" t="s">
        <v>7</v>
      </c>
      <c r="Q311">
        <v>14.1</v>
      </c>
      <c r="R311" t="str">
        <f t="shared" si="9"/>
        <v>II</v>
      </c>
      <c r="S311">
        <f t="shared" si="10"/>
        <v>6.0960000000000007E-2</v>
      </c>
    </row>
    <row r="312" spans="1:19">
      <c r="A312">
        <v>3233</v>
      </c>
      <c r="B312" t="s">
        <v>75</v>
      </c>
      <c r="C312">
        <v>0.48499999999999999</v>
      </c>
      <c r="D312">
        <v>0.41</v>
      </c>
      <c r="E312">
        <v>0.15</v>
      </c>
      <c r="F312">
        <v>0.69599999999999995</v>
      </c>
      <c r="G312">
        <v>0.24049999999999999</v>
      </c>
      <c r="H312">
        <v>0.16250000000000001</v>
      </c>
      <c r="I312">
        <v>0.26500000000000001</v>
      </c>
      <c r="J312">
        <v>13</v>
      </c>
      <c r="K312">
        <v>10</v>
      </c>
      <c r="L312" t="s">
        <v>37</v>
      </c>
      <c r="M312" t="s">
        <v>38</v>
      </c>
      <c r="N312" t="s">
        <v>39</v>
      </c>
      <c r="O312">
        <v>10</v>
      </c>
      <c r="P312" t="s">
        <v>11</v>
      </c>
      <c r="Q312">
        <v>24.1</v>
      </c>
      <c r="R312" t="str">
        <f t="shared" si="9"/>
        <v>II</v>
      </c>
      <c r="S312">
        <f t="shared" si="10"/>
        <v>0.25473599999999996</v>
      </c>
    </row>
    <row r="313" spans="1:19">
      <c r="A313">
        <v>3635</v>
      </c>
      <c r="B313" t="s">
        <v>75</v>
      </c>
      <c r="C313">
        <v>0.36</v>
      </c>
      <c r="D313">
        <v>0.26500000000000001</v>
      </c>
      <c r="E313">
        <v>8.5000000000000006E-2</v>
      </c>
      <c r="F313">
        <v>0.1895</v>
      </c>
      <c r="G313">
        <v>7.2499999999999995E-2</v>
      </c>
      <c r="H313">
        <v>5.1499999999999997E-2</v>
      </c>
      <c r="I313">
        <v>5.5E-2</v>
      </c>
      <c r="J313">
        <v>6</v>
      </c>
      <c r="K313">
        <v>14</v>
      </c>
      <c r="L313" t="s">
        <v>72</v>
      </c>
      <c r="M313" t="s">
        <v>73</v>
      </c>
      <c r="N313" t="s">
        <v>74</v>
      </c>
      <c r="O313">
        <v>3</v>
      </c>
      <c r="P313" t="s">
        <v>10</v>
      </c>
      <c r="Q313">
        <v>3.6</v>
      </c>
      <c r="R313" t="str">
        <f t="shared" si="9"/>
        <v>II</v>
      </c>
      <c r="S313">
        <f t="shared" si="10"/>
        <v>6.0892666666666678E-2</v>
      </c>
    </row>
    <row r="314" spans="1:19">
      <c r="A314">
        <v>2981</v>
      </c>
      <c r="B314" t="s">
        <v>75</v>
      </c>
      <c r="C314">
        <v>0.5</v>
      </c>
      <c r="D314">
        <v>0.37</v>
      </c>
      <c r="E314">
        <v>0.115</v>
      </c>
      <c r="F314">
        <v>0.57450000000000001</v>
      </c>
      <c r="G314">
        <v>0.30599999999999999</v>
      </c>
      <c r="H314">
        <v>0.112</v>
      </c>
      <c r="I314">
        <v>0.14099999999999999</v>
      </c>
      <c r="J314">
        <v>7</v>
      </c>
      <c r="K314">
        <v>3</v>
      </c>
      <c r="L314" t="s">
        <v>52</v>
      </c>
      <c r="M314" t="s">
        <v>53</v>
      </c>
      <c r="N314" t="s">
        <v>54</v>
      </c>
      <c r="O314">
        <v>9</v>
      </c>
      <c r="P314" t="s">
        <v>9</v>
      </c>
      <c r="Q314">
        <v>1.9</v>
      </c>
      <c r="R314" t="str">
        <f t="shared" si="9"/>
        <v>II</v>
      </c>
      <c r="S314">
        <f t="shared" si="10"/>
        <v>0.20567100000000005</v>
      </c>
    </row>
    <row r="315" spans="1:19">
      <c r="A315">
        <v>1358</v>
      </c>
      <c r="B315" t="s">
        <v>75</v>
      </c>
      <c r="C315">
        <v>0.6</v>
      </c>
      <c r="D315">
        <v>0.46</v>
      </c>
      <c r="E315">
        <v>0.155</v>
      </c>
      <c r="F315">
        <v>0.95950000000000002</v>
      </c>
      <c r="G315">
        <v>0.44550000000000001</v>
      </c>
      <c r="H315">
        <v>0.189</v>
      </c>
      <c r="I315">
        <v>0.29499999999999998</v>
      </c>
      <c r="J315">
        <v>11</v>
      </c>
      <c r="K315">
        <v>6</v>
      </c>
      <c r="L315" t="s">
        <v>46</v>
      </c>
      <c r="M315" t="s">
        <v>47</v>
      </c>
      <c r="N315" t="s">
        <v>48</v>
      </c>
      <c r="O315">
        <v>2</v>
      </c>
      <c r="P315" t="s">
        <v>5</v>
      </c>
      <c r="Q315">
        <v>18</v>
      </c>
      <c r="R315" t="str">
        <f t="shared" si="9"/>
        <v>III</v>
      </c>
      <c r="S315">
        <f t="shared" si="10"/>
        <v>0.46615708333333328</v>
      </c>
    </row>
    <row r="316" spans="1:19">
      <c r="A316">
        <v>574</v>
      </c>
      <c r="B316" t="s">
        <v>75</v>
      </c>
      <c r="C316">
        <v>0.56999999999999995</v>
      </c>
      <c r="D316">
        <v>0.44</v>
      </c>
      <c r="E316">
        <v>0.14000000000000001</v>
      </c>
      <c r="F316">
        <v>0.95350000000000001</v>
      </c>
      <c r="G316">
        <v>0.3785</v>
      </c>
      <c r="H316">
        <v>0.20100000000000001</v>
      </c>
      <c r="I316">
        <v>0.30499999999999999</v>
      </c>
      <c r="J316">
        <v>17</v>
      </c>
      <c r="K316">
        <v>5</v>
      </c>
      <c r="L316" t="s">
        <v>67</v>
      </c>
      <c r="M316" t="s">
        <v>68</v>
      </c>
      <c r="N316" t="s">
        <v>69</v>
      </c>
      <c r="O316">
        <v>6</v>
      </c>
      <c r="P316" t="s">
        <v>7</v>
      </c>
      <c r="Q316">
        <v>14.1</v>
      </c>
      <c r="R316" t="str">
        <f t="shared" si="9"/>
        <v>II</v>
      </c>
      <c r="S316">
        <f t="shared" si="10"/>
        <v>0.3623300000000001</v>
      </c>
    </row>
    <row r="317" spans="1:19">
      <c r="A317">
        <v>3911</v>
      </c>
      <c r="B317" t="s">
        <v>75</v>
      </c>
      <c r="C317">
        <v>0.45500000000000002</v>
      </c>
      <c r="D317">
        <v>0.35499999999999998</v>
      </c>
      <c r="E317">
        <v>0.13500000000000001</v>
      </c>
      <c r="F317">
        <v>0.47449999999999998</v>
      </c>
      <c r="G317">
        <v>0.1865</v>
      </c>
      <c r="H317">
        <v>9.35E-2</v>
      </c>
      <c r="I317">
        <v>0.16800000000000001</v>
      </c>
      <c r="J317">
        <v>13</v>
      </c>
      <c r="K317">
        <v>13</v>
      </c>
      <c r="L317" t="s">
        <v>43</v>
      </c>
      <c r="M317" t="s">
        <v>44</v>
      </c>
      <c r="N317" t="s">
        <v>45</v>
      </c>
      <c r="O317">
        <v>5</v>
      </c>
      <c r="P317" t="s">
        <v>12</v>
      </c>
      <c r="Q317">
        <v>12.8</v>
      </c>
      <c r="R317" t="str">
        <f t="shared" si="9"/>
        <v>II</v>
      </c>
      <c r="S317">
        <f t="shared" si="10"/>
        <v>0.16734033333333331</v>
      </c>
    </row>
    <row r="318" spans="1:19">
      <c r="A318">
        <v>2177</v>
      </c>
      <c r="B318" t="s">
        <v>75</v>
      </c>
      <c r="C318">
        <v>0.56999999999999995</v>
      </c>
      <c r="D318">
        <v>0.45</v>
      </c>
      <c r="E318">
        <v>0.17</v>
      </c>
      <c r="F318">
        <v>1.0980000000000001</v>
      </c>
      <c r="G318">
        <v>0.41399999999999998</v>
      </c>
      <c r="H318">
        <v>0.187</v>
      </c>
      <c r="I318">
        <v>0.40500000000000003</v>
      </c>
      <c r="J318">
        <v>20</v>
      </c>
      <c r="K318">
        <v>6</v>
      </c>
      <c r="L318" t="s">
        <v>46</v>
      </c>
      <c r="M318" t="s">
        <v>47</v>
      </c>
      <c r="N318" t="s">
        <v>48</v>
      </c>
      <c r="O318">
        <v>9</v>
      </c>
      <c r="P318" t="s">
        <v>9</v>
      </c>
      <c r="Q318">
        <v>1.9</v>
      </c>
      <c r="R318" t="str">
        <f t="shared" si="9"/>
        <v>III</v>
      </c>
      <c r="S318">
        <f t="shared" si="10"/>
        <v>0.52887000000000006</v>
      </c>
    </row>
    <row r="319" spans="1:19">
      <c r="A319">
        <v>240</v>
      </c>
      <c r="B319" t="s">
        <v>75</v>
      </c>
      <c r="C319">
        <v>0.16</v>
      </c>
      <c r="D319">
        <v>0.12</v>
      </c>
      <c r="E319">
        <v>3.5000000000000003E-2</v>
      </c>
      <c r="F319">
        <v>2.1000000000000001E-2</v>
      </c>
      <c r="G319">
        <v>7.4999999999999997E-3</v>
      </c>
      <c r="H319">
        <v>4.4999999999999997E-3</v>
      </c>
      <c r="I319">
        <v>5.0000000000000001E-3</v>
      </c>
      <c r="J319">
        <v>5</v>
      </c>
      <c r="K319">
        <v>8</v>
      </c>
      <c r="L319" t="s">
        <v>55</v>
      </c>
      <c r="M319" t="s">
        <v>56</v>
      </c>
      <c r="N319" t="s">
        <v>57</v>
      </c>
      <c r="O319">
        <v>7</v>
      </c>
      <c r="P319" t="s">
        <v>6</v>
      </c>
      <c r="Q319">
        <v>2.5</v>
      </c>
      <c r="R319" t="str">
        <f t="shared" si="9"/>
        <v>II</v>
      </c>
      <c r="S319">
        <f t="shared" si="10"/>
        <v>5.6420000000000003E-3</v>
      </c>
    </row>
    <row r="320" spans="1:19">
      <c r="A320">
        <v>2419</v>
      </c>
      <c r="B320" t="s">
        <v>75</v>
      </c>
      <c r="C320">
        <v>0.46500000000000002</v>
      </c>
      <c r="D320">
        <v>0.35</v>
      </c>
      <c r="E320">
        <v>0.13</v>
      </c>
      <c r="F320">
        <v>0.49399999999999999</v>
      </c>
      <c r="G320">
        <v>0.19450000000000001</v>
      </c>
      <c r="H320">
        <v>0.10299999999999999</v>
      </c>
      <c r="I320">
        <v>0.155</v>
      </c>
      <c r="J320">
        <v>18</v>
      </c>
      <c r="K320">
        <v>7</v>
      </c>
      <c r="L320" t="s">
        <v>62</v>
      </c>
      <c r="M320" t="s">
        <v>63</v>
      </c>
      <c r="N320" t="s">
        <v>64</v>
      </c>
      <c r="O320">
        <v>3</v>
      </c>
      <c r="P320" t="s">
        <v>10</v>
      </c>
      <c r="Q320">
        <v>3.6</v>
      </c>
      <c r="R320" t="str">
        <f t="shared" si="9"/>
        <v>II</v>
      </c>
      <c r="S320">
        <f t="shared" si="10"/>
        <v>0.17421733333333334</v>
      </c>
    </row>
    <row r="321" spans="1:19">
      <c r="A321">
        <v>1615</v>
      </c>
      <c r="B321" t="s">
        <v>75</v>
      </c>
      <c r="C321">
        <v>0.55000000000000004</v>
      </c>
      <c r="D321">
        <v>0.41499999999999998</v>
      </c>
      <c r="E321">
        <v>0.14499999999999999</v>
      </c>
      <c r="F321">
        <v>0.78149999999999997</v>
      </c>
      <c r="G321">
        <v>0.373</v>
      </c>
      <c r="H321">
        <v>0.16</v>
      </c>
      <c r="I321">
        <v>0.2215</v>
      </c>
      <c r="J321">
        <v>8</v>
      </c>
      <c r="K321">
        <v>4</v>
      </c>
      <c r="L321" t="s">
        <v>40</v>
      </c>
      <c r="M321" t="s">
        <v>41</v>
      </c>
      <c r="N321" t="s">
        <v>42</v>
      </c>
      <c r="O321">
        <v>2</v>
      </c>
      <c r="P321" t="s">
        <v>5</v>
      </c>
      <c r="Q321">
        <v>18</v>
      </c>
      <c r="R321" t="str">
        <f t="shared" si="9"/>
        <v>II</v>
      </c>
      <c r="S321">
        <f t="shared" si="10"/>
        <v>0.29280199999999995</v>
      </c>
    </row>
    <row r="322" spans="1:19">
      <c r="A322">
        <v>2502</v>
      </c>
      <c r="B322" t="s">
        <v>75</v>
      </c>
      <c r="C322">
        <v>0.33</v>
      </c>
      <c r="D322">
        <v>0.26</v>
      </c>
      <c r="E322">
        <v>0.08</v>
      </c>
      <c r="F322">
        <v>0.2</v>
      </c>
      <c r="G322">
        <v>6.25E-2</v>
      </c>
      <c r="H322">
        <v>0.05</v>
      </c>
      <c r="I322">
        <v>7.0000000000000007E-2</v>
      </c>
      <c r="J322">
        <v>9</v>
      </c>
      <c r="K322">
        <v>9</v>
      </c>
      <c r="L322" t="s">
        <v>34</v>
      </c>
      <c r="M322" t="s">
        <v>35</v>
      </c>
      <c r="N322" t="s">
        <v>36</v>
      </c>
      <c r="O322">
        <v>2</v>
      </c>
      <c r="P322" t="s">
        <v>5</v>
      </c>
      <c r="Q322">
        <v>18</v>
      </c>
      <c r="R322" t="str">
        <f t="shared" si="9"/>
        <v>II</v>
      </c>
      <c r="S322">
        <f t="shared" si="10"/>
        <v>6.320000000000002E-2</v>
      </c>
    </row>
    <row r="323" spans="1:19">
      <c r="A323">
        <v>3530</v>
      </c>
      <c r="B323" t="s">
        <v>75</v>
      </c>
      <c r="C323">
        <v>0.36</v>
      </c>
      <c r="D323">
        <v>0.26500000000000001</v>
      </c>
      <c r="E323">
        <v>7.4999999999999997E-2</v>
      </c>
      <c r="F323">
        <v>0.17849999999999999</v>
      </c>
      <c r="G323">
        <v>7.85E-2</v>
      </c>
      <c r="H323">
        <v>3.5000000000000003E-2</v>
      </c>
      <c r="I323">
        <v>5.3999999999999999E-2</v>
      </c>
      <c r="J323">
        <v>6</v>
      </c>
      <c r="K323">
        <v>11</v>
      </c>
      <c r="L323" t="s">
        <v>65</v>
      </c>
      <c r="M323" t="s">
        <v>66</v>
      </c>
      <c r="N323" t="s">
        <v>45</v>
      </c>
      <c r="O323">
        <v>1</v>
      </c>
      <c r="P323" t="s">
        <v>4</v>
      </c>
      <c r="Q323">
        <v>22.1</v>
      </c>
      <c r="R323" t="str">
        <f t="shared" ref="R323:R386" si="11">IF(OR(AND(J323 &gt; 15, B323 = "Infant"), AND(D323 = "Male", C323 &gt; 0.75),
    OR(I323 &gt; 0.8, G323 &gt; 0.5), G323 &gt; 1.2),
    "I",
    IF(OR(AND(I323 &lt; 0.4, G323 &lt; 0.4), AND(J323 &gt; 15, D323 = "Male"), AND(J323 &gt; 18, D323 = "Female"), C323 &lt; 0.36),
    "II",
    "III"))</f>
        <v>II</v>
      </c>
      <c r="S323">
        <f t="shared" ref="S323:S386" si="12">IF(OR(AND(J323 &gt; 15, B323 = "Infant"), AND(D323 = "Male", C323 &gt; 0.75), OR(I323 &gt; 0.8, G323 &gt; 0.5), G323 &gt; 1.2), (1 + (1/3)*(C323 - 0.5) + (1/3)*(D323 - 0.4) + (1/3)*(E323 - 0.4)) * F323 * 0.5 * 1.5, IF(OR(AND(I323 &lt; 0.4, G323 &lt; 0.4), AND(J323 &gt; 15, D323 = "Male"), AND(J323 &gt; 18, D323 = "Female"), C323 &lt; 0.36), (1 + (1/3)*(C323 - 0.5) + (1/3)*(D323 - 0.4) + (1/3)*(E323 - 0.4)) * F323 * 0.5 * 0.8, (1 + (1/3)*(C323 - 0.5) + (1/3)*(D323 - 0.4) + (1/3)*(E323 - 0.4)) * F323 * 0.5))</f>
        <v>5.7120000000000004E-2</v>
      </c>
    </row>
    <row r="324" spans="1:19">
      <c r="A324">
        <v>394</v>
      </c>
      <c r="B324" t="s">
        <v>75</v>
      </c>
      <c r="C324">
        <v>0.36499999999999999</v>
      </c>
      <c r="D324">
        <v>0.29499999999999998</v>
      </c>
      <c r="E324">
        <v>9.5000000000000001E-2</v>
      </c>
      <c r="F324">
        <v>0.25</v>
      </c>
      <c r="G324">
        <v>0.1075</v>
      </c>
      <c r="H324">
        <v>5.45E-2</v>
      </c>
      <c r="I324">
        <v>0.08</v>
      </c>
      <c r="J324">
        <v>9</v>
      </c>
      <c r="K324">
        <v>2</v>
      </c>
      <c r="L324" t="s">
        <v>49</v>
      </c>
      <c r="M324" t="s">
        <v>50</v>
      </c>
      <c r="N324" t="s">
        <v>51</v>
      </c>
      <c r="O324">
        <v>8</v>
      </c>
      <c r="P324" t="s">
        <v>13</v>
      </c>
      <c r="Q324">
        <v>12.3</v>
      </c>
      <c r="R324" t="str">
        <f t="shared" si="11"/>
        <v>II</v>
      </c>
      <c r="S324">
        <f t="shared" si="12"/>
        <v>8.1833333333333327E-2</v>
      </c>
    </row>
    <row r="325" spans="1:19">
      <c r="A325">
        <v>2986</v>
      </c>
      <c r="B325" t="s">
        <v>75</v>
      </c>
      <c r="C325">
        <v>0.53500000000000003</v>
      </c>
      <c r="D325">
        <v>0.4</v>
      </c>
      <c r="E325">
        <v>0.13500000000000001</v>
      </c>
      <c r="F325">
        <v>0.77500000000000002</v>
      </c>
      <c r="G325">
        <v>0.36799999999999999</v>
      </c>
      <c r="H325">
        <v>0.20799999999999999</v>
      </c>
      <c r="I325">
        <v>0.20549999999999999</v>
      </c>
      <c r="J325">
        <v>8</v>
      </c>
      <c r="K325">
        <v>12</v>
      </c>
      <c r="L325" t="s">
        <v>58</v>
      </c>
      <c r="M325" t="s">
        <v>59</v>
      </c>
      <c r="N325" t="s">
        <v>45</v>
      </c>
      <c r="O325">
        <v>6</v>
      </c>
      <c r="P325" t="s">
        <v>7</v>
      </c>
      <c r="Q325">
        <v>14.1</v>
      </c>
      <c r="R325" t="str">
        <f t="shared" si="11"/>
        <v>II</v>
      </c>
      <c r="S325">
        <f t="shared" si="12"/>
        <v>0.28623333333333334</v>
      </c>
    </row>
    <row r="326" spans="1:19">
      <c r="A326">
        <v>1655</v>
      </c>
      <c r="B326" t="s">
        <v>75</v>
      </c>
      <c r="C326">
        <v>0.59499999999999997</v>
      </c>
      <c r="D326">
        <v>0.46</v>
      </c>
      <c r="E326">
        <v>0.15</v>
      </c>
      <c r="F326">
        <v>0.83350000000000002</v>
      </c>
      <c r="G326">
        <v>0.377</v>
      </c>
      <c r="H326">
        <v>0.1925</v>
      </c>
      <c r="I326">
        <v>0.23499999999999999</v>
      </c>
      <c r="J326">
        <v>8</v>
      </c>
      <c r="K326">
        <v>2</v>
      </c>
      <c r="L326" t="s">
        <v>49</v>
      </c>
      <c r="M326" t="s">
        <v>50</v>
      </c>
      <c r="N326" t="s">
        <v>51</v>
      </c>
      <c r="O326">
        <v>6</v>
      </c>
      <c r="P326" t="s">
        <v>7</v>
      </c>
      <c r="Q326">
        <v>14.1</v>
      </c>
      <c r="R326" t="str">
        <f t="shared" si="11"/>
        <v>II</v>
      </c>
      <c r="S326">
        <f t="shared" si="12"/>
        <v>0.3228423333333334</v>
      </c>
    </row>
    <row r="327" spans="1:19">
      <c r="A327">
        <v>193</v>
      </c>
      <c r="B327" t="s">
        <v>75</v>
      </c>
      <c r="C327">
        <v>0.57999999999999996</v>
      </c>
      <c r="D327">
        <v>0.45</v>
      </c>
      <c r="E327">
        <v>0.15</v>
      </c>
      <c r="F327">
        <v>0.92700000000000005</v>
      </c>
      <c r="G327">
        <v>0.27600000000000002</v>
      </c>
      <c r="H327">
        <v>0.18149999999999999</v>
      </c>
      <c r="I327">
        <v>0.36</v>
      </c>
      <c r="J327">
        <v>14</v>
      </c>
      <c r="K327">
        <v>8</v>
      </c>
      <c r="L327" t="s">
        <v>55</v>
      </c>
      <c r="M327" t="s">
        <v>56</v>
      </c>
      <c r="N327" t="s">
        <v>57</v>
      </c>
      <c r="O327">
        <v>5</v>
      </c>
      <c r="P327" t="s">
        <v>12</v>
      </c>
      <c r="Q327">
        <v>12.8</v>
      </c>
      <c r="R327" t="str">
        <f t="shared" si="11"/>
        <v>II</v>
      </c>
      <c r="S327">
        <f t="shared" si="12"/>
        <v>0.35596800000000001</v>
      </c>
    </row>
    <row r="328" spans="1:19">
      <c r="A328">
        <v>2430</v>
      </c>
      <c r="B328" t="s">
        <v>75</v>
      </c>
      <c r="C328">
        <v>0.34</v>
      </c>
      <c r="D328">
        <v>0.255</v>
      </c>
      <c r="E328">
        <v>9.5000000000000001E-2</v>
      </c>
      <c r="F328">
        <v>0.21299999999999999</v>
      </c>
      <c r="G328">
        <v>8.1000000000000003E-2</v>
      </c>
      <c r="H328">
        <v>3.4000000000000002E-2</v>
      </c>
      <c r="I328">
        <v>7.0000000000000007E-2</v>
      </c>
      <c r="J328">
        <v>9</v>
      </c>
      <c r="K328">
        <v>7</v>
      </c>
      <c r="L328" t="s">
        <v>62</v>
      </c>
      <c r="M328" t="s">
        <v>63</v>
      </c>
      <c r="N328" t="s">
        <v>64</v>
      </c>
      <c r="O328">
        <v>7</v>
      </c>
      <c r="P328" t="s">
        <v>6</v>
      </c>
      <c r="Q328">
        <v>2.5</v>
      </c>
      <c r="R328" t="str">
        <f t="shared" si="11"/>
        <v>II</v>
      </c>
      <c r="S328">
        <f t="shared" si="12"/>
        <v>6.7875999999999992E-2</v>
      </c>
    </row>
    <row r="329" spans="1:19">
      <c r="A329">
        <v>7</v>
      </c>
      <c r="B329" t="s">
        <v>75</v>
      </c>
      <c r="C329">
        <v>0.53</v>
      </c>
      <c r="D329">
        <v>0.41499999999999998</v>
      </c>
      <c r="E329">
        <v>0.15</v>
      </c>
      <c r="F329">
        <v>0.77749999999999997</v>
      </c>
      <c r="G329">
        <v>0.23699999999999999</v>
      </c>
      <c r="H329">
        <v>0.14149999999999999</v>
      </c>
      <c r="I329">
        <v>0.33</v>
      </c>
      <c r="J329">
        <v>20</v>
      </c>
      <c r="K329">
        <v>10</v>
      </c>
      <c r="L329" t="s">
        <v>37</v>
      </c>
      <c r="M329" t="s">
        <v>38</v>
      </c>
      <c r="N329" t="s">
        <v>39</v>
      </c>
      <c r="O329">
        <v>2</v>
      </c>
      <c r="P329" t="s">
        <v>5</v>
      </c>
      <c r="Q329">
        <v>18</v>
      </c>
      <c r="R329" t="str">
        <f t="shared" si="11"/>
        <v>II</v>
      </c>
      <c r="S329">
        <f t="shared" si="12"/>
        <v>0.28974833333333327</v>
      </c>
    </row>
    <row r="330" spans="1:19">
      <c r="A330">
        <v>1357</v>
      </c>
      <c r="B330" t="s">
        <v>75</v>
      </c>
      <c r="C330">
        <v>0.6</v>
      </c>
      <c r="D330">
        <v>0.45500000000000002</v>
      </c>
      <c r="E330">
        <v>0.14499999999999999</v>
      </c>
      <c r="F330">
        <v>0.88949999999999996</v>
      </c>
      <c r="G330">
        <v>0.41899999999999998</v>
      </c>
      <c r="H330">
        <v>0.17150000000000001</v>
      </c>
      <c r="I330">
        <v>0.26900000000000002</v>
      </c>
      <c r="J330">
        <v>10</v>
      </c>
      <c r="K330">
        <v>5</v>
      </c>
      <c r="L330" t="s">
        <v>67</v>
      </c>
      <c r="M330" t="s">
        <v>68</v>
      </c>
      <c r="N330" t="s">
        <v>69</v>
      </c>
      <c r="O330">
        <v>1</v>
      </c>
      <c r="P330" t="s">
        <v>4</v>
      </c>
      <c r="Q330">
        <v>22.1</v>
      </c>
      <c r="R330" t="str">
        <f t="shared" si="11"/>
        <v>III</v>
      </c>
      <c r="S330">
        <f t="shared" si="12"/>
        <v>0.42992499999999995</v>
      </c>
    </row>
    <row r="331" spans="1:19">
      <c r="A331">
        <v>2322</v>
      </c>
      <c r="B331" t="s">
        <v>75</v>
      </c>
      <c r="C331">
        <v>0.49</v>
      </c>
      <c r="D331">
        <v>0.39500000000000002</v>
      </c>
      <c r="E331">
        <v>0.13500000000000001</v>
      </c>
      <c r="F331">
        <v>0.55449999999999999</v>
      </c>
      <c r="G331">
        <v>0.21299999999999999</v>
      </c>
      <c r="H331">
        <v>9.2499999999999999E-2</v>
      </c>
      <c r="I331">
        <v>0.215</v>
      </c>
      <c r="J331">
        <v>14</v>
      </c>
      <c r="K331">
        <v>7</v>
      </c>
      <c r="L331" t="s">
        <v>62</v>
      </c>
      <c r="M331" t="s">
        <v>63</v>
      </c>
      <c r="N331" t="s">
        <v>64</v>
      </c>
      <c r="O331">
        <v>3</v>
      </c>
      <c r="P331" t="s">
        <v>10</v>
      </c>
      <c r="Q331">
        <v>3.6</v>
      </c>
      <c r="R331" t="str">
        <f t="shared" si="11"/>
        <v>II</v>
      </c>
      <c r="S331">
        <f t="shared" si="12"/>
        <v>0.20109866666666668</v>
      </c>
    </row>
    <row r="332" spans="1:19">
      <c r="A332">
        <v>3834</v>
      </c>
      <c r="B332" t="s">
        <v>75</v>
      </c>
      <c r="C332">
        <v>0.53500000000000003</v>
      </c>
      <c r="D332">
        <v>0.41</v>
      </c>
      <c r="E332">
        <v>0.15</v>
      </c>
      <c r="F332">
        <v>0.8105</v>
      </c>
      <c r="G332">
        <v>0.34499999999999997</v>
      </c>
      <c r="H332">
        <v>0.187</v>
      </c>
      <c r="I332">
        <v>0.24</v>
      </c>
      <c r="J332">
        <v>11</v>
      </c>
      <c r="K332">
        <v>2</v>
      </c>
      <c r="L332" t="s">
        <v>49</v>
      </c>
      <c r="M332" t="s">
        <v>50</v>
      </c>
      <c r="N332" t="s">
        <v>51</v>
      </c>
      <c r="O332">
        <v>5</v>
      </c>
      <c r="P332" t="s">
        <v>12</v>
      </c>
      <c r="Q332">
        <v>12.8</v>
      </c>
      <c r="R332" t="str">
        <f t="shared" si="11"/>
        <v>II</v>
      </c>
      <c r="S332">
        <f t="shared" si="12"/>
        <v>0.30204633333333342</v>
      </c>
    </row>
    <row r="333" spans="1:19">
      <c r="A333">
        <v>1273</v>
      </c>
      <c r="B333" t="s">
        <v>75</v>
      </c>
      <c r="C333">
        <v>0.47499999999999998</v>
      </c>
      <c r="D333">
        <v>0.35499999999999998</v>
      </c>
      <c r="E333">
        <v>0.1</v>
      </c>
      <c r="F333">
        <v>0.50349999999999995</v>
      </c>
      <c r="G333">
        <v>0.2535</v>
      </c>
      <c r="H333">
        <v>9.0999999999999998E-2</v>
      </c>
      <c r="I333">
        <v>0.14000000000000001</v>
      </c>
      <c r="J333">
        <v>8</v>
      </c>
      <c r="K333">
        <v>3</v>
      </c>
      <c r="L333" t="s">
        <v>52</v>
      </c>
      <c r="M333" t="s">
        <v>53</v>
      </c>
      <c r="N333" t="s">
        <v>54</v>
      </c>
      <c r="O333">
        <v>3</v>
      </c>
      <c r="P333" t="s">
        <v>10</v>
      </c>
      <c r="Q333">
        <v>3.6</v>
      </c>
      <c r="R333" t="str">
        <f t="shared" si="11"/>
        <v>II</v>
      </c>
      <c r="S333">
        <f t="shared" si="12"/>
        <v>0.17656066666666667</v>
      </c>
    </row>
    <row r="334" spans="1:19">
      <c r="A334">
        <v>1496</v>
      </c>
      <c r="B334" t="s">
        <v>75</v>
      </c>
      <c r="C334">
        <v>0.62</v>
      </c>
      <c r="D334">
        <v>0.435</v>
      </c>
      <c r="E334">
        <v>0.155</v>
      </c>
      <c r="F334">
        <v>1.012</v>
      </c>
      <c r="G334">
        <v>0.47699999999999998</v>
      </c>
      <c r="H334">
        <v>0.23599999999999999</v>
      </c>
      <c r="I334">
        <v>0.27500000000000002</v>
      </c>
      <c r="J334">
        <v>8</v>
      </c>
      <c r="K334">
        <v>8</v>
      </c>
      <c r="L334" t="s">
        <v>55</v>
      </c>
      <c r="M334" t="s">
        <v>56</v>
      </c>
      <c r="N334" t="s">
        <v>57</v>
      </c>
      <c r="O334">
        <v>8</v>
      </c>
      <c r="P334" t="s">
        <v>13</v>
      </c>
      <c r="Q334">
        <v>12.3</v>
      </c>
      <c r="R334" t="str">
        <f t="shared" si="11"/>
        <v>III</v>
      </c>
      <c r="S334">
        <f t="shared" si="12"/>
        <v>0.49082000000000003</v>
      </c>
    </row>
    <row r="335" spans="1:19">
      <c r="A335">
        <v>2238</v>
      </c>
      <c r="B335" t="s">
        <v>75</v>
      </c>
      <c r="C335">
        <v>0.58499999999999996</v>
      </c>
      <c r="D335">
        <v>0.46500000000000002</v>
      </c>
      <c r="E335">
        <v>0.19</v>
      </c>
      <c r="F335">
        <v>1.171</v>
      </c>
      <c r="G335">
        <v>0.39050000000000001</v>
      </c>
      <c r="H335">
        <v>0.23549999999999999</v>
      </c>
      <c r="I335">
        <v>0.4</v>
      </c>
      <c r="J335">
        <v>17</v>
      </c>
      <c r="K335">
        <v>15</v>
      </c>
      <c r="L335" t="s">
        <v>60</v>
      </c>
      <c r="M335" t="s">
        <v>61</v>
      </c>
      <c r="N335" t="s">
        <v>45</v>
      </c>
      <c r="O335">
        <v>2</v>
      </c>
      <c r="P335" t="s">
        <v>5</v>
      </c>
      <c r="Q335">
        <v>18</v>
      </c>
      <c r="R335" t="str">
        <f t="shared" si="11"/>
        <v>III</v>
      </c>
      <c r="S335">
        <f t="shared" si="12"/>
        <v>0.57379000000000002</v>
      </c>
    </row>
    <row r="336" spans="1:19">
      <c r="A336">
        <v>4114</v>
      </c>
      <c r="B336" t="s">
        <v>75</v>
      </c>
      <c r="C336">
        <v>0.56000000000000005</v>
      </c>
      <c r="D336">
        <v>0.42</v>
      </c>
      <c r="E336">
        <v>0.14000000000000001</v>
      </c>
      <c r="F336">
        <v>0.83699999999999997</v>
      </c>
      <c r="G336">
        <v>0.41399999999999998</v>
      </c>
      <c r="H336">
        <v>0.214</v>
      </c>
      <c r="I336">
        <v>0.2</v>
      </c>
      <c r="J336">
        <v>8</v>
      </c>
      <c r="K336">
        <v>14</v>
      </c>
      <c r="L336" t="s">
        <v>72</v>
      </c>
      <c r="M336" t="s">
        <v>73</v>
      </c>
      <c r="N336" t="s">
        <v>74</v>
      </c>
      <c r="O336">
        <v>5</v>
      </c>
      <c r="P336" t="s">
        <v>12</v>
      </c>
      <c r="Q336">
        <v>12.8</v>
      </c>
      <c r="R336" t="str">
        <f t="shared" si="11"/>
        <v>III</v>
      </c>
      <c r="S336">
        <f t="shared" si="12"/>
        <v>0.39338999999999996</v>
      </c>
    </row>
    <row r="337" spans="1:19">
      <c r="A337">
        <v>3169</v>
      </c>
      <c r="B337" t="s">
        <v>75</v>
      </c>
      <c r="C337">
        <v>0.60499999999999998</v>
      </c>
      <c r="D337">
        <v>0.47</v>
      </c>
      <c r="E337">
        <v>0.115</v>
      </c>
      <c r="F337">
        <v>1.1140000000000001</v>
      </c>
      <c r="G337">
        <v>0.39250000000000002</v>
      </c>
      <c r="H337">
        <v>0.29099999999999998</v>
      </c>
      <c r="I337">
        <v>0.31</v>
      </c>
      <c r="J337">
        <v>15</v>
      </c>
      <c r="K337">
        <v>13</v>
      </c>
      <c r="L337" t="s">
        <v>43</v>
      </c>
      <c r="M337" t="s">
        <v>44</v>
      </c>
      <c r="N337" t="s">
        <v>45</v>
      </c>
      <c r="O337">
        <v>10</v>
      </c>
      <c r="P337" t="s">
        <v>11</v>
      </c>
      <c r="Q337">
        <v>24.1</v>
      </c>
      <c r="R337" t="str">
        <f t="shared" si="11"/>
        <v>II</v>
      </c>
      <c r="S337">
        <f t="shared" si="12"/>
        <v>0.42926133333333327</v>
      </c>
    </row>
    <row r="338" spans="1:19">
      <c r="A338">
        <v>1336</v>
      </c>
      <c r="B338" t="s">
        <v>75</v>
      </c>
      <c r="C338">
        <v>0.57499999999999996</v>
      </c>
      <c r="D338">
        <v>0.48</v>
      </c>
      <c r="E338">
        <v>0.16500000000000001</v>
      </c>
      <c r="F338">
        <v>1.0780000000000001</v>
      </c>
      <c r="G338">
        <v>0.51100000000000001</v>
      </c>
      <c r="H338">
        <v>0.20949999999999999</v>
      </c>
      <c r="I338">
        <v>0.30599999999999999</v>
      </c>
      <c r="J338">
        <v>9</v>
      </c>
      <c r="K338">
        <v>7</v>
      </c>
      <c r="L338" t="s">
        <v>62</v>
      </c>
      <c r="M338" t="s">
        <v>63</v>
      </c>
      <c r="N338" t="s">
        <v>64</v>
      </c>
      <c r="O338">
        <v>3</v>
      </c>
      <c r="P338" t="s">
        <v>10</v>
      </c>
      <c r="Q338">
        <v>3.6</v>
      </c>
      <c r="R338" t="str">
        <f t="shared" si="11"/>
        <v>I</v>
      </c>
      <c r="S338">
        <f t="shared" si="12"/>
        <v>0.78693999999999986</v>
      </c>
    </row>
    <row r="339" spans="1:19">
      <c r="A339">
        <v>3258</v>
      </c>
      <c r="B339" t="s">
        <v>75</v>
      </c>
      <c r="C339">
        <v>0.505</v>
      </c>
      <c r="D339">
        <v>0.38500000000000001</v>
      </c>
      <c r="E339">
        <v>0.11</v>
      </c>
      <c r="F339">
        <v>0.65500000000000003</v>
      </c>
      <c r="G339">
        <v>0.31850000000000001</v>
      </c>
      <c r="H339">
        <v>0.15</v>
      </c>
      <c r="I339">
        <v>0.185</v>
      </c>
      <c r="J339">
        <v>9</v>
      </c>
      <c r="K339">
        <v>4</v>
      </c>
      <c r="L339" t="s">
        <v>40</v>
      </c>
      <c r="M339" t="s">
        <v>41</v>
      </c>
      <c r="N339" t="s">
        <v>42</v>
      </c>
      <c r="O339">
        <v>8</v>
      </c>
      <c r="P339" t="s">
        <v>13</v>
      </c>
      <c r="Q339">
        <v>12.3</v>
      </c>
      <c r="R339" t="str">
        <f t="shared" si="11"/>
        <v>II</v>
      </c>
      <c r="S339">
        <f t="shared" si="12"/>
        <v>0.23580000000000001</v>
      </c>
    </row>
    <row r="340" spans="1:19">
      <c r="A340">
        <v>3452</v>
      </c>
      <c r="B340" t="s">
        <v>75</v>
      </c>
      <c r="C340">
        <v>0.55000000000000004</v>
      </c>
      <c r="D340">
        <v>0.44</v>
      </c>
      <c r="E340">
        <v>0.155</v>
      </c>
      <c r="F340">
        <v>0.91549999999999998</v>
      </c>
      <c r="G340">
        <v>0.36449999999999999</v>
      </c>
      <c r="H340">
        <v>0.19500000000000001</v>
      </c>
      <c r="I340">
        <v>0.25</v>
      </c>
      <c r="J340">
        <v>8</v>
      </c>
      <c r="K340">
        <v>5</v>
      </c>
      <c r="L340" t="s">
        <v>67</v>
      </c>
      <c r="M340" t="s">
        <v>68</v>
      </c>
      <c r="N340" t="s">
        <v>69</v>
      </c>
      <c r="O340">
        <v>5</v>
      </c>
      <c r="P340" t="s">
        <v>12</v>
      </c>
      <c r="Q340">
        <v>12.8</v>
      </c>
      <c r="R340" t="str">
        <f t="shared" si="11"/>
        <v>II</v>
      </c>
      <c r="S340">
        <f t="shared" si="12"/>
        <v>0.34727966666666665</v>
      </c>
    </row>
    <row r="341" spans="1:19">
      <c r="A341">
        <v>993</v>
      </c>
      <c r="B341" t="s">
        <v>75</v>
      </c>
      <c r="C341">
        <v>0.57999999999999996</v>
      </c>
      <c r="D341">
        <v>0.46</v>
      </c>
      <c r="E341">
        <v>0.18</v>
      </c>
      <c r="F341">
        <v>1.0515000000000001</v>
      </c>
      <c r="G341">
        <v>0.40949999999999998</v>
      </c>
      <c r="H341">
        <v>0.25950000000000001</v>
      </c>
      <c r="I341">
        <v>0.27600000000000002</v>
      </c>
      <c r="J341">
        <v>8</v>
      </c>
      <c r="K341">
        <v>6</v>
      </c>
      <c r="L341" t="s">
        <v>46</v>
      </c>
      <c r="M341" t="s">
        <v>47</v>
      </c>
      <c r="N341" t="s">
        <v>48</v>
      </c>
      <c r="O341">
        <v>2</v>
      </c>
      <c r="P341" t="s">
        <v>5</v>
      </c>
      <c r="Q341">
        <v>18</v>
      </c>
      <c r="R341" t="str">
        <f t="shared" si="11"/>
        <v>III</v>
      </c>
      <c r="S341">
        <f t="shared" si="12"/>
        <v>0.51173000000000002</v>
      </c>
    </row>
    <row r="342" spans="1:19">
      <c r="A342">
        <v>3537</v>
      </c>
      <c r="B342" t="s">
        <v>75</v>
      </c>
      <c r="C342">
        <v>0.42499999999999999</v>
      </c>
      <c r="D342">
        <v>0.32500000000000001</v>
      </c>
      <c r="E342">
        <v>0.11</v>
      </c>
      <c r="F342">
        <v>0.40500000000000003</v>
      </c>
      <c r="G342">
        <v>0.16950000000000001</v>
      </c>
      <c r="H342">
        <v>9.1999999999999998E-2</v>
      </c>
      <c r="I342">
        <v>0.1065</v>
      </c>
      <c r="J342">
        <v>8</v>
      </c>
      <c r="K342">
        <v>7</v>
      </c>
      <c r="L342" t="s">
        <v>62</v>
      </c>
      <c r="M342" t="s">
        <v>63</v>
      </c>
      <c r="N342" t="s">
        <v>64</v>
      </c>
      <c r="O342">
        <v>3</v>
      </c>
      <c r="P342" t="s">
        <v>10</v>
      </c>
      <c r="Q342">
        <v>3.6</v>
      </c>
      <c r="R342" t="str">
        <f t="shared" si="11"/>
        <v>II</v>
      </c>
      <c r="S342">
        <f t="shared" si="12"/>
        <v>0.13824</v>
      </c>
    </row>
    <row r="343" spans="1:19">
      <c r="A343">
        <v>4074</v>
      </c>
      <c r="B343" t="s">
        <v>75</v>
      </c>
      <c r="C343">
        <v>0.51500000000000001</v>
      </c>
      <c r="D343">
        <v>0.39500000000000002</v>
      </c>
      <c r="E343">
        <v>0.125</v>
      </c>
      <c r="F343">
        <v>0.58050000000000002</v>
      </c>
      <c r="G343">
        <v>0.23649999999999999</v>
      </c>
      <c r="H343">
        <v>0.1075</v>
      </c>
      <c r="I343">
        <v>0.19</v>
      </c>
      <c r="J343">
        <v>9</v>
      </c>
      <c r="K343">
        <v>11</v>
      </c>
      <c r="L343" t="s">
        <v>65</v>
      </c>
      <c r="M343" t="s">
        <v>66</v>
      </c>
      <c r="N343" t="s">
        <v>45</v>
      </c>
      <c r="O343">
        <v>1</v>
      </c>
      <c r="P343" t="s">
        <v>4</v>
      </c>
      <c r="Q343">
        <v>22.1</v>
      </c>
      <c r="R343" t="str">
        <f t="shared" si="11"/>
        <v>II</v>
      </c>
      <c r="S343">
        <f t="shared" si="12"/>
        <v>0.21168899999999999</v>
      </c>
    </row>
    <row r="344" spans="1:19">
      <c r="A344">
        <v>2168</v>
      </c>
      <c r="B344" t="s">
        <v>75</v>
      </c>
      <c r="C344">
        <v>0.37</v>
      </c>
      <c r="D344">
        <v>0.27500000000000002</v>
      </c>
      <c r="E344">
        <v>8.5000000000000006E-2</v>
      </c>
      <c r="F344">
        <v>0.24049999999999999</v>
      </c>
      <c r="G344">
        <v>0.104</v>
      </c>
      <c r="H344">
        <v>5.3499999999999999E-2</v>
      </c>
      <c r="I344">
        <v>7.0000000000000007E-2</v>
      </c>
      <c r="J344">
        <v>5</v>
      </c>
      <c r="K344">
        <v>2</v>
      </c>
      <c r="L344" t="s">
        <v>49</v>
      </c>
      <c r="M344" t="s">
        <v>50</v>
      </c>
      <c r="N344" t="s">
        <v>51</v>
      </c>
      <c r="O344">
        <v>5</v>
      </c>
      <c r="P344" t="s">
        <v>12</v>
      </c>
      <c r="Q344">
        <v>12.8</v>
      </c>
      <c r="R344" t="str">
        <f t="shared" si="11"/>
        <v>II</v>
      </c>
      <c r="S344">
        <f t="shared" si="12"/>
        <v>7.7922000000000005E-2</v>
      </c>
    </row>
    <row r="345" spans="1:19">
      <c r="A345">
        <v>627</v>
      </c>
      <c r="B345" t="s">
        <v>75</v>
      </c>
      <c r="C345">
        <v>0.42499999999999999</v>
      </c>
      <c r="D345">
        <v>0.33500000000000002</v>
      </c>
      <c r="E345">
        <v>9.5000000000000001E-2</v>
      </c>
      <c r="F345">
        <v>0.32200000000000001</v>
      </c>
      <c r="G345">
        <v>0.1205</v>
      </c>
      <c r="H345">
        <v>6.0999999999999999E-2</v>
      </c>
      <c r="I345">
        <v>0.125</v>
      </c>
      <c r="J345">
        <v>10</v>
      </c>
      <c r="K345">
        <v>8</v>
      </c>
      <c r="L345" t="s">
        <v>55</v>
      </c>
      <c r="M345" t="s">
        <v>56</v>
      </c>
      <c r="N345" t="s">
        <v>57</v>
      </c>
      <c r="O345">
        <v>6</v>
      </c>
      <c r="P345" t="s">
        <v>7</v>
      </c>
      <c r="Q345">
        <v>14.1</v>
      </c>
      <c r="R345" t="str">
        <f t="shared" si="11"/>
        <v>II</v>
      </c>
      <c r="S345">
        <f t="shared" si="12"/>
        <v>0.10969466666666668</v>
      </c>
    </row>
    <row r="346" spans="1:19">
      <c r="A346">
        <v>1494</v>
      </c>
      <c r="B346" t="s">
        <v>75</v>
      </c>
      <c r="C346">
        <v>0.61499999999999999</v>
      </c>
      <c r="D346">
        <v>0.47499999999999998</v>
      </c>
      <c r="E346">
        <v>0.13</v>
      </c>
      <c r="F346">
        <v>0.84250000000000003</v>
      </c>
      <c r="G346">
        <v>0.35299999999999998</v>
      </c>
      <c r="H346">
        <v>0.1915</v>
      </c>
      <c r="I346">
        <v>0.251</v>
      </c>
      <c r="J346">
        <v>8</v>
      </c>
      <c r="K346">
        <v>3</v>
      </c>
      <c r="L346" t="s">
        <v>52</v>
      </c>
      <c r="M346" t="s">
        <v>53</v>
      </c>
      <c r="N346" t="s">
        <v>54</v>
      </c>
      <c r="O346">
        <v>1</v>
      </c>
      <c r="P346" t="s">
        <v>4</v>
      </c>
      <c r="Q346">
        <v>22.1</v>
      </c>
      <c r="R346" t="str">
        <f t="shared" si="11"/>
        <v>II</v>
      </c>
      <c r="S346">
        <f t="shared" si="12"/>
        <v>0.32801333333333332</v>
      </c>
    </row>
    <row r="347" spans="1:19">
      <c r="A347">
        <v>1375</v>
      </c>
      <c r="B347" t="s">
        <v>75</v>
      </c>
      <c r="C347">
        <v>0.61499999999999999</v>
      </c>
      <c r="D347">
        <v>0.48</v>
      </c>
      <c r="E347">
        <v>0.17499999999999999</v>
      </c>
      <c r="F347">
        <v>1.1180000000000001</v>
      </c>
      <c r="G347">
        <v>0.44600000000000001</v>
      </c>
      <c r="H347">
        <v>0.31950000000000001</v>
      </c>
      <c r="I347">
        <v>0.3</v>
      </c>
      <c r="J347">
        <v>9</v>
      </c>
      <c r="K347">
        <v>5</v>
      </c>
      <c r="L347" t="s">
        <v>67</v>
      </c>
      <c r="M347" t="s">
        <v>68</v>
      </c>
      <c r="N347" t="s">
        <v>69</v>
      </c>
      <c r="O347">
        <v>6</v>
      </c>
      <c r="P347" t="s">
        <v>7</v>
      </c>
      <c r="Q347">
        <v>14.1</v>
      </c>
      <c r="R347" t="str">
        <f t="shared" si="11"/>
        <v>III</v>
      </c>
      <c r="S347">
        <f t="shared" si="12"/>
        <v>0.55341000000000007</v>
      </c>
    </row>
    <row r="348" spans="1:19">
      <c r="A348">
        <v>3846</v>
      </c>
      <c r="B348" t="s">
        <v>75</v>
      </c>
      <c r="C348">
        <v>0.45500000000000002</v>
      </c>
      <c r="D348">
        <v>0.35</v>
      </c>
      <c r="E348">
        <v>0.105</v>
      </c>
      <c r="F348">
        <v>0.41599999999999998</v>
      </c>
      <c r="G348">
        <v>0.16250000000000001</v>
      </c>
      <c r="H348">
        <v>9.7000000000000003E-2</v>
      </c>
      <c r="I348">
        <v>0.14499999999999999</v>
      </c>
      <c r="J348">
        <v>11</v>
      </c>
      <c r="K348">
        <v>13</v>
      </c>
      <c r="L348" t="s">
        <v>43</v>
      </c>
      <c r="M348" t="s">
        <v>44</v>
      </c>
      <c r="N348" t="s">
        <v>45</v>
      </c>
      <c r="O348">
        <v>6</v>
      </c>
      <c r="P348" t="s">
        <v>7</v>
      </c>
      <c r="Q348">
        <v>14.1</v>
      </c>
      <c r="R348" t="str">
        <f t="shared" si="11"/>
        <v>II</v>
      </c>
      <c r="S348">
        <f t="shared" si="12"/>
        <v>0.14476799999999998</v>
      </c>
    </row>
    <row r="349" spans="1:19">
      <c r="A349">
        <v>3256</v>
      </c>
      <c r="B349" t="s">
        <v>75</v>
      </c>
      <c r="C349">
        <v>0.3</v>
      </c>
      <c r="D349">
        <v>0.23</v>
      </c>
      <c r="E349">
        <v>7.4999999999999997E-2</v>
      </c>
      <c r="F349">
        <v>0.15</v>
      </c>
      <c r="G349">
        <v>6.0499999999999998E-2</v>
      </c>
      <c r="H349">
        <v>4.2000000000000003E-2</v>
      </c>
      <c r="I349">
        <v>4.4999999999999998E-2</v>
      </c>
      <c r="J349">
        <v>5</v>
      </c>
      <c r="K349">
        <v>15</v>
      </c>
      <c r="L349" t="s">
        <v>60</v>
      </c>
      <c r="M349" t="s">
        <v>61</v>
      </c>
      <c r="N349" t="s">
        <v>45</v>
      </c>
      <c r="O349">
        <v>7</v>
      </c>
      <c r="P349" t="s">
        <v>6</v>
      </c>
      <c r="Q349">
        <v>2.5</v>
      </c>
      <c r="R349" t="str">
        <f t="shared" si="11"/>
        <v>II</v>
      </c>
      <c r="S349">
        <f t="shared" si="12"/>
        <v>4.6100000000000002E-2</v>
      </c>
    </row>
    <row r="350" spans="1:19">
      <c r="A350">
        <v>653</v>
      </c>
      <c r="B350" t="s">
        <v>75</v>
      </c>
      <c r="C350">
        <v>0.47</v>
      </c>
      <c r="D350">
        <v>0.35</v>
      </c>
      <c r="E350">
        <v>0.13</v>
      </c>
      <c r="F350">
        <v>0.46600000000000003</v>
      </c>
      <c r="G350">
        <v>0.1845</v>
      </c>
      <c r="H350">
        <v>9.9000000000000005E-2</v>
      </c>
      <c r="I350">
        <v>0.14499999999999999</v>
      </c>
      <c r="J350">
        <v>11</v>
      </c>
      <c r="K350">
        <v>5</v>
      </c>
      <c r="L350" t="s">
        <v>67</v>
      </c>
      <c r="M350" t="s">
        <v>68</v>
      </c>
      <c r="N350" t="s">
        <v>69</v>
      </c>
      <c r="O350">
        <v>4</v>
      </c>
      <c r="P350" t="s">
        <v>8</v>
      </c>
      <c r="Q350">
        <v>6.1</v>
      </c>
      <c r="R350" t="str">
        <f t="shared" si="11"/>
        <v>II</v>
      </c>
      <c r="S350">
        <f t="shared" si="12"/>
        <v>0.16465333333333335</v>
      </c>
    </row>
    <row r="351" spans="1:19">
      <c r="A351">
        <v>1340</v>
      </c>
      <c r="B351" t="s">
        <v>75</v>
      </c>
      <c r="C351">
        <v>0.57999999999999996</v>
      </c>
      <c r="D351">
        <v>0.44500000000000001</v>
      </c>
      <c r="E351">
        <v>0.15</v>
      </c>
      <c r="F351">
        <v>0.85799999999999998</v>
      </c>
      <c r="G351">
        <v>0.4</v>
      </c>
      <c r="H351">
        <v>0.156</v>
      </c>
      <c r="I351">
        <v>0.253</v>
      </c>
      <c r="J351">
        <v>8</v>
      </c>
      <c r="K351">
        <v>13</v>
      </c>
      <c r="L351" t="s">
        <v>43</v>
      </c>
      <c r="M351" t="s">
        <v>44</v>
      </c>
      <c r="N351" t="s">
        <v>45</v>
      </c>
      <c r="O351">
        <v>7</v>
      </c>
      <c r="P351" t="s">
        <v>6</v>
      </c>
      <c r="Q351">
        <v>2.5</v>
      </c>
      <c r="R351" t="str">
        <f t="shared" si="11"/>
        <v>III</v>
      </c>
      <c r="S351">
        <f t="shared" si="12"/>
        <v>0.41112499999999991</v>
      </c>
    </row>
    <row r="352" spans="1:19">
      <c r="A352">
        <v>462</v>
      </c>
      <c r="B352" t="s">
        <v>75</v>
      </c>
      <c r="C352">
        <v>0.58499999999999996</v>
      </c>
      <c r="D352">
        <v>0.46500000000000002</v>
      </c>
      <c r="E352">
        <v>0.17</v>
      </c>
      <c r="F352">
        <v>0.99150000000000005</v>
      </c>
      <c r="G352">
        <v>0.38650000000000001</v>
      </c>
      <c r="H352">
        <v>0.224</v>
      </c>
      <c r="I352">
        <v>0.26500000000000001</v>
      </c>
      <c r="J352">
        <v>12</v>
      </c>
      <c r="K352">
        <v>9</v>
      </c>
      <c r="L352" t="s">
        <v>34</v>
      </c>
      <c r="M352" t="s">
        <v>35</v>
      </c>
      <c r="N352" t="s">
        <v>36</v>
      </c>
      <c r="O352">
        <v>10</v>
      </c>
      <c r="P352" t="s">
        <v>11</v>
      </c>
      <c r="Q352">
        <v>24.1</v>
      </c>
      <c r="R352" t="str">
        <f t="shared" si="11"/>
        <v>II</v>
      </c>
      <c r="S352">
        <f t="shared" si="12"/>
        <v>0.38602400000000009</v>
      </c>
    </row>
    <row r="353" spans="1:19">
      <c r="A353">
        <v>1554</v>
      </c>
      <c r="B353" t="s">
        <v>75</v>
      </c>
      <c r="C353">
        <v>0.39</v>
      </c>
      <c r="D353">
        <v>0.28999999999999998</v>
      </c>
      <c r="E353">
        <v>0.1</v>
      </c>
      <c r="F353">
        <v>0.2225</v>
      </c>
      <c r="G353">
        <v>9.5000000000000001E-2</v>
      </c>
      <c r="H353">
        <v>4.65E-2</v>
      </c>
      <c r="I353">
        <v>7.2999999999999995E-2</v>
      </c>
      <c r="J353">
        <v>7</v>
      </c>
      <c r="K353">
        <v>8</v>
      </c>
      <c r="L353" t="s">
        <v>55</v>
      </c>
      <c r="M353" t="s">
        <v>56</v>
      </c>
      <c r="N353" t="s">
        <v>57</v>
      </c>
      <c r="O353">
        <v>7</v>
      </c>
      <c r="P353" t="s">
        <v>6</v>
      </c>
      <c r="Q353">
        <v>2.5</v>
      </c>
      <c r="R353" t="str">
        <f t="shared" si="11"/>
        <v>II</v>
      </c>
      <c r="S353">
        <f t="shared" si="12"/>
        <v>7.3573333333333352E-2</v>
      </c>
    </row>
    <row r="354" spans="1:19">
      <c r="A354">
        <v>2050</v>
      </c>
      <c r="B354" t="s">
        <v>75</v>
      </c>
      <c r="C354">
        <v>0.44500000000000001</v>
      </c>
      <c r="D354">
        <v>0.32</v>
      </c>
      <c r="E354">
        <v>0.12</v>
      </c>
      <c r="F354">
        <v>0.378</v>
      </c>
      <c r="G354">
        <v>0.152</v>
      </c>
      <c r="H354">
        <v>8.2500000000000004E-2</v>
      </c>
      <c r="I354">
        <v>0.12</v>
      </c>
      <c r="J354">
        <v>8</v>
      </c>
      <c r="K354">
        <v>8</v>
      </c>
      <c r="L354" t="s">
        <v>55</v>
      </c>
      <c r="M354" t="s">
        <v>56</v>
      </c>
      <c r="N354" t="s">
        <v>57</v>
      </c>
      <c r="O354">
        <v>5</v>
      </c>
      <c r="P354" t="s">
        <v>12</v>
      </c>
      <c r="Q354">
        <v>12.8</v>
      </c>
      <c r="R354" t="str">
        <f t="shared" si="11"/>
        <v>II</v>
      </c>
      <c r="S354">
        <f t="shared" si="12"/>
        <v>0.13028400000000001</v>
      </c>
    </row>
    <row r="355" spans="1:19">
      <c r="A355">
        <v>2772</v>
      </c>
      <c r="B355" t="s">
        <v>75</v>
      </c>
      <c r="C355">
        <v>0.57499999999999996</v>
      </c>
      <c r="D355">
        <v>0.435</v>
      </c>
      <c r="E355">
        <v>0.155</v>
      </c>
      <c r="F355">
        <v>0.89749999999999996</v>
      </c>
      <c r="G355">
        <v>0.41149999999999998</v>
      </c>
      <c r="H355">
        <v>0.23250000000000001</v>
      </c>
      <c r="I355">
        <v>0.23</v>
      </c>
      <c r="J355">
        <v>9</v>
      </c>
      <c r="K355">
        <v>2</v>
      </c>
      <c r="L355" t="s">
        <v>49</v>
      </c>
      <c r="M355" t="s">
        <v>50</v>
      </c>
      <c r="N355" t="s">
        <v>51</v>
      </c>
      <c r="O355">
        <v>2</v>
      </c>
      <c r="P355" t="s">
        <v>5</v>
      </c>
      <c r="Q355">
        <v>18</v>
      </c>
      <c r="R355" t="str">
        <f t="shared" si="11"/>
        <v>III</v>
      </c>
      <c r="S355">
        <f t="shared" si="12"/>
        <v>0.42855624999999997</v>
      </c>
    </row>
    <row r="356" spans="1:19">
      <c r="A356">
        <v>2829</v>
      </c>
      <c r="B356" t="s">
        <v>75</v>
      </c>
      <c r="C356">
        <v>0.52</v>
      </c>
      <c r="D356">
        <v>0.4</v>
      </c>
      <c r="E356">
        <v>0.105</v>
      </c>
      <c r="F356">
        <v>0.872</v>
      </c>
      <c r="G356">
        <v>0.45150000000000001</v>
      </c>
      <c r="H356">
        <v>0.1615</v>
      </c>
      <c r="I356">
        <v>0.19850000000000001</v>
      </c>
      <c r="J356">
        <v>9</v>
      </c>
      <c r="K356">
        <v>6</v>
      </c>
      <c r="L356" t="s">
        <v>46</v>
      </c>
      <c r="M356" t="s">
        <v>47</v>
      </c>
      <c r="N356" t="s">
        <v>48</v>
      </c>
      <c r="O356">
        <v>10</v>
      </c>
      <c r="P356" t="s">
        <v>11</v>
      </c>
      <c r="Q356">
        <v>24.1</v>
      </c>
      <c r="R356" t="str">
        <f t="shared" si="11"/>
        <v>III</v>
      </c>
      <c r="S356">
        <f t="shared" si="12"/>
        <v>0.39603333333333329</v>
      </c>
    </row>
    <row r="357" spans="1:19">
      <c r="A357">
        <v>603</v>
      </c>
      <c r="B357" t="s">
        <v>75</v>
      </c>
      <c r="C357">
        <v>0.39</v>
      </c>
      <c r="D357">
        <v>0.3</v>
      </c>
      <c r="E357">
        <v>0.1</v>
      </c>
      <c r="F357">
        <v>0.26500000000000001</v>
      </c>
      <c r="G357">
        <v>0.1075</v>
      </c>
      <c r="H357">
        <v>0.06</v>
      </c>
      <c r="I357">
        <v>8.6499999999999994E-2</v>
      </c>
      <c r="J357">
        <v>13</v>
      </c>
      <c r="K357">
        <v>3</v>
      </c>
      <c r="L357" t="s">
        <v>52</v>
      </c>
      <c r="M357" t="s">
        <v>53</v>
      </c>
      <c r="N357" t="s">
        <v>54</v>
      </c>
      <c r="O357">
        <v>5</v>
      </c>
      <c r="P357" t="s">
        <v>12</v>
      </c>
      <c r="Q357">
        <v>12.8</v>
      </c>
      <c r="R357" t="str">
        <f t="shared" si="11"/>
        <v>II</v>
      </c>
      <c r="S357">
        <f t="shared" si="12"/>
        <v>8.7980000000000017E-2</v>
      </c>
    </row>
    <row r="358" spans="1:19">
      <c r="A358">
        <v>3493</v>
      </c>
      <c r="B358" t="s">
        <v>75</v>
      </c>
      <c r="C358">
        <v>0.55500000000000005</v>
      </c>
      <c r="D358">
        <v>0.44</v>
      </c>
      <c r="E358">
        <v>0.14499999999999999</v>
      </c>
      <c r="F358">
        <v>0.85</v>
      </c>
      <c r="G358">
        <v>0.41649999999999998</v>
      </c>
      <c r="H358">
        <v>0.16850000000000001</v>
      </c>
      <c r="I358">
        <v>0.23</v>
      </c>
      <c r="J358">
        <v>8</v>
      </c>
      <c r="K358">
        <v>4</v>
      </c>
      <c r="L358" t="s">
        <v>40</v>
      </c>
      <c r="M358" t="s">
        <v>41</v>
      </c>
      <c r="N358" t="s">
        <v>42</v>
      </c>
      <c r="O358">
        <v>9</v>
      </c>
      <c r="P358" t="s">
        <v>9</v>
      </c>
      <c r="Q358">
        <v>1.9</v>
      </c>
      <c r="R358" t="str">
        <f t="shared" si="11"/>
        <v>III</v>
      </c>
      <c r="S358">
        <f t="shared" si="12"/>
        <v>0.40233333333333338</v>
      </c>
    </row>
    <row r="359" spans="1:19">
      <c r="A359">
        <v>2357</v>
      </c>
      <c r="B359" t="s">
        <v>75</v>
      </c>
      <c r="C359">
        <v>0.57499999999999996</v>
      </c>
      <c r="D359">
        <v>0.47</v>
      </c>
      <c r="E359">
        <v>0.15</v>
      </c>
      <c r="F359">
        <v>1.1415</v>
      </c>
      <c r="G359">
        <v>0.45150000000000001</v>
      </c>
      <c r="H359">
        <v>0.20399999999999999</v>
      </c>
      <c r="I359">
        <v>0.4</v>
      </c>
      <c r="J359">
        <v>13</v>
      </c>
      <c r="K359">
        <v>1</v>
      </c>
      <c r="L359" t="s">
        <v>70</v>
      </c>
      <c r="M359" t="s">
        <v>71</v>
      </c>
      <c r="N359" t="s">
        <v>45</v>
      </c>
      <c r="O359">
        <v>8</v>
      </c>
      <c r="P359" t="s">
        <v>13</v>
      </c>
      <c r="Q359">
        <v>12.3</v>
      </c>
      <c r="R359" t="str">
        <f t="shared" si="11"/>
        <v>III</v>
      </c>
      <c r="S359">
        <f t="shared" si="12"/>
        <v>0.55077374999999995</v>
      </c>
    </row>
    <row r="360" spans="1:19">
      <c r="A360">
        <v>1220</v>
      </c>
      <c r="B360" t="s">
        <v>75</v>
      </c>
      <c r="C360">
        <v>0.32500000000000001</v>
      </c>
      <c r="D360">
        <v>0.22500000000000001</v>
      </c>
      <c r="E360">
        <v>7.4999999999999997E-2</v>
      </c>
      <c r="F360">
        <v>0.13900000000000001</v>
      </c>
      <c r="G360">
        <v>5.6500000000000002E-2</v>
      </c>
      <c r="H360">
        <v>3.2000000000000001E-2</v>
      </c>
      <c r="I360">
        <v>0.09</v>
      </c>
      <c r="J360">
        <v>6</v>
      </c>
      <c r="K360">
        <v>15</v>
      </c>
      <c r="L360" t="s">
        <v>60</v>
      </c>
      <c r="M360" t="s">
        <v>61</v>
      </c>
      <c r="N360" t="s">
        <v>45</v>
      </c>
      <c r="O360">
        <v>10</v>
      </c>
      <c r="P360" t="s">
        <v>11</v>
      </c>
      <c r="Q360">
        <v>24.1</v>
      </c>
      <c r="R360" t="str">
        <f t="shared" si="11"/>
        <v>II</v>
      </c>
      <c r="S360">
        <f t="shared" si="12"/>
        <v>4.3090000000000003E-2</v>
      </c>
    </row>
    <row r="361" spans="1:19">
      <c r="A361">
        <v>936</v>
      </c>
      <c r="B361" t="s">
        <v>75</v>
      </c>
      <c r="C361">
        <v>0.45</v>
      </c>
      <c r="D361">
        <v>0.34499999999999997</v>
      </c>
      <c r="E361">
        <v>0.11</v>
      </c>
      <c r="F361">
        <v>0.47</v>
      </c>
      <c r="G361">
        <v>0.23549999999999999</v>
      </c>
      <c r="H361">
        <v>8.5500000000000007E-2</v>
      </c>
      <c r="I361">
        <v>0.1135</v>
      </c>
      <c r="J361">
        <v>7</v>
      </c>
      <c r="K361">
        <v>5</v>
      </c>
      <c r="L361" t="s">
        <v>67</v>
      </c>
      <c r="M361" t="s">
        <v>68</v>
      </c>
      <c r="N361" t="s">
        <v>69</v>
      </c>
      <c r="O361">
        <v>2</v>
      </c>
      <c r="P361" t="s">
        <v>5</v>
      </c>
      <c r="Q361">
        <v>18</v>
      </c>
      <c r="R361" t="str">
        <f t="shared" si="11"/>
        <v>II</v>
      </c>
      <c r="S361">
        <f t="shared" si="12"/>
        <v>0.16324666666666668</v>
      </c>
    </row>
    <row r="362" spans="1:19">
      <c r="A362">
        <v>937</v>
      </c>
      <c r="B362" t="s">
        <v>75</v>
      </c>
      <c r="C362">
        <v>0.45</v>
      </c>
      <c r="D362">
        <v>0.33500000000000002</v>
      </c>
      <c r="E362">
        <v>0.105</v>
      </c>
      <c r="F362">
        <v>0.44700000000000001</v>
      </c>
      <c r="G362">
        <v>0.23350000000000001</v>
      </c>
      <c r="H362">
        <v>0.153</v>
      </c>
      <c r="I362">
        <v>0.11899999999999999</v>
      </c>
      <c r="J362">
        <v>7</v>
      </c>
      <c r="K362">
        <v>6</v>
      </c>
      <c r="L362" t="s">
        <v>46</v>
      </c>
      <c r="M362" t="s">
        <v>47</v>
      </c>
      <c r="N362" t="s">
        <v>48</v>
      </c>
      <c r="O362">
        <v>2</v>
      </c>
      <c r="P362" t="s">
        <v>5</v>
      </c>
      <c r="Q362">
        <v>18</v>
      </c>
      <c r="R362" t="str">
        <f t="shared" si="11"/>
        <v>II</v>
      </c>
      <c r="S362">
        <f t="shared" si="12"/>
        <v>0.154364</v>
      </c>
    </row>
    <row r="363" spans="1:19">
      <c r="A363">
        <v>1102</v>
      </c>
      <c r="B363" t="s">
        <v>75</v>
      </c>
      <c r="C363">
        <v>0.5</v>
      </c>
      <c r="D363">
        <v>0.38</v>
      </c>
      <c r="E363">
        <v>0.125</v>
      </c>
      <c r="F363">
        <v>0.51900000000000002</v>
      </c>
      <c r="G363">
        <v>0.2485</v>
      </c>
      <c r="H363">
        <v>0.1135</v>
      </c>
      <c r="I363">
        <v>0.13400000000000001</v>
      </c>
      <c r="J363">
        <v>8</v>
      </c>
      <c r="K363">
        <v>9</v>
      </c>
      <c r="L363" t="s">
        <v>34</v>
      </c>
      <c r="M363" t="s">
        <v>35</v>
      </c>
      <c r="N363" t="s">
        <v>36</v>
      </c>
      <c r="O363">
        <v>10</v>
      </c>
      <c r="P363" t="s">
        <v>11</v>
      </c>
      <c r="Q363">
        <v>24.1</v>
      </c>
      <c r="R363" t="str">
        <f t="shared" si="11"/>
        <v>II</v>
      </c>
      <c r="S363">
        <f t="shared" si="12"/>
        <v>0.18718599999999999</v>
      </c>
    </row>
    <row r="364" spans="1:19">
      <c r="A364">
        <v>2922</v>
      </c>
      <c r="B364" t="s">
        <v>75</v>
      </c>
      <c r="C364">
        <v>0.6</v>
      </c>
      <c r="D364">
        <v>0.45</v>
      </c>
      <c r="E364">
        <v>0.15</v>
      </c>
      <c r="F364">
        <v>0.96250000000000002</v>
      </c>
      <c r="G364">
        <v>0.4375</v>
      </c>
      <c r="H364">
        <v>0.2225</v>
      </c>
      <c r="I364">
        <v>0.27750000000000002</v>
      </c>
      <c r="J364">
        <v>9</v>
      </c>
      <c r="K364">
        <v>7</v>
      </c>
      <c r="L364" t="s">
        <v>62</v>
      </c>
      <c r="M364" t="s">
        <v>63</v>
      </c>
      <c r="N364" t="s">
        <v>64</v>
      </c>
      <c r="O364">
        <v>4</v>
      </c>
      <c r="P364" t="s">
        <v>8</v>
      </c>
      <c r="Q364">
        <v>6.1</v>
      </c>
      <c r="R364" t="str">
        <f t="shared" si="11"/>
        <v>III</v>
      </c>
      <c r="S364">
        <f t="shared" si="12"/>
        <v>0.46520833333333322</v>
      </c>
    </row>
    <row r="365" spans="1:19">
      <c r="A365">
        <v>1605</v>
      </c>
      <c r="B365" t="s">
        <v>75</v>
      </c>
      <c r="C365">
        <v>0.54</v>
      </c>
      <c r="D365">
        <v>0.45500000000000002</v>
      </c>
      <c r="E365">
        <v>0.14000000000000001</v>
      </c>
      <c r="F365">
        <v>0.97199999999999998</v>
      </c>
      <c r="G365">
        <v>0.41899999999999998</v>
      </c>
      <c r="H365">
        <v>0.255</v>
      </c>
      <c r="I365">
        <v>0.26900000000000002</v>
      </c>
      <c r="J365">
        <v>10</v>
      </c>
      <c r="K365">
        <v>4</v>
      </c>
      <c r="L365" t="s">
        <v>40</v>
      </c>
      <c r="M365" t="s">
        <v>41</v>
      </c>
      <c r="N365" t="s">
        <v>42</v>
      </c>
      <c r="O365">
        <v>10</v>
      </c>
      <c r="P365" t="s">
        <v>11</v>
      </c>
      <c r="Q365">
        <v>24.1</v>
      </c>
      <c r="R365" t="str">
        <f t="shared" si="11"/>
        <v>III</v>
      </c>
      <c r="S365">
        <f t="shared" si="12"/>
        <v>0.45927000000000001</v>
      </c>
    </row>
    <row r="366" spans="1:19">
      <c r="A366">
        <v>1119</v>
      </c>
      <c r="B366" t="s">
        <v>75</v>
      </c>
      <c r="C366">
        <v>0.53500000000000003</v>
      </c>
      <c r="D366">
        <v>0.39</v>
      </c>
      <c r="E366">
        <v>0.125</v>
      </c>
      <c r="F366">
        <v>0.59899999999999998</v>
      </c>
      <c r="G366">
        <v>0.25950000000000001</v>
      </c>
      <c r="H366">
        <v>0.14899999999999999</v>
      </c>
      <c r="I366">
        <v>0.16900000000000001</v>
      </c>
      <c r="J366">
        <v>9</v>
      </c>
      <c r="K366">
        <v>2</v>
      </c>
      <c r="L366" t="s">
        <v>49</v>
      </c>
      <c r="M366" t="s">
        <v>50</v>
      </c>
      <c r="N366" t="s">
        <v>51</v>
      </c>
      <c r="O366">
        <v>8</v>
      </c>
      <c r="P366" t="s">
        <v>13</v>
      </c>
      <c r="Q366">
        <v>12.3</v>
      </c>
      <c r="R366" t="str">
        <f t="shared" si="11"/>
        <v>II</v>
      </c>
      <c r="S366">
        <f t="shared" si="12"/>
        <v>0.21963333333333332</v>
      </c>
    </row>
    <row r="367" spans="1:19">
      <c r="A367">
        <v>1662</v>
      </c>
      <c r="B367" t="s">
        <v>75</v>
      </c>
      <c r="C367">
        <v>0.6</v>
      </c>
      <c r="D367">
        <v>0.47</v>
      </c>
      <c r="E367">
        <v>0.16</v>
      </c>
      <c r="F367">
        <v>1.194</v>
      </c>
      <c r="G367">
        <v>0.5625</v>
      </c>
      <c r="H367">
        <v>0.30449999999999999</v>
      </c>
      <c r="I367">
        <v>0.26350000000000001</v>
      </c>
      <c r="J367">
        <v>10</v>
      </c>
      <c r="K367">
        <v>11</v>
      </c>
      <c r="L367" t="s">
        <v>65</v>
      </c>
      <c r="M367" t="s">
        <v>66</v>
      </c>
      <c r="N367" t="s">
        <v>45</v>
      </c>
      <c r="O367">
        <v>6</v>
      </c>
      <c r="P367" t="s">
        <v>7</v>
      </c>
      <c r="Q367">
        <v>14.1</v>
      </c>
      <c r="R367" t="str">
        <f t="shared" si="11"/>
        <v>I</v>
      </c>
      <c r="S367">
        <f t="shared" si="12"/>
        <v>0.87460499999999997</v>
      </c>
    </row>
    <row r="368" spans="1:19">
      <c r="A368">
        <v>3016</v>
      </c>
      <c r="B368" t="s">
        <v>75</v>
      </c>
      <c r="C368">
        <v>0.42</v>
      </c>
      <c r="D368">
        <v>0.32</v>
      </c>
      <c r="E368">
        <v>0.11</v>
      </c>
      <c r="F368">
        <v>0.309</v>
      </c>
      <c r="G368">
        <v>0.115</v>
      </c>
      <c r="H368">
        <v>6.4500000000000002E-2</v>
      </c>
      <c r="I368">
        <v>9.4500000000000001E-2</v>
      </c>
      <c r="J368">
        <v>6</v>
      </c>
      <c r="K368">
        <v>3</v>
      </c>
      <c r="L368" t="s">
        <v>52</v>
      </c>
      <c r="M368" t="s">
        <v>53</v>
      </c>
      <c r="N368" t="s">
        <v>54</v>
      </c>
      <c r="O368">
        <v>10</v>
      </c>
      <c r="P368" t="s">
        <v>11</v>
      </c>
      <c r="Q368">
        <v>24.1</v>
      </c>
      <c r="R368" t="str">
        <f t="shared" si="11"/>
        <v>II</v>
      </c>
      <c r="S368">
        <f t="shared" si="12"/>
        <v>0.10506000000000003</v>
      </c>
    </row>
    <row r="369" spans="1:19">
      <c r="A369">
        <v>515</v>
      </c>
      <c r="B369" t="s">
        <v>75</v>
      </c>
      <c r="C369">
        <v>0.27500000000000002</v>
      </c>
      <c r="D369">
        <v>0.19500000000000001</v>
      </c>
      <c r="E369">
        <v>7.0000000000000007E-2</v>
      </c>
      <c r="F369">
        <v>0.08</v>
      </c>
      <c r="G369">
        <v>3.1E-2</v>
      </c>
      <c r="H369">
        <v>2.1499999999999998E-2</v>
      </c>
      <c r="I369">
        <v>2.5000000000000001E-2</v>
      </c>
      <c r="J369">
        <v>5</v>
      </c>
      <c r="K369">
        <v>12</v>
      </c>
      <c r="L369" t="s">
        <v>58</v>
      </c>
      <c r="M369" t="s">
        <v>59</v>
      </c>
      <c r="N369" t="s">
        <v>45</v>
      </c>
      <c r="O369">
        <v>2</v>
      </c>
      <c r="P369" t="s">
        <v>5</v>
      </c>
      <c r="Q369">
        <v>18</v>
      </c>
      <c r="R369" t="str">
        <f t="shared" si="11"/>
        <v>II</v>
      </c>
      <c r="S369">
        <f t="shared" si="12"/>
        <v>2.3893333333333336E-2</v>
      </c>
    </row>
    <row r="370" spans="1:19">
      <c r="A370">
        <v>405</v>
      </c>
      <c r="B370" t="s">
        <v>75</v>
      </c>
      <c r="C370">
        <v>0.44</v>
      </c>
      <c r="D370">
        <v>0.34499999999999997</v>
      </c>
      <c r="E370">
        <v>0.12</v>
      </c>
      <c r="F370">
        <v>0.36499999999999999</v>
      </c>
      <c r="G370">
        <v>0.16550000000000001</v>
      </c>
      <c r="H370">
        <v>8.3000000000000004E-2</v>
      </c>
      <c r="I370">
        <v>0.11</v>
      </c>
      <c r="J370">
        <v>7</v>
      </c>
      <c r="K370">
        <v>4</v>
      </c>
      <c r="L370" t="s">
        <v>40</v>
      </c>
      <c r="M370" t="s">
        <v>41</v>
      </c>
      <c r="N370" t="s">
        <v>42</v>
      </c>
      <c r="O370">
        <v>8</v>
      </c>
      <c r="P370" t="s">
        <v>13</v>
      </c>
      <c r="Q370">
        <v>12.3</v>
      </c>
      <c r="R370" t="str">
        <f t="shared" si="11"/>
        <v>II</v>
      </c>
      <c r="S370">
        <f t="shared" si="12"/>
        <v>0.12677666666666665</v>
      </c>
    </row>
    <row r="371" spans="1:19">
      <c r="A371">
        <v>606</v>
      </c>
      <c r="B371" t="s">
        <v>75</v>
      </c>
      <c r="C371">
        <v>0.42499999999999999</v>
      </c>
      <c r="D371">
        <v>0.34499999999999997</v>
      </c>
      <c r="E371">
        <v>0.125</v>
      </c>
      <c r="F371">
        <v>0.42499999999999999</v>
      </c>
      <c r="G371">
        <v>0.16</v>
      </c>
      <c r="H371">
        <v>7.9500000000000001E-2</v>
      </c>
      <c r="I371">
        <v>0.154</v>
      </c>
      <c r="J371">
        <v>13</v>
      </c>
      <c r="K371">
        <v>5</v>
      </c>
      <c r="L371" t="s">
        <v>67</v>
      </c>
      <c r="M371" t="s">
        <v>68</v>
      </c>
      <c r="N371" t="s">
        <v>69</v>
      </c>
      <c r="O371">
        <v>10</v>
      </c>
      <c r="P371" t="s">
        <v>11</v>
      </c>
      <c r="Q371">
        <v>24.1</v>
      </c>
      <c r="R371" t="str">
        <f t="shared" si="11"/>
        <v>II</v>
      </c>
      <c r="S371">
        <f t="shared" si="12"/>
        <v>0.14704999999999999</v>
      </c>
    </row>
    <row r="372" spans="1:19">
      <c r="A372">
        <v>3639</v>
      </c>
      <c r="B372" t="s">
        <v>75</v>
      </c>
      <c r="C372">
        <v>0.44</v>
      </c>
      <c r="D372">
        <v>0.34</v>
      </c>
      <c r="E372">
        <v>0.105</v>
      </c>
      <c r="F372">
        <v>0.34399999999999997</v>
      </c>
      <c r="G372">
        <v>0.123</v>
      </c>
      <c r="H372">
        <v>8.1000000000000003E-2</v>
      </c>
      <c r="I372">
        <v>0.125</v>
      </c>
      <c r="J372">
        <v>8</v>
      </c>
      <c r="K372">
        <v>11</v>
      </c>
      <c r="L372" t="s">
        <v>65</v>
      </c>
      <c r="M372" t="s">
        <v>66</v>
      </c>
      <c r="N372" t="s">
        <v>45</v>
      </c>
      <c r="O372">
        <v>1</v>
      </c>
      <c r="P372" t="s">
        <v>4</v>
      </c>
      <c r="Q372">
        <v>22.1</v>
      </c>
      <c r="R372" t="str">
        <f t="shared" si="11"/>
        <v>II</v>
      </c>
      <c r="S372">
        <f t="shared" si="12"/>
        <v>0.11856533333333333</v>
      </c>
    </row>
    <row r="373" spans="1:19">
      <c r="A373">
        <v>50</v>
      </c>
      <c r="B373" t="s">
        <v>75</v>
      </c>
      <c r="C373">
        <v>0.52500000000000002</v>
      </c>
      <c r="D373">
        <v>0.42499999999999999</v>
      </c>
      <c r="E373">
        <v>0.16</v>
      </c>
      <c r="F373">
        <v>0.83550000000000002</v>
      </c>
      <c r="G373">
        <v>0.35449999999999998</v>
      </c>
      <c r="H373">
        <v>0.2135</v>
      </c>
      <c r="I373">
        <v>0.245</v>
      </c>
      <c r="J373">
        <v>9</v>
      </c>
      <c r="K373">
        <v>4</v>
      </c>
      <c r="L373" t="s">
        <v>40</v>
      </c>
      <c r="M373" t="s">
        <v>41</v>
      </c>
      <c r="N373" t="s">
        <v>42</v>
      </c>
      <c r="O373">
        <v>10</v>
      </c>
      <c r="P373" t="s">
        <v>11</v>
      </c>
      <c r="Q373">
        <v>24.1</v>
      </c>
      <c r="R373" t="str">
        <f t="shared" si="11"/>
        <v>II</v>
      </c>
      <c r="S373">
        <f t="shared" si="12"/>
        <v>0.31303400000000003</v>
      </c>
    </row>
    <row r="374" spans="1:19">
      <c r="A374">
        <v>3761</v>
      </c>
      <c r="B374" t="s">
        <v>75</v>
      </c>
      <c r="C374">
        <v>0.53</v>
      </c>
      <c r="D374">
        <v>0.42499999999999999</v>
      </c>
      <c r="E374">
        <v>0.13</v>
      </c>
      <c r="F374">
        <v>0.70199999999999996</v>
      </c>
      <c r="G374">
        <v>0.29749999999999999</v>
      </c>
      <c r="H374">
        <v>0.13950000000000001</v>
      </c>
      <c r="I374">
        <v>0.22</v>
      </c>
      <c r="J374">
        <v>9</v>
      </c>
      <c r="K374">
        <v>2</v>
      </c>
      <c r="L374" t="s">
        <v>49</v>
      </c>
      <c r="M374" t="s">
        <v>50</v>
      </c>
      <c r="N374" t="s">
        <v>51</v>
      </c>
      <c r="O374">
        <v>10</v>
      </c>
      <c r="P374" t="s">
        <v>11</v>
      </c>
      <c r="Q374">
        <v>24.1</v>
      </c>
      <c r="R374" t="str">
        <f t="shared" si="11"/>
        <v>II</v>
      </c>
      <c r="S374">
        <f t="shared" si="12"/>
        <v>0.26067600000000002</v>
      </c>
    </row>
    <row r="375" spans="1:19">
      <c r="A375">
        <v>460</v>
      </c>
      <c r="B375" t="s">
        <v>75</v>
      </c>
      <c r="C375">
        <v>0.52500000000000002</v>
      </c>
      <c r="D375">
        <v>0.41</v>
      </c>
      <c r="E375">
        <v>0.13500000000000001</v>
      </c>
      <c r="F375">
        <v>0.70850000000000002</v>
      </c>
      <c r="G375">
        <v>0.29299999999999998</v>
      </c>
      <c r="H375">
        <v>0.1525</v>
      </c>
      <c r="I375">
        <v>0.23499999999999999</v>
      </c>
      <c r="J375">
        <v>11</v>
      </c>
      <c r="K375">
        <v>1</v>
      </c>
      <c r="L375" t="s">
        <v>70</v>
      </c>
      <c r="M375" t="s">
        <v>71</v>
      </c>
      <c r="N375" t="s">
        <v>45</v>
      </c>
      <c r="O375">
        <v>4</v>
      </c>
      <c r="P375" t="s">
        <v>8</v>
      </c>
      <c r="Q375">
        <v>6.1</v>
      </c>
      <c r="R375" t="str">
        <f t="shared" si="11"/>
        <v>II</v>
      </c>
      <c r="S375">
        <f t="shared" si="12"/>
        <v>0.26167266666666666</v>
      </c>
    </row>
    <row r="376" spans="1:19">
      <c r="A376">
        <v>3577</v>
      </c>
      <c r="B376" t="s">
        <v>75</v>
      </c>
      <c r="C376">
        <v>0.6</v>
      </c>
      <c r="D376">
        <v>0.47499999999999998</v>
      </c>
      <c r="E376">
        <v>0.155</v>
      </c>
      <c r="F376">
        <v>1.0589999999999999</v>
      </c>
      <c r="G376">
        <v>0.441</v>
      </c>
      <c r="H376">
        <v>0.19</v>
      </c>
      <c r="I376">
        <v>0.39</v>
      </c>
      <c r="J376">
        <v>11</v>
      </c>
      <c r="K376">
        <v>11</v>
      </c>
      <c r="L376" t="s">
        <v>65</v>
      </c>
      <c r="M376" t="s">
        <v>66</v>
      </c>
      <c r="N376" t="s">
        <v>45</v>
      </c>
      <c r="O376">
        <v>1</v>
      </c>
      <c r="P376" t="s">
        <v>4</v>
      </c>
      <c r="Q376">
        <v>22.1</v>
      </c>
      <c r="R376" t="str">
        <f t="shared" si="11"/>
        <v>III</v>
      </c>
      <c r="S376">
        <f t="shared" si="12"/>
        <v>0.51714499999999985</v>
      </c>
    </row>
    <row r="377" spans="1:19">
      <c r="A377">
        <v>1107</v>
      </c>
      <c r="B377" t="s">
        <v>75</v>
      </c>
      <c r="C377">
        <v>0.51</v>
      </c>
      <c r="D377">
        <v>0.4</v>
      </c>
      <c r="E377">
        <v>0.125</v>
      </c>
      <c r="F377">
        <v>0.5575</v>
      </c>
      <c r="G377">
        <v>0.26150000000000001</v>
      </c>
      <c r="H377">
        <v>0.1195</v>
      </c>
      <c r="I377">
        <v>0.1525</v>
      </c>
      <c r="J377">
        <v>9</v>
      </c>
      <c r="K377">
        <v>2</v>
      </c>
      <c r="L377" t="s">
        <v>49</v>
      </c>
      <c r="M377" t="s">
        <v>50</v>
      </c>
      <c r="N377" t="s">
        <v>51</v>
      </c>
      <c r="O377">
        <v>1</v>
      </c>
      <c r="P377" t="s">
        <v>4</v>
      </c>
      <c r="Q377">
        <v>22.1</v>
      </c>
      <c r="R377" t="str">
        <f t="shared" si="11"/>
        <v>II</v>
      </c>
      <c r="S377">
        <f t="shared" si="12"/>
        <v>0.20330166666666669</v>
      </c>
    </row>
    <row r="378" spans="1:19">
      <c r="A378">
        <v>809</v>
      </c>
      <c r="B378" t="s">
        <v>75</v>
      </c>
      <c r="C378">
        <v>0.44</v>
      </c>
      <c r="D378">
        <v>0.34</v>
      </c>
      <c r="E378">
        <v>0.13</v>
      </c>
      <c r="F378">
        <v>0.41949999999999998</v>
      </c>
      <c r="G378">
        <v>0.153</v>
      </c>
      <c r="H378">
        <v>0.11550000000000001</v>
      </c>
      <c r="I378">
        <v>0.13</v>
      </c>
      <c r="J378">
        <v>10</v>
      </c>
      <c r="K378">
        <v>9</v>
      </c>
      <c r="L378" t="s">
        <v>34</v>
      </c>
      <c r="M378" t="s">
        <v>35</v>
      </c>
      <c r="N378" t="s">
        <v>36</v>
      </c>
      <c r="O378">
        <v>1</v>
      </c>
      <c r="P378" t="s">
        <v>4</v>
      </c>
      <c r="Q378">
        <v>22.1</v>
      </c>
      <c r="R378" t="str">
        <f t="shared" si="11"/>
        <v>II</v>
      </c>
      <c r="S378">
        <f t="shared" si="12"/>
        <v>0.145986</v>
      </c>
    </row>
    <row r="379" spans="1:19">
      <c r="A379">
        <v>2547</v>
      </c>
      <c r="B379" t="s">
        <v>75</v>
      </c>
      <c r="C379">
        <v>0.22500000000000001</v>
      </c>
      <c r="D379">
        <v>0.17</v>
      </c>
      <c r="E379">
        <v>7.0000000000000007E-2</v>
      </c>
      <c r="F379">
        <v>5.6500000000000002E-2</v>
      </c>
      <c r="G379">
        <v>2.4E-2</v>
      </c>
      <c r="H379">
        <v>1.2999999999999999E-2</v>
      </c>
      <c r="I379">
        <v>1.6E-2</v>
      </c>
      <c r="J379">
        <v>4</v>
      </c>
      <c r="K379">
        <v>7</v>
      </c>
      <c r="L379" t="s">
        <v>62</v>
      </c>
      <c r="M379" t="s">
        <v>63</v>
      </c>
      <c r="N379" t="s">
        <v>64</v>
      </c>
      <c r="O379">
        <v>2</v>
      </c>
      <c r="P379" t="s">
        <v>5</v>
      </c>
      <c r="Q379">
        <v>18</v>
      </c>
      <c r="R379" t="str">
        <f t="shared" si="11"/>
        <v>II</v>
      </c>
      <c r="S379">
        <f t="shared" si="12"/>
        <v>1.6309666666666667E-2</v>
      </c>
    </row>
    <row r="380" spans="1:19">
      <c r="A380">
        <v>3417</v>
      </c>
      <c r="B380" t="s">
        <v>75</v>
      </c>
      <c r="C380">
        <v>0.56000000000000005</v>
      </c>
      <c r="D380">
        <v>0.45</v>
      </c>
      <c r="E380">
        <v>0.14000000000000001</v>
      </c>
      <c r="F380">
        <v>0.9</v>
      </c>
      <c r="G380">
        <v>0.47199999999999998</v>
      </c>
      <c r="H380">
        <v>0.182</v>
      </c>
      <c r="I380">
        <v>0.218</v>
      </c>
      <c r="J380">
        <v>7</v>
      </c>
      <c r="K380">
        <v>5</v>
      </c>
      <c r="L380" t="s">
        <v>67</v>
      </c>
      <c r="M380" t="s">
        <v>68</v>
      </c>
      <c r="N380" t="s">
        <v>69</v>
      </c>
      <c r="O380">
        <v>4</v>
      </c>
      <c r="P380" t="s">
        <v>8</v>
      </c>
      <c r="Q380">
        <v>6.1</v>
      </c>
      <c r="R380" t="str">
        <f t="shared" si="11"/>
        <v>III</v>
      </c>
      <c r="S380">
        <f t="shared" si="12"/>
        <v>0.42749999999999999</v>
      </c>
    </row>
    <row r="381" spans="1:19">
      <c r="A381">
        <v>4068</v>
      </c>
      <c r="B381" t="s">
        <v>75</v>
      </c>
      <c r="C381">
        <v>0.4</v>
      </c>
      <c r="D381">
        <v>0.3</v>
      </c>
      <c r="E381">
        <v>0.115</v>
      </c>
      <c r="F381">
        <v>0.318</v>
      </c>
      <c r="G381">
        <v>0.13350000000000001</v>
      </c>
      <c r="H381">
        <v>7.2499999999999995E-2</v>
      </c>
      <c r="I381">
        <v>9.35E-2</v>
      </c>
      <c r="J381">
        <v>6</v>
      </c>
      <c r="K381">
        <v>8</v>
      </c>
      <c r="L381" t="s">
        <v>55</v>
      </c>
      <c r="M381" t="s">
        <v>56</v>
      </c>
      <c r="N381" t="s">
        <v>57</v>
      </c>
      <c r="O381">
        <v>2</v>
      </c>
      <c r="P381" t="s">
        <v>5</v>
      </c>
      <c r="Q381">
        <v>18</v>
      </c>
      <c r="R381" t="str">
        <f t="shared" si="11"/>
        <v>II</v>
      </c>
      <c r="S381">
        <f t="shared" si="12"/>
        <v>0.10663600000000001</v>
      </c>
    </row>
    <row r="382" spans="1:19">
      <c r="A382">
        <v>3318</v>
      </c>
      <c r="B382" t="s">
        <v>75</v>
      </c>
      <c r="C382">
        <v>0.26500000000000001</v>
      </c>
      <c r="D382">
        <v>0.2</v>
      </c>
      <c r="E382">
        <v>6.5000000000000002E-2</v>
      </c>
      <c r="F382">
        <v>8.4000000000000005E-2</v>
      </c>
      <c r="G382">
        <v>3.4000000000000002E-2</v>
      </c>
      <c r="H382">
        <v>1.0500000000000001E-2</v>
      </c>
      <c r="I382">
        <v>0.03</v>
      </c>
      <c r="J382">
        <v>7</v>
      </c>
      <c r="K382">
        <v>14</v>
      </c>
      <c r="L382" t="s">
        <v>72</v>
      </c>
      <c r="M382" t="s">
        <v>73</v>
      </c>
      <c r="N382" t="s">
        <v>74</v>
      </c>
      <c r="O382">
        <v>9</v>
      </c>
      <c r="P382" t="s">
        <v>9</v>
      </c>
      <c r="Q382">
        <v>1.9</v>
      </c>
      <c r="R382" t="str">
        <f t="shared" si="11"/>
        <v>II</v>
      </c>
      <c r="S382">
        <f t="shared" si="12"/>
        <v>2.4976000000000002E-2</v>
      </c>
    </row>
    <row r="383" spans="1:19">
      <c r="A383">
        <v>1057</v>
      </c>
      <c r="B383" t="s">
        <v>75</v>
      </c>
      <c r="C383">
        <v>0.2</v>
      </c>
      <c r="D383">
        <v>0.155</v>
      </c>
      <c r="E383">
        <v>0.04</v>
      </c>
      <c r="F383">
        <v>4.3499999999999997E-2</v>
      </c>
      <c r="G383">
        <v>1.55E-2</v>
      </c>
      <c r="H383">
        <v>8.9999999999999993E-3</v>
      </c>
      <c r="I383">
        <v>7.0000000000000001E-3</v>
      </c>
      <c r="J383">
        <v>4</v>
      </c>
      <c r="K383">
        <v>7</v>
      </c>
      <c r="L383" t="s">
        <v>62</v>
      </c>
      <c r="M383" t="s">
        <v>63</v>
      </c>
      <c r="N383" t="s">
        <v>64</v>
      </c>
      <c r="O383">
        <v>2</v>
      </c>
      <c r="P383" t="s">
        <v>5</v>
      </c>
      <c r="Q383">
        <v>18</v>
      </c>
      <c r="R383" t="str">
        <f t="shared" si="11"/>
        <v>II</v>
      </c>
      <c r="S383">
        <f t="shared" si="12"/>
        <v>1.2151E-2</v>
      </c>
    </row>
    <row r="384" spans="1:19">
      <c r="A384">
        <v>2919</v>
      </c>
      <c r="B384" t="s">
        <v>75</v>
      </c>
      <c r="C384">
        <v>0.6</v>
      </c>
      <c r="D384">
        <v>0.44500000000000001</v>
      </c>
      <c r="E384">
        <v>0.13500000000000001</v>
      </c>
      <c r="F384">
        <v>0.92049999999999998</v>
      </c>
      <c r="G384">
        <v>0.44500000000000001</v>
      </c>
      <c r="H384">
        <v>0.20349999999999999</v>
      </c>
      <c r="I384">
        <v>0.253</v>
      </c>
      <c r="J384">
        <v>9</v>
      </c>
      <c r="K384">
        <v>6</v>
      </c>
      <c r="L384" t="s">
        <v>46</v>
      </c>
      <c r="M384" t="s">
        <v>47</v>
      </c>
      <c r="N384" t="s">
        <v>48</v>
      </c>
      <c r="O384">
        <v>6</v>
      </c>
      <c r="P384" t="s">
        <v>7</v>
      </c>
      <c r="Q384">
        <v>14.1</v>
      </c>
      <c r="R384" t="str">
        <f t="shared" si="11"/>
        <v>III</v>
      </c>
      <c r="S384">
        <f t="shared" si="12"/>
        <v>0.4418399999999999</v>
      </c>
    </row>
    <row r="385" spans="1:19">
      <c r="A385">
        <v>1533</v>
      </c>
      <c r="B385" t="s">
        <v>75</v>
      </c>
      <c r="C385">
        <v>0.28499999999999998</v>
      </c>
      <c r="D385">
        <v>0.21</v>
      </c>
      <c r="E385">
        <v>5.5E-2</v>
      </c>
      <c r="F385">
        <v>0.10100000000000001</v>
      </c>
      <c r="G385">
        <v>4.1500000000000002E-2</v>
      </c>
      <c r="H385">
        <v>1.7000000000000001E-2</v>
      </c>
      <c r="I385">
        <v>3.3500000000000002E-2</v>
      </c>
      <c r="J385">
        <v>5</v>
      </c>
      <c r="K385">
        <v>2</v>
      </c>
      <c r="L385" t="s">
        <v>49</v>
      </c>
      <c r="M385" t="s">
        <v>50</v>
      </c>
      <c r="N385" t="s">
        <v>51</v>
      </c>
      <c r="O385">
        <v>3</v>
      </c>
      <c r="P385" t="s">
        <v>10</v>
      </c>
      <c r="Q385">
        <v>3.6</v>
      </c>
      <c r="R385" t="str">
        <f t="shared" si="11"/>
        <v>II</v>
      </c>
      <c r="S385">
        <f t="shared" si="12"/>
        <v>3.0300000000000007E-2</v>
      </c>
    </row>
    <row r="386" spans="1:19">
      <c r="A386">
        <v>740</v>
      </c>
      <c r="B386" t="s">
        <v>75</v>
      </c>
      <c r="C386">
        <v>0.44500000000000001</v>
      </c>
      <c r="D386">
        <v>0.34499999999999997</v>
      </c>
      <c r="E386">
        <v>0.09</v>
      </c>
      <c r="F386">
        <v>0.3795</v>
      </c>
      <c r="G386">
        <v>0.14299999999999999</v>
      </c>
      <c r="H386">
        <v>7.3999999999999996E-2</v>
      </c>
      <c r="I386">
        <v>0.125</v>
      </c>
      <c r="J386">
        <v>10</v>
      </c>
      <c r="K386">
        <v>13</v>
      </c>
      <c r="L386" t="s">
        <v>43</v>
      </c>
      <c r="M386" t="s">
        <v>44</v>
      </c>
      <c r="N386" t="s">
        <v>45</v>
      </c>
      <c r="O386">
        <v>1</v>
      </c>
      <c r="P386" t="s">
        <v>4</v>
      </c>
      <c r="Q386">
        <v>22.1</v>
      </c>
      <c r="R386" t="str">
        <f t="shared" si="11"/>
        <v>II</v>
      </c>
      <c r="S386">
        <f t="shared" si="12"/>
        <v>0.130548</v>
      </c>
    </row>
    <row r="387" spans="1:19">
      <c r="A387">
        <v>940</v>
      </c>
      <c r="B387" t="s">
        <v>75</v>
      </c>
      <c r="C387">
        <v>0.46</v>
      </c>
      <c r="D387">
        <v>0.36</v>
      </c>
      <c r="E387">
        <v>0.1</v>
      </c>
      <c r="F387">
        <v>0.46350000000000002</v>
      </c>
      <c r="G387">
        <v>0.23250000000000001</v>
      </c>
      <c r="H387">
        <v>9.2999999999999999E-2</v>
      </c>
      <c r="I387">
        <v>0.115</v>
      </c>
      <c r="J387">
        <v>7</v>
      </c>
      <c r="K387">
        <v>13</v>
      </c>
      <c r="L387" t="s">
        <v>43</v>
      </c>
      <c r="M387" t="s">
        <v>44</v>
      </c>
      <c r="N387" t="s">
        <v>45</v>
      </c>
      <c r="O387">
        <v>10</v>
      </c>
      <c r="P387" t="s">
        <v>11</v>
      </c>
      <c r="Q387">
        <v>24.1</v>
      </c>
      <c r="R387" t="str">
        <f t="shared" ref="R387:R450" si="13">IF(OR(AND(J387 &gt; 15, B387 = "Infant"), AND(D387 = "Male", C387 &gt; 0.75),
    OR(I387 &gt; 0.8, G387 &gt; 0.5), G387 &gt; 1.2),
    "I",
    IF(OR(AND(I387 &lt; 0.4, G387 &lt; 0.4), AND(J387 &gt; 15, D387 = "Male"), AND(J387 &gt; 18, D387 = "Female"), C387 &lt; 0.36),
    "II",
    "III"))</f>
        <v>II</v>
      </c>
      <c r="S387">
        <f t="shared" ref="S387:S450" si="14">IF(OR(AND(J387 &gt; 15, B387 = "Infant"), AND(D387 = "Male", C387 &gt; 0.75), OR(I387 &gt; 0.8, G387 &gt; 0.5), G387 &gt; 1.2), (1 + (1/3)*(C387 - 0.5) + (1/3)*(D387 - 0.4) + (1/3)*(E387 - 0.4)) * F387 * 0.5 * 1.5, IF(OR(AND(I387 &lt; 0.4, G387 &lt; 0.4), AND(J387 &gt; 15, D387 = "Male"), AND(J387 &gt; 18, D387 = "Female"), C387 &lt; 0.36), (1 + (1/3)*(C387 - 0.5) + (1/3)*(D387 - 0.4) + (1/3)*(E387 - 0.4)) * F387 * 0.5 * 0.8, (1 + (1/3)*(C387 - 0.5) + (1/3)*(D387 - 0.4) + (1/3)*(E387 - 0.4)) * F387 * 0.5))</f>
        <v>0.16191600000000003</v>
      </c>
    </row>
    <row r="388" spans="1:19">
      <c r="A388">
        <v>2635</v>
      </c>
      <c r="B388" t="s">
        <v>75</v>
      </c>
      <c r="C388">
        <v>0.42499999999999999</v>
      </c>
      <c r="D388">
        <v>0.34</v>
      </c>
      <c r="E388">
        <v>0.1</v>
      </c>
      <c r="F388">
        <v>0.35149999999999998</v>
      </c>
      <c r="G388">
        <v>0.16250000000000001</v>
      </c>
      <c r="H388">
        <v>8.2000000000000003E-2</v>
      </c>
      <c r="I388">
        <v>9.4E-2</v>
      </c>
      <c r="J388">
        <v>7</v>
      </c>
      <c r="K388">
        <v>8</v>
      </c>
      <c r="L388" t="s">
        <v>55</v>
      </c>
      <c r="M388" t="s">
        <v>56</v>
      </c>
      <c r="N388" t="s">
        <v>57</v>
      </c>
      <c r="O388">
        <v>8</v>
      </c>
      <c r="P388" t="s">
        <v>13</v>
      </c>
      <c r="Q388">
        <v>12.3</v>
      </c>
      <c r="R388" t="str">
        <f t="shared" si="13"/>
        <v>II</v>
      </c>
      <c r="S388">
        <f t="shared" si="14"/>
        <v>0.120213</v>
      </c>
    </row>
    <row r="389" spans="1:19">
      <c r="A389">
        <v>3562</v>
      </c>
      <c r="B389" t="s">
        <v>75</v>
      </c>
      <c r="C389">
        <v>0.56999999999999995</v>
      </c>
      <c r="D389">
        <v>0.42</v>
      </c>
      <c r="E389">
        <v>0.13</v>
      </c>
      <c r="F389">
        <v>0.77449999999999997</v>
      </c>
      <c r="G389">
        <v>0.35349999999999998</v>
      </c>
      <c r="H389">
        <v>0.15049999999999999</v>
      </c>
      <c r="I389">
        <v>0.23649999999999999</v>
      </c>
      <c r="J389">
        <v>9</v>
      </c>
      <c r="K389">
        <v>4</v>
      </c>
      <c r="L389" t="s">
        <v>40</v>
      </c>
      <c r="M389" t="s">
        <v>41</v>
      </c>
      <c r="N389" t="s">
        <v>42</v>
      </c>
      <c r="O389">
        <v>5</v>
      </c>
      <c r="P389" t="s">
        <v>12</v>
      </c>
      <c r="Q389">
        <v>12.8</v>
      </c>
      <c r="R389" t="str">
        <f t="shared" si="13"/>
        <v>II</v>
      </c>
      <c r="S389">
        <f t="shared" si="14"/>
        <v>0.29121200000000003</v>
      </c>
    </row>
    <row r="390" spans="1:19">
      <c r="A390">
        <v>1156</v>
      </c>
      <c r="B390" t="s">
        <v>75</v>
      </c>
      <c r="C390">
        <v>0.6</v>
      </c>
      <c r="D390">
        <v>0.46500000000000002</v>
      </c>
      <c r="E390">
        <v>0.15</v>
      </c>
      <c r="F390">
        <v>1.1025</v>
      </c>
      <c r="G390">
        <v>0.54549999999999998</v>
      </c>
      <c r="H390">
        <v>0.26200000000000001</v>
      </c>
      <c r="I390">
        <v>0.25</v>
      </c>
      <c r="J390">
        <v>8</v>
      </c>
      <c r="K390">
        <v>5</v>
      </c>
      <c r="L390" t="s">
        <v>67</v>
      </c>
      <c r="M390" t="s">
        <v>68</v>
      </c>
      <c r="N390" t="s">
        <v>69</v>
      </c>
      <c r="O390">
        <v>10</v>
      </c>
      <c r="P390" t="s">
        <v>11</v>
      </c>
      <c r="Q390">
        <v>24.1</v>
      </c>
      <c r="R390" t="str">
        <f t="shared" si="13"/>
        <v>I</v>
      </c>
      <c r="S390">
        <f t="shared" si="14"/>
        <v>0.803446875</v>
      </c>
    </row>
    <row r="391" spans="1:19">
      <c r="A391">
        <v>2572</v>
      </c>
      <c r="B391" t="s">
        <v>75</v>
      </c>
      <c r="C391">
        <v>0.46500000000000002</v>
      </c>
      <c r="D391">
        <v>0.34</v>
      </c>
      <c r="E391">
        <v>0.105</v>
      </c>
      <c r="F391">
        <v>0.48599999999999999</v>
      </c>
      <c r="G391">
        <v>0.23100000000000001</v>
      </c>
      <c r="H391">
        <v>0.10349999999999999</v>
      </c>
      <c r="I391">
        <v>0.1225</v>
      </c>
      <c r="J391">
        <v>9</v>
      </c>
      <c r="K391">
        <v>2</v>
      </c>
      <c r="L391" t="s">
        <v>49</v>
      </c>
      <c r="M391" t="s">
        <v>50</v>
      </c>
      <c r="N391" t="s">
        <v>51</v>
      </c>
      <c r="O391">
        <v>2</v>
      </c>
      <c r="P391" t="s">
        <v>5</v>
      </c>
      <c r="Q391">
        <v>18</v>
      </c>
      <c r="R391" t="str">
        <f t="shared" si="13"/>
        <v>II</v>
      </c>
      <c r="S391">
        <f t="shared" si="14"/>
        <v>0.16912799999999997</v>
      </c>
    </row>
    <row r="392" spans="1:19">
      <c r="A392">
        <v>3528</v>
      </c>
      <c r="B392" t="s">
        <v>75</v>
      </c>
      <c r="C392">
        <v>0.35</v>
      </c>
      <c r="D392">
        <v>0.26</v>
      </c>
      <c r="E392">
        <v>0.09</v>
      </c>
      <c r="F392">
        <v>0.17649999999999999</v>
      </c>
      <c r="G392">
        <v>7.1999999999999995E-2</v>
      </c>
      <c r="H392">
        <v>3.5499999999999997E-2</v>
      </c>
      <c r="I392">
        <v>5.7500000000000002E-2</v>
      </c>
      <c r="J392">
        <v>7</v>
      </c>
      <c r="K392">
        <v>10</v>
      </c>
      <c r="L392" t="s">
        <v>37</v>
      </c>
      <c r="M392" t="s">
        <v>38</v>
      </c>
      <c r="N392" t="s">
        <v>39</v>
      </c>
      <c r="O392">
        <v>5</v>
      </c>
      <c r="P392" t="s">
        <v>12</v>
      </c>
      <c r="Q392">
        <v>12.8</v>
      </c>
      <c r="R392" t="str">
        <f t="shared" si="13"/>
        <v>II</v>
      </c>
      <c r="S392">
        <f t="shared" si="14"/>
        <v>5.6480000000000002E-2</v>
      </c>
    </row>
    <row r="393" spans="1:19">
      <c r="A393">
        <v>3769</v>
      </c>
      <c r="B393" t="s">
        <v>75</v>
      </c>
      <c r="C393">
        <v>0.56000000000000005</v>
      </c>
      <c r="D393">
        <v>0.46500000000000002</v>
      </c>
      <c r="E393">
        <v>0.14499999999999999</v>
      </c>
      <c r="F393">
        <v>0.88749999999999996</v>
      </c>
      <c r="G393">
        <v>0.33450000000000002</v>
      </c>
      <c r="H393">
        <v>0.22</v>
      </c>
      <c r="I393">
        <v>0.26950000000000002</v>
      </c>
      <c r="J393">
        <v>9</v>
      </c>
      <c r="K393">
        <v>12</v>
      </c>
      <c r="L393" t="s">
        <v>58</v>
      </c>
      <c r="M393" t="s">
        <v>59</v>
      </c>
      <c r="N393" t="s">
        <v>45</v>
      </c>
      <c r="O393">
        <v>10</v>
      </c>
      <c r="P393" t="s">
        <v>11</v>
      </c>
      <c r="Q393">
        <v>24.1</v>
      </c>
      <c r="R393" t="str">
        <f t="shared" si="13"/>
        <v>II</v>
      </c>
      <c r="S393">
        <f t="shared" si="14"/>
        <v>0.33961666666666668</v>
      </c>
    </row>
    <row r="394" spans="1:19">
      <c r="A394">
        <v>3443</v>
      </c>
      <c r="B394" t="s">
        <v>75</v>
      </c>
      <c r="C394">
        <v>0.48</v>
      </c>
      <c r="D394">
        <v>0.37</v>
      </c>
      <c r="E394">
        <v>0.13</v>
      </c>
      <c r="F394">
        <v>0.64300000000000002</v>
      </c>
      <c r="G394">
        <v>0.34899999999999998</v>
      </c>
      <c r="H394">
        <v>0.11550000000000001</v>
      </c>
      <c r="I394">
        <v>0.13500000000000001</v>
      </c>
      <c r="J394">
        <v>8</v>
      </c>
      <c r="K394">
        <v>12</v>
      </c>
      <c r="L394" t="s">
        <v>58</v>
      </c>
      <c r="M394" t="s">
        <v>59</v>
      </c>
      <c r="N394" t="s">
        <v>45</v>
      </c>
      <c r="O394">
        <v>10</v>
      </c>
      <c r="P394" t="s">
        <v>11</v>
      </c>
      <c r="Q394">
        <v>24.1</v>
      </c>
      <c r="R394" t="str">
        <f t="shared" si="13"/>
        <v>II</v>
      </c>
      <c r="S394">
        <f t="shared" si="14"/>
        <v>0.22976533333333335</v>
      </c>
    </row>
    <row r="395" spans="1:19">
      <c r="A395">
        <v>2119</v>
      </c>
      <c r="B395" t="s">
        <v>75</v>
      </c>
      <c r="C395">
        <v>0.48</v>
      </c>
      <c r="D395">
        <v>0.38</v>
      </c>
      <c r="E395">
        <v>0.12</v>
      </c>
      <c r="F395">
        <v>0.60799999999999998</v>
      </c>
      <c r="G395">
        <v>0.27050000000000002</v>
      </c>
      <c r="H395">
        <v>0.14050000000000001</v>
      </c>
      <c r="I395">
        <v>0.185</v>
      </c>
      <c r="J395">
        <v>8</v>
      </c>
      <c r="K395">
        <v>14</v>
      </c>
      <c r="L395" t="s">
        <v>72</v>
      </c>
      <c r="M395" t="s">
        <v>73</v>
      </c>
      <c r="N395" t="s">
        <v>74</v>
      </c>
      <c r="O395">
        <v>8</v>
      </c>
      <c r="P395" t="s">
        <v>13</v>
      </c>
      <c r="Q395">
        <v>12.3</v>
      </c>
      <c r="R395" t="str">
        <f t="shared" si="13"/>
        <v>II</v>
      </c>
      <c r="S395">
        <f t="shared" si="14"/>
        <v>0.21725866666666663</v>
      </c>
    </row>
    <row r="396" spans="1:19">
      <c r="A396">
        <v>1130</v>
      </c>
      <c r="B396" t="s">
        <v>75</v>
      </c>
      <c r="C396">
        <v>0.56000000000000005</v>
      </c>
      <c r="D396">
        <v>0.41499999999999998</v>
      </c>
      <c r="E396">
        <v>0.14499999999999999</v>
      </c>
      <c r="F396">
        <v>0.85199999999999998</v>
      </c>
      <c r="G396">
        <v>0.43</v>
      </c>
      <c r="H396">
        <v>0.1885</v>
      </c>
      <c r="I396">
        <v>0.20499999999999999</v>
      </c>
      <c r="J396">
        <v>8</v>
      </c>
      <c r="K396">
        <v>10</v>
      </c>
      <c r="L396" t="s">
        <v>37</v>
      </c>
      <c r="M396" t="s">
        <v>38</v>
      </c>
      <c r="N396" t="s">
        <v>39</v>
      </c>
      <c r="O396">
        <v>6</v>
      </c>
      <c r="P396" t="s">
        <v>7</v>
      </c>
      <c r="Q396">
        <v>14.1</v>
      </c>
      <c r="R396" t="str">
        <f t="shared" si="13"/>
        <v>III</v>
      </c>
      <c r="S396">
        <f t="shared" si="14"/>
        <v>0.40043999999999996</v>
      </c>
    </row>
    <row r="397" spans="1:19">
      <c r="A397">
        <v>328</v>
      </c>
      <c r="B397" t="s">
        <v>75</v>
      </c>
      <c r="C397">
        <v>0.51</v>
      </c>
      <c r="D397">
        <v>0.4</v>
      </c>
      <c r="E397">
        <v>0.13</v>
      </c>
      <c r="F397">
        <v>0.64349999999999996</v>
      </c>
      <c r="G397">
        <v>0.27</v>
      </c>
      <c r="H397">
        <v>0.16650000000000001</v>
      </c>
      <c r="I397">
        <v>0.20499999999999999</v>
      </c>
      <c r="J397">
        <v>12</v>
      </c>
      <c r="K397">
        <v>7</v>
      </c>
      <c r="L397" t="s">
        <v>62</v>
      </c>
      <c r="M397" t="s">
        <v>63</v>
      </c>
      <c r="N397" t="s">
        <v>64</v>
      </c>
      <c r="O397">
        <v>2</v>
      </c>
      <c r="P397" t="s">
        <v>5</v>
      </c>
      <c r="Q397">
        <v>18</v>
      </c>
      <c r="R397" t="str">
        <f t="shared" si="13"/>
        <v>II</v>
      </c>
      <c r="S397">
        <f t="shared" si="14"/>
        <v>0.23509200000000005</v>
      </c>
    </row>
    <row r="398" spans="1:19">
      <c r="A398">
        <v>1835</v>
      </c>
      <c r="B398" t="s">
        <v>75</v>
      </c>
      <c r="C398">
        <v>0.41</v>
      </c>
      <c r="D398">
        <v>0.315</v>
      </c>
      <c r="E398">
        <v>9.5000000000000001E-2</v>
      </c>
      <c r="F398">
        <v>0.28050000000000003</v>
      </c>
      <c r="G398">
        <v>0.114</v>
      </c>
      <c r="H398">
        <v>3.4500000000000003E-2</v>
      </c>
      <c r="I398">
        <v>0.11</v>
      </c>
      <c r="J398">
        <v>7</v>
      </c>
      <c r="K398">
        <v>1</v>
      </c>
      <c r="L398" t="s">
        <v>70</v>
      </c>
      <c r="M398" t="s">
        <v>71</v>
      </c>
      <c r="N398" t="s">
        <v>45</v>
      </c>
      <c r="O398">
        <v>4</v>
      </c>
      <c r="P398" t="s">
        <v>8</v>
      </c>
      <c r="Q398">
        <v>6.1</v>
      </c>
      <c r="R398" t="str">
        <f t="shared" si="13"/>
        <v>II</v>
      </c>
      <c r="S398">
        <f t="shared" si="14"/>
        <v>9.4248000000000012E-2</v>
      </c>
    </row>
    <row r="399" spans="1:19">
      <c r="A399">
        <v>3842</v>
      </c>
      <c r="B399" t="s">
        <v>75</v>
      </c>
      <c r="C399">
        <v>0.5</v>
      </c>
      <c r="D399">
        <v>0.42</v>
      </c>
      <c r="E399">
        <v>0.125</v>
      </c>
      <c r="F399">
        <v>0.62</v>
      </c>
      <c r="G399">
        <v>0.255</v>
      </c>
      <c r="H399">
        <v>0.15</v>
      </c>
      <c r="I399">
        <v>0.20499999999999999</v>
      </c>
      <c r="J399">
        <v>11</v>
      </c>
      <c r="K399">
        <v>11</v>
      </c>
      <c r="L399" t="s">
        <v>65</v>
      </c>
      <c r="M399" t="s">
        <v>66</v>
      </c>
      <c r="N399" t="s">
        <v>45</v>
      </c>
      <c r="O399">
        <v>3</v>
      </c>
      <c r="P399" t="s">
        <v>10</v>
      </c>
      <c r="Q399">
        <v>3.6</v>
      </c>
      <c r="R399" t="str">
        <f t="shared" si="13"/>
        <v>II</v>
      </c>
      <c r="S399">
        <f t="shared" si="14"/>
        <v>0.22691999999999998</v>
      </c>
    </row>
    <row r="400" spans="1:19">
      <c r="A400">
        <v>3052</v>
      </c>
      <c r="B400" t="s">
        <v>75</v>
      </c>
      <c r="C400">
        <v>0.59499999999999997</v>
      </c>
      <c r="D400">
        <v>0.48</v>
      </c>
      <c r="E400">
        <v>0.14000000000000001</v>
      </c>
      <c r="F400">
        <v>0.91249999999999998</v>
      </c>
      <c r="G400">
        <v>0.40949999999999998</v>
      </c>
      <c r="H400">
        <v>0.1825</v>
      </c>
      <c r="I400">
        <v>0.28899999999999998</v>
      </c>
      <c r="J400">
        <v>9</v>
      </c>
      <c r="K400">
        <v>8</v>
      </c>
      <c r="L400" t="s">
        <v>55</v>
      </c>
      <c r="M400" t="s">
        <v>56</v>
      </c>
      <c r="N400" t="s">
        <v>57</v>
      </c>
      <c r="O400">
        <v>4</v>
      </c>
      <c r="P400" t="s">
        <v>8</v>
      </c>
      <c r="Q400">
        <v>6.1</v>
      </c>
      <c r="R400" t="str">
        <f t="shared" si="13"/>
        <v>III</v>
      </c>
      <c r="S400">
        <f t="shared" si="14"/>
        <v>0.44332291666666668</v>
      </c>
    </row>
    <row r="401" spans="1:19">
      <c r="A401">
        <v>112</v>
      </c>
      <c r="B401" t="s">
        <v>75</v>
      </c>
      <c r="C401">
        <v>0.46500000000000002</v>
      </c>
      <c r="D401">
        <v>0.36</v>
      </c>
      <c r="E401">
        <v>0.105</v>
      </c>
      <c r="F401">
        <v>0.43099999999999999</v>
      </c>
      <c r="G401">
        <v>0.17199999999999999</v>
      </c>
      <c r="H401">
        <v>0.107</v>
      </c>
      <c r="I401">
        <v>0.17499999999999999</v>
      </c>
      <c r="J401">
        <v>9</v>
      </c>
      <c r="K401">
        <v>12</v>
      </c>
      <c r="L401" t="s">
        <v>58</v>
      </c>
      <c r="M401" t="s">
        <v>59</v>
      </c>
      <c r="N401" t="s">
        <v>45</v>
      </c>
      <c r="O401">
        <v>3</v>
      </c>
      <c r="P401" t="s">
        <v>10</v>
      </c>
      <c r="Q401">
        <v>3.6</v>
      </c>
      <c r="R401" t="str">
        <f t="shared" si="13"/>
        <v>II</v>
      </c>
      <c r="S401">
        <f t="shared" si="14"/>
        <v>0.15113733333333335</v>
      </c>
    </row>
    <row r="402" spans="1:19">
      <c r="A402">
        <v>2250</v>
      </c>
      <c r="B402" t="s">
        <v>75</v>
      </c>
      <c r="C402">
        <v>0.58499999999999996</v>
      </c>
      <c r="D402">
        <v>0.45500000000000002</v>
      </c>
      <c r="E402">
        <v>0.16500000000000001</v>
      </c>
      <c r="F402">
        <v>0.998</v>
      </c>
      <c r="G402">
        <v>0.34499999999999997</v>
      </c>
      <c r="H402">
        <v>0.2495</v>
      </c>
      <c r="I402">
        <v>0.315</v>
      </c>
      <c r="J402">
        <v>12</v>
      </c>
      <c r="K402">
        <v>13</v>
      </c>
      <c r="L402" t="s">
        <v>43</v>
      </c>
      <c r="M402" t="s">
        <v>44</v>
      </c>
      <c r="N402" t="s">
        <v>45</v>
      </c>
      <c r="O402">
        <v>8</v>
      </c>
      <c r="P402" t="s">
        <v>13</v>
      </c>
      <c r="Q402">
        <v>12.3</v>
      </c>
      <c r="R402" t="str">
        <f t="shared" si="13"/>
        <v>II</v>
      </c>
      <c r="S402">
        <f t="shared" si="14"/>
        <v>0.38655866666666666</v>
      </c>
    </row>
    <row r="403" spans="1:19">
      <c r="A403">
        <v>222</v>
      </c>
      <c r="B403" t="s">
        <v>75</v>
      </c>
      <c r="C403">
        <v>0.47</v>
      </c>
      <c r="D403">
        <v>0.35</v>
      </c>
      <c r="E403">
        <v>0.14499999999999999</v>
      </c>
      <c r="F403">
        <v>0.51749999999999996</v>
      </c>
      <c r="G403">
        <v>0.187</v>
      </c>
      <c r="H403">
        <v>0.1235</v>
      </c>
      <c r="I403">
        <v>0.18</v>
      </c>
      <c r="J403">
        <v>11</v>
      </c>
      <c r="K403">
        <v>15</v>
      </c>
      <c r="L403" t="s">
        <v>60</v>
      </c>
      <c r="M403" t="s">
        <v>61</v>
      </c>
      <c r="N403" t="s">
        <v>45</v>
      </c>
      <c r="O403">
        <v>5</v>
      </c>
      <c r="P403" t="s">
        <v>12</v>
      </c>
      <c r="Q403">
        <v>12.8</v>
      </c>
      <c r="R403" t="str">
        <f t="shared" si="13"/>
        <v>II</v>
      </c>
      <c r="S403">
        <f t="shared" si="14"/>
        <v>0.18388499999999999</v>
      </c>
    </row>
    <row r="404" spans="1:19">
      <c r="A404">
        <v>2842</v>
      </c>
      <c r="B404" t="s">
        <v>75</v>
      </c>
      <c r="C404">
        <v>0.59499999999999997</v>
      </c>
      <c r="D404">
        <v>0.435</v>
      </c>
      <c r="E404">
        <v>0.16</v>
      </c>
      <c r="F404">
        <v>1.0569999999999999</v>
      </c>
      <c r="G404">
        <v>0.42549999999999999</v>
      </c>
      <c r="H404">
        <v>0.224</v>
      </c>
      <c r="I404">
        <v>0.31</v>
      </c>
      <c r="J404">
        <v>9</v>
      </c>
      <c r="K404">
        <v>2</v>
      </c>
      <c r="L404" t="s">
        <v>49</v>
      </c>
      <c r="M404" t="s">
        <v>50</v>
      </c>
      <c r="N404" t="s">
        <v>51</v>
      </c>
      <c r="O404">
        <v>1</v>
      </c>
      <c r="P404" t="s">
        <v>4</v>
      </c>
      <c r="Q404">
        <v>22.1</v>
      </c>
      <c r="R404" t="str">
        <f t="shared" si="13"/>
        <v>III</v>
      </c>
      <c r="S404">
        <f t="shared" si="14"/>
        <v>0.50912166666666669</v>
      </c>
    </row>
    <row r="405" spans="1:19">
      <c r="A405">
        <v>2376</v>
      </c>
      <c r="B405" t="s">
        <v>75</v>
      </c>
      <c r="C405">
        <v>0.34</v>
      </c>
      <c r="D405">
        <v>0.27500000000000002</v>
      </c>
      <c r="E405">
        <v>0.09</v>
      </c>
      <c r="F405">
        <v>0.20649999999999999</v>
      </c>
      <c r="G405">
        <v>7.2499999999999995E-2</v>
      </c>
      <c r="H405">
        <v>4.2999999999999997E-2</v>
      </c>
      <c r="I405">
        <v>7.0000000000000007E-2</v>
      </c>
      <c r="J405">
        <v>10</v>
      </c>
      <c r="K405">
        <v>10</v>
      </c>
      <c r="L405" t="s">
        <v>37</v>
      </c>
      <c r="M405" t="s">
        <v>38</v>
      </c>
      <c r="N405" t="s">
        <v>39</v>
      </c>
      <c r="O405">
        <v>3</v>
      </c>
      <c r="P405" t="s">
        <v>10</v>
      </c>
      <c r="Q405">
        <v>3.6</v>
      </c>
      <c r="R405" t="str">
        <f t="shared" si="13"/>
        <v>II</v>
      </c>
      <c r="S405">
        <f t="shared" si="14"/>
        <v>6.6217666666666661E-2</v>
      </c>
    </row>
    <row r="406" spans="1:19">
      <c r="A406">
        <v>1575</v>
      </c>
      <c r="B406" t="s">
        <v>75</v>
      </c>
      <c r="C406">
        <v>0.48</v>
      </c>
      <c r="D406">
        <v>0.35499999999999998</v>
      </c>
      <c r="E406">
        <v>0.16</v>
      </c>
      <c r="F406">
        <v>0.46400000000000002</v>
      </c>
      <c r="G406">
        <v>0.221</v>
      </c>
      <c r="H406">
        <v>0.106</v>
      </c>
      <c r="I406">
        <v>0.23899999999999999</v>
      </c>
      <c r="J406">
        <v>8</v>
      </c>
      <c r="K406">
        <v>4</v>
      </c>
      <c r="L406" t="s">
        <v>40</v>
      </c>
      <c r="M406" t="s">
        <v>41</v>
      </c>
      <c r="N406" t="s">
        <v>42</v>
      </c>
      <c r="O406">
        <v>2</v>
      </c>
      <c r="P406" t="s">
        <v>5</v>
      </c>
      <c r="Q406">
        <v>18</v>
      </c>
      <c r="R406" t="str">
        <f t="shared" si="13"/>
        <v>II</v>
      </c>
      <c r="S406">
        <f t="shared" si="14"/>
        <v>0.16673066666666669</v>
      </c>
    </row>
    <row r="407" spans="1:19">
      <c r="A407">
        <v>561</v>
      </c>
      <c r="B407" t="s">
        <v>75</v>
      </c>
      <c r="C407">
        <v>0.44</v>
      </c>
      <c r="D407">
        <v>0.34</v>
      </c>
      <c r="E407">
        <v>0.105</v>
      </c>
      <c r="F407">
        <v>0.36399999999999999</v>
      </c>
      <c r="G407">
        <v>0.14799999999999999</v>
      </c>
      <c r="H407">
        <v>8.0500000000000002E-2</v>
      </c>
      <c r="I407">
        <v>0.11749999999999999</v>
      </c>
      <c r="J407">
        <v>8</v>
      </c>
      <c r="K407">
        <v>14</v>
      </c>
      <c r="L407" t="s">
        <v>72</v>
      </c>
      <c r="M407" t="s">
        <v>73</v>
      </c>
      <c r="N407" t="s">
        <v>74</v>
      </c>
      <c r="O407">
        <v>7</v>
      </c>
      <c r="P407" t="s">
        <v>6</v>
      </c>
      <c r="Q407">
        <v>2.5</v>
      </c>
      <c r="R407" t="str">
        <f t="shared" si="13"/>
        <v>II</v>
      </c>
      <c r="S407">
        <f t="shared" si="14"/>
        <v>0.12545866666666666</v>
      </c>
    </row>
    <row r="408" spans="1:19">
      <c r="A408">
        <v>2532</v>
      </c>
      <c r="B408" t="s">
        <v>75</v>
      </c>
      <c r="C408">
        <v>0.60499999999999998</v>
      </c>
      <c r="D408">
        <v>0.47499999999999998</v>
      </c>
      <c r="E408">
        <v>0.17499999999999999</v>
      </c>
      <c r="F408">
        <v>1.2010000000000001</v>
      </c>
      <c r="G408">
        <v>0.53949999999999998</v>
      </c>
      <c r="H408">
        <v>0.27500000000000002</v>
      </c>
      <c r="I408">
        <v>0.309</v>
      </c>
      <c r="J408">
        <v>10</v>
      </c>
      <c r="K408">
        <v>10</v>
      </c>
      <c r="L408" t="s">
        <v>37</v>
      </c>
      <c r="M408" t="s">
        <v>38</v>
      </c>
      <c r="N408" t="s">
        <v>39</v>
      </c>
      <c r="O408">
        <v>10</v>
      </c>
      <c r="P408" t="s">
        <v>11</v>
      </c>
      <c r="Q408">
        <v>24.1</v>
      </c>
      <c r="R408" t="str">
        <f t="shared" si="13"/>
        <v>I</v>
      </c>
      <c r="S408">
        <f t="shared" si="14"/>
        <v>0.88723874999999996</v>
      </c>
    </row>
    <row r="409" spans="1:19">
      <c r="A409">
        <v>3573</v>
      </c>
      <c r="B409" t="s">
        <v>75</v>
      </c>
      <c r="C409">
        <v>0.58499999999999996</v>
      </c>
      <c r="D409">
        <v>0.46</v>
      </c>
      <c r="E409">
        <v>0.16500000000000001</v>
      </c>
      <c r="F409">
        <v>1.0580000000000001</v>
      </c>
      <c r="G409">
        <v>0.48599999999999999</v>
      </c>
      <c r="H409">
        <v>0.25</v>
      </c>
      <c r="I409">
        <v>0.29399999999999998</v>
      </c>
      <c r="J409">
        <v>9</v>
      </c>
      <c r="K409">
        <v>10</v>
      </c>
      <c r="L409" t="s">
        <v>37</v>
      </c>
      <c r="M409" t="s">
        <v>38</v>
      </c>
      <c r="N409" t="s">
        <v>39</v>
      </c>
      <c r="O409">
        <v>6</v>
      </c>
      <c r="P409" t="s">
        <v>7</v>
      </c>
      <c r="Q409">
        <v>14.1</v>
      </c>
      <c r="R409" t="str">
        <f t="shared" si="13"/>
        <v>III</v>
      </c>
      <c r="S409">
        <f t="shared" si="14"/>
        <v>0.51312999999999998</v>
      </c>
    </row>
    <row r="410" spans="1:19">
      <c r="A410">
        <v>3357</v>
      </c>
      <c r="B410" t="s">
        <v>75</v>
      </c>
      <c r="C410">
        <v>0.39</v>
      </c>
      <c r="D410">
        <v>0.3</v>
      </c>
      <c r="E410">
        <v>0.1</v>
      </c>
      <c r="F410">
        <v>0.3085</v>
      </c>
      <c r="G410">
        <v>0.13850000000000001</v>
      </c>
      <c r="H410">
        <v>7.3499999999999996E-2</v>
      </c>
      <c r="I410">
        <v>8.5000000000000006E-2</v>
      </c>
      <c r="J410">
        <v>6</v>
      </c>
      <c r="K410">
        <v>1</v>
      </c>
      <c r="L410" t="s">
        <v>70</v>
      </c>
      <c r="M410" t="s">
        <v>71</v>
      </c>
      <c r="N410" t="s">
        <v>45</v>
      </c>
      <c r="O410">
        <v>3</v>
      </c>
      <c r="P410" t="s">
        <v>10</v>
      </c>
      <c r="Q410">
        <v>3.6</v>
      </c>
      <c r="R410" t="str">
        <f t="shared" si="13"/>
        <v>II</v>
      </c>
      <c r="S410">
        <f t="shared" si="14"/>
        <v>0.10242200000000001</v>
      </c>
    </row>
    <row r="411" spans="1:19">
      <c r="A411">
        <v>3122</v>
      </c>
      <c r="B411" t="s">
        <v>75</v>
      </c>
      <c r="C411">
        <v>0.55000000000000004</v>
      </c>
      <c r="D411">
        <v>0.42499999999999999</v>
      </c>
      <c r="E411">
        <v>0.14000000000000001</v>
      </c>
      <c r="F411">
        <v>0.95199999999999996</v>
      </c>
      <c r="G411">
        <v>0.48949999999999999</v>
      </c>
      <c r="H411">
        <v>0.19450000000000001</v>
      </c>
      <c r="I411">
        <v>0.2185</v>
      </c>
      <c r="J411">
        <v>7</v>
      </c>
      <c r="K411">
        <v>11</v>
      </c>
      <c r="L411" t="s">
        <v>65</v>
      </c>
      <c r="M411" t="s">
        <v>66</v>
      </c>
      <c r="N411" t="s">
        <v>45</v>
      </c>
      <c r="O411">
        <v>5</v>
      </c>
      <c r="P411" t="s">
        <v>12</v>
      </c>
      <c r="Q411">
        <v>12.8</v>
      </c>
      <c r="R411" t="str">
        <f t="shared" si="13"/>
        <v>III</v>
      </c>
      <c r="S411">
        <f t="shared" si="14"/>
        <v>0.44664666666666658</v>
      </c>
    </row>
    <row r="412" spans="1:19">
      <c r="A412">
        <v>2513</v>
      </c>
      <c r="B412" t="s">
        <v>75</v>
      </c>
      <c r="C412">
        <v>0.46500000000000002</v>
      </c>
      <c r="D412">
        <v>0.375</v>
      </c>
      <c r="E412">
        <v>0.11</v>
      </c>
      <c r="F412">
        <v>0.5</v>
      </c>
      <c r="G412">
        <v>0.21</v>
      </c>
      <c r="H412">
        <v>0.113</v>
      </c>
      <c r="I412">
        <v>0.15049999999999999</v>
      </c>
      <c r="J412">
        <v>8</v>
      </c>
      <c r="K412">
        <v>3</v>
      </c>
      <c r="L412" t="s">
        <v>52</v>
      </c>
      <c r="M412" t="s">
        <v>53</v>
      </c>
      <c r="N412" t="s">
        <v>54</v>
      </c>
      <c r="O412">
        <v>5</v>
      </c>
      <c r="P412" t="s">
        <v>12</v>
      </c>
      <c r="Q412">
        <v>12.8</v>
      </c>
      <c r="R412" t="str">
        <f t="shared" si="13"/>
        <v>II</v>
      </c>
      <c r="S412">
        <f t="shared" si="14"/>
        <v>0.17666666666666667</v>
      </c>
    </row>
    <row r="413" spans="1:19">
      <c r="A413">
        <v>221</v>
      </c>
      <c r="B413" t="s">
        <v>75</v>
      </c>
      <c r="C413">
        <v>0.44500000000000001</v>
      </c>
      <c r="D413">
        <v>0.32500000000000001</v>
      </c>
      <c r="E413">
        <v>0.125</v>
      </c>
      <c r="F413">
        <v>0.45500000000000002</v>
      </c>
      <c r="G413">
        <v>0.17849999999999999</v>
      </c>
      <c r="H413">
        <v>0.1125</v>
      </c>
      <c r="I413">
        <v>0.14000000000000001</v>
      </c>
      <c r="J413">
        <v>9</v>
      </c>
      <c r="K413">
        <v>12</v>
      </c>
      <c r="L413" t="s">
        <v>58</v>
      </c>
      <c r="M413" t="s">
        <v>59</v>
      </c>
      <c r="N413" t="s">
        <v>45</v>
      </c>
      <c r="O413">
        <v>6</v>
      </c>
      <c r="P413" t="s">
        <v>7</v>
      </c>
      <c r="Q413">
        <v>14.1</v>
      </c>
      <c r="R413" t="str">
        <f t="shared" si="13"/>
        <v>II</v>
      </c>
      <c r="S413">
        <f t="shared" si="14"/>
        <v>0.15743000000000001</v>
      </c>
    </row>
    <row r="414" spans="1:19">
      <c r="A414">
        <v>219</v>
      </c>
      <c r="B414" t="s">
        <v>75</v>
      </c>
      <c r="C414">
        <v>0.47</v>
      </c>
      <c r="D414">
        <v>0.36</v>
      </c>
      <c r="E414">
        <v>0.13500000000000001</v>
      </c>
      <c r="F414">
        <v>0.501</v>
      </c>
      <c r="G414">
        <v>0.16650000000000001</v>
      </c>
      <c r="H414">
        <v>0.115</v>
      </c>
      <c r="I414">
        <v>0.16500000000000001</v>
      </c>
      <c r="J414">
        <v>10</v>
      </c>
      <c r="K414">
        <v>2</v>
      </c>
      <c r="L414" t="s">
        <v>49</v>
      </c>
      <c r="M414" t="s">
        <v>50</v>
      </c>
      <c r="N414" t="s">
        <v>51</v>
      </c>
      <c r="O414">
        <v>4</v>
      </c>
      <c r="P414" t="s">
        <v>8</v>
      </c>
      <c r="Q414">
        <v>6.1</v>
      </c>
      <c r="R414" t="str">
        <f t="shared" si="13"/>
        <v>II</v>
      </c>
      <c r="S414">
        <f t="shared" si="14"/>
        <v>0.17802200000000001</v>
      </c>
    </row>
    <row r="415" spans="1:19">
      <c r="A415">
        <v>2483</v>
      </c>
      <c r="B415" t="s">
        <v>75</v>
      </c>
      <c r="C415">
        <v>0.52</v>
      </c>
      <c r="D415">
        <v>0.4</v>
      </c>
      <c r="E415">
        <v>0.16500000000000001</v>
      </c>
      <c r="F415">
        <v>0.85650000000000004</v>
      </c>
      <c r="G415">
        <v>0.27450000000000002</v>
      </c>
      <c r="H415">
        <v>0.20100000000000001</v>
      </c>
      <c r="I415">
        <v>0.21</v>
      </c>
      <c r="J415">
        <v>12</v>
      </c>
      <c r="K415">
        <v>13</v>
      </c>
      <c r="L415" t="s">
        <v>43</v>
      </c>
      <c r="M415" t="s">
        <v>44</v>
      </c>
      <c r="N415" t="s">
        <v>45</v>
      </c>
      <c r="O415">
        <v>5</v>
      </c>
      <c r="P415" t="s">
        <v>12</v>
      </c>
      <c r="Q415">
        <v>12.8</v>
      </c>
      <c r="R415" t="str">
        <f t="shared" si="13"/>
        <v>II</v>
      </c>
      <c r="S415">
        <f t="shared" si="14"/>
        <v>0.31804699999999997</v>
      </c>
    </row>
    <row r="416" spans="1:19">
      <c r="A416">
        <v>1950</v>
      </c>
      <c r="B416" t="s">
        <v>75</v>
      </c>
      <c r="C416">
        <v>0.64</v>
      </c>
      <c r="D416">
        <v>0.53</v>
      </c>
      <c r="E416">
        <v>0.16500000000000001</v>
      </c>
      <c r="F416">
        <v>1.1895</v>
      </c>
      <c r="G416">
        <v>0.47649999999999998</v>
      </c>
      <c r="H416">
        <v>0.3</v>
      </c>
      <c r="I416">
        <v>0.35</v>
      </c>
      <c r="J416">
        <v>11</v>
      </c>
      <c r="K416">
        <v>11</v>
      </c>
      <c r="L416" t="s">
        <v>65</v>
      </c>
      <c r="M416" t="s">
        <v>66</v>
      </c>
      <c r="N416" t="s">
        <v>45</v>
      </c>
      <c r="O416">
        <v>1</v>
      </c>
      <c r="P416" t="s">
        <v>4</v>
      </c>
      <c r="Q416">
        <v>22.1</v>
      </c>
      <c r="R416" t="str">
        <f t="shared" si="13"/>
        <v>III</v>
      </c>
      <c r="S416">
        <f t="shared" si="14"/>
        <v>0.60168874999999988</v>
      </c>
    </row>
    <row r="417" spans="1:19">
      <c r="A417">
        <v>2734</v>
      </c>
      <c r="B417" t="s">
        <v>75</v>
      </c>
      <c r="C417">
        <v>0.41499999999999998</v>
      </c>
      <c r="D417">
        <v>0.33500000000000002</v>
      </c>
      <c r="E417">
        <v>0.1</v>
      </c>
      <c r="F417">
        <v>0.35799999999999998</v>
      </c>
      <c r="G417">
        <v>0.16900000000000001</v>
      </c>
      <c r="H417">
        <v>6.7000000000000004E-2</v>
      </c>
      <c r="I417">
        <v>0.105</v>
      </c>
      <c r="J417">
        <v>7</v>
      </c>
      <c r="K417">
        <v>11</v>
      </c>
      <c r="L417" t="s">
        <v>65</v>
      </c>
      <c r="M417" t="s">
        <v>66</v>
      </c>
      <c r="N417" t="s">
        <v>45</v>
      </c>
      <c r="O417">
        <v>6</v>
      </c>
      <c r="P417" t="s">
        <v>7</v>
      </c>
      <c r="Q417">
        <v>14.1</v>
      </c>
      <c r="R417" t="str">
        <f t="shared" si="13"/>
        <v>II</v>
      </c>
      <c r="S417">
        <f t="shared" si="14"/>
        <v>0.12171999999999999</v>
      </c>
    </row>
    <row r="418" spans="1:19">
      <c r="A418">
        <v>3477</v>
      </c>
      <c r="B418" t="s">
        <v>75</v>
      </c>
      <c r="C418">
        <v>0.4</v>
      </c>
      <c r="D418">
        <v>0.28999999999999998</v>
      </c>
      <c r="E418">
        <v>0.1</v>
      </c>
      <c r="F418">
        <v>0.25800000000000001</v>
      </c>
      <c r="G418">
        <v>0.104</v>
      </c>
      <c r="H418">
        <v>5.8999999999999997E-2</v>
      </c>
      <c r="I418">
        <v>8.1500000000000003E-2</v>
      </c>
      <c r="J418">
        <v>7</v>
      </c>
      <c r="K418">
        <v>7</v>
      </c>
      <c r="L418" t="s">
        <v>62</v>
      </c>
      <c r="M418" t="s">
        <v>63</v>
      </c>
      <c r="N418" t="s">
        <v>64</v>
      </c>
      <c r="O418">
        <v>4</v>
      </c>
      <c r="P418" t="s">
        <v>8</v>
      </c>
      <c r="Q418">
        <v>6.1</v>
      </c>
      <c r="R418" t="str">
        <f t="shared" si="13"/>
        <v>II</v>
      </c>
      <c r="S418">
        <f t="shared" si="14"/>
        <v>8.565600000000001E-2</v>
      </c>
    </row>
    <row r="419" spans="1:19">
      <c r="A419">
        <v>4010</v>
      </c>
      <c r="B419" t="s">
        <v>75</v>
      </c>
      <c r="C419">
        <v>0.61</v>
      </c>
      <c r="D419">
        <v>0.49</v>
      </c>
      <c r="E419">
        <v>0.16</v>
      </c>
      <c r="F419">
        <v>1.1459999999999999</v>
      </c>
      <c r="G419">
        <v>0.59699999999999998</v>
      </c>
      <c r="H419">
        <v>0.246</v>
      </c>
      <c r="I419">
        <v>0.26500000000000001</v>
      </c>
      <c r="J419">
        <v>8</v>
      </c>
      <c r="K419">
        <v>11</v>
      </c>
      <c r="L419" t="s">
        <v>65</v>
      </c>
      <c r="M419" t="s">
        <v>66</v>
      </c>
      <c r="N419" t="s">
        <v>45</v>
      </c>
      <c r="O419">
        <v>6</v>
      </c>
      <c r="P419" t="s">
        <v>7</v>
      </c>
      <c r="Q419">
        <v>14.1</v>
      </c>
      <c r="R419" t="str">
        <f t="shared" si="13"/>
        <v>I</v>
      </c>
      <c r="S419">
        <f t="shared" si="14"/>
        <v>0.84803999999999991</v>
      </c>
    </row>
    <row r="420" spans="1:19">
      <c r="A420">
        <v>2884</v>
      </c>
      <c r="B420" t="s">
        <v>75</v>
      </c>
      <c r="C420">
        <v>0.5</v>
      </c>
      <c r="D420">
        <v>0.37</v>
      </c>
      <c r="E420">
        <v>0.12</v>
      </c>
      <c r="F420">
        <v>0.54449999999999998</v>
      </c>
      <c r="G420">
        <v>0.249</v>
      </c>
      <c r="H420">
        <v>0.1065</v>
      </c>
      <c r="I420">
        <v>0.152</v>
      </c>
      <c r="J420">
        <v>8</v>
      </c>
      <c r="K420">
        <v>3</v>
      </c>
      <c r="L420" t="s">
        <v>52</v>
      </c>
      <c r="M420" t="s">
        <v>53</v>
      </c>
      <c r="N420" t="s">
        <v>54</v>
      </c>
      <c r="O420">
        <v>1</v>
      </c>
      <c r="P420" t="s">
        <v>4</v>
      </c>
      <c r="Q420">
        <v>22.1</v>
      </c>
      <c r="R420" t="str">
        <f t="shared" si="13"/>
        <v>II</v>
      </c>
      <c r="S420">
        <f t="shared" si="14"/>
        <v>0.195294</v>
      </c>
    </row>
    <row r="421" spans="1:19">
      <c r="A421">
        <v>3481</v>
      </c>
      <c r="B421" t="s">
        <v>75</v>
      </c>
      <c r="C421">
        <v>0.45</v>
      </c>
      <c r="D421">
        <v>0.34</v>
      </c>
      <c r="E421">
        <v>0.105</v>
      </c>
      <c r="F421">
        <v>0.4385</v>
      </c>
      <c r="G421">
        <v>0.21</v>
      </c>
      <c r="H421">
        <v>9.2499999999999999E-2</v>
      </c>
      <c r="I421">
        <v>0.12</v>
      </c>
      <c r="J421">
        <v>8</v>
      </c>
      <c r="K421">
        <v>15</v>
      </c>
      <c r="L421" t="s">
        <v>60</v>
      </c>
      <c r="M421" t="s">
        <v>61</v>
      </c>
      <c r="N421" t="s">
        <v>45</v>
      </c>
      <c r="O421">
        <v>7</v>
      </c>
      <c r="P421" t="s">
        <v>6</v>
      </c>
      <c r="Q421">
        <v>2.5</v>
      </c>
      <c r="R421" t="str">
        <f t="shared" si="13"/>
        <v>II</v>
      </c>
      <c r="S421">
        <f t="shared" si="14"/>
        <v>0.15172099999999999</v>
      </c>
    </row>
    <row r="422" spans="1:19">
      <c r="A422">
        <v>3717</v>
      </c>
      <c r="B422" t="s">
        <v>75</v>
      </c>
      <c r="C422">
        <v>0.23499999999999999</v>
      </c>
      <c r="D422">
        <v>0.13</v>
      </c>
      <c r="E422">
        <v>7.4999999999999997E-2</v>
      </c>
      <c r="F422">
        <v>0.1585</v>
      </c>
      <c r="G422">
        <v>6.8500000000000005E-2</v>
      </c>
      <c r="H422">
        <v>3.6999999999999998E-2</v>
      </c>
      <c r="I422">
        <v>4.65E-2</v>
      </c>
      <c r="J422">
        <v>5</v>
      </c>
      <c r="K422">
        <v>10</v>
      </c>
      <c r="L422" t="s">
        <v>37</v>
      </c>
      <c r="M422" t="s">
        <v>38</v>
      </c>
      <c r="N422" t="s">
        <v>39</v>
      </c>
      <c r="O422">
        <v>5</v>
      </c>
      <c r="P422" t="s">
        <v>12</v>
      </c>
      <c r="Q422">
        <v>12.8</v>
      </c>
      <c r="R422" t="str">
        <f t="shared" si="13"/>
        <v>II</v>
      </c>
      <c r="S422">
        <f t="shared" si="14"/>
        <v>4.522533333333334E-2</v>
      </c>
    </row>
    <row r="423" spans="1:19">
      <c r="A423">
        <v>2296</v>
      </c>
      <c r="B423" t="s">
        <v>75</v>
      </c>
      <c r="C423">
        <v>0.52</v>
      </c>
      <c r="D423">
        <v>0.41499999999999998</v>
      </c>
      <c r="E423">
        <v>0.14499999999999999</v>
      </c>
      <c r="F423">
        <v>0.80449999999999999</v>
      </c>
      <c r="G423">
        <v>0.33250000000000002</v>
      </c>
      <c r="H423">
        <v>0.17249999999999999</v>
      </c>
      <c r="I423">
        <v>0.28499999999999998</v>
      </c>
      <c r="J423">
        <v>10</v>
      </c>
      <c r="K423">
        <v>12</v>
      </c>
      <c r="L423" t="s">
        <v>58</v>
      </c>
      <c r="M423" t="s">
        <v>59</v>
      </c>
      <c r="N423" t="s">
        <v>45</v>
      </c>
      <c r="O423">
        <v>1</v>
      </c>
      <c r="P423" t="s">
        <v>4</v>
      </c>
      <c r="Q423">
        <v>22.1</v>
      </c>
      <c r="R423" t="str">
        <f t="shared" si="13"/>
        <v>II</v>
      </c>
      <c r="S423">
        <f t="shared" si="14"/>
        <v>0.29820133333333326</v>
      </c>
    </row>
    <row r="424" spans="1:19">
      <c r="A424">
        <v>1940</v>
      </c>
      <c r="B424" t="s">
        <v>75</v>
      </c>
      <c r="C424">
        <v>0.625</v>
      </c>
      <c r="D424">
        <v>0.44500000000000001</v>
      </c>
      <c r="E424">
        <v>0.16</v>
      </c>
      <c r="F424">
        <v>1.0900000000000001</v>
      </c>
      <c r="G424">
        <v>0.46</v>
      </c>
      <c r="H424">
        <v>0.29649999999999999</v>
      </c>
      <c r="I424">
        <v>0.30399999999999999</v>
      </c>
      <c r="J424">
        <v>11</v>
      </c>
      <c r="K424">
        <v>9</v>
      </c>
      <c r="L424" t="s">
        <v>34</v>
      </c>
      <c r="M424" t="s">
        <v>35</v>
      </c>
      <c r="N424" t="s">
        <v>36</v>
      </c>
      <c r="O424">
        <v>4</v>
      </c>
      <c r="P424" t="s">
        <v>8</v>
      </c>
      <c r="Q424">
        <v>6.1</v>
      </c>
      <c r="R424" t="str">
        <f t="shared" si="13"/>
        <v>III</v>
      </c>
      <c r="S424">
        <f t="shared" si="14"/>
        <v>0.53228333333333333</v>
      </c>
    </row>
    <row r="425" spans="1:19">
      <c r="A425">
        <v>1170</v>
      </c>
      <c r="B425" t="s">
        <v>75</v>
      </c>
      <c r="C425">
        <v>0.62</v>
      </c>
      <c r="D425">
        <v>0.48</v>
      </c>
      <c r="E425">
        <v>0.16</v>
      </c>
      <c r="F425">
        <v>1.1125</v>
      </c>
      <c r="G425">
        <v>0.5635</v>
      </c>
      <c r="H425">
        <v>0.2445</v>
      </c>
      <c r="I425">
        <v>0.28100000000000003</v>
      </c>
      <c r="J425">
        <v>8</v>
      </c>
      <c r="K425">
        <v>3</v>
      </c>
      <c r="L425" t="s">
        <v>52</v>
      </c>
      <c r="M425" t="s">
        <v>53</v>
      </c>
      <c r="N425" t="s">
        <v>54</v>
      </c>
      <c r="O425">
        <v>9</v>
      </c>
      <c r="P425" t="s">
        <v>9</v>
      </c>
      <c r="Q425">
        <v>1.9</v>
      </c>
      <c r="R425" t="str">
        <f t="shared" si="13"/>
        <v>I</v>
      </c>
      <c r="S425">
        <f t="shared" si="14"/>
        <v>0.82325000000000004</v>
      </c>
    </row>
    <row r="426" spans="1:19">
      <c r="A426">
        <v>2289</v>
      </c>
      <c r="B426" t="s">
        <v>75</v>
      </c>
      <c r="C426">
        <v>0.33</v>
      </c>
      <c r="D426">
        <v>0.26500000000000001</v>
      </c>
      <c r="E426">
        <v>0.09</v>
      </c>
      <c r="F426">
        <v>0.18</v>
      </c>
      <c r="G426">
        <v>6.8000000000000005E-2</v>
      </c>
      <c r="H426">
        <v>3.5999999999999997E-2</v>
      </c>
      <c r="I426">
        <v>0.06</v>
      </c>
      <c r="J426">
        <v>6</v>
      </c>
      <c r="K426">
        <v>10</v>
      </c>
      <c r="L426" t="s">
        <v>37</v>
      </c>
      <c r="M426" t="s">
        <v>38</v>
      </c>
      <c r="N426" t="s">
        <v>39</v>
      </c>
      <c r="O426">
        <v>9</v>
      </c>
      <c r="P426" t="s">
        <v>9</v>
      </c>
      <c r="Q426">
        <v>1.9</v>
      </c>
      <c r="R426" t="str">
        <f t="shared" si="13"/>
        <v>II</v>
      </c>
      <c r="S426">
        <f t="shared" si="14"/>
        <v>5.7239999999999992E-2</v>
      </c>
    </row>
    <row r="427" spans="1:19">
      <c r="A427">
        <v>3268</v>
      </c>
      <c r="B427" t="s">
        <v>75</v>
      </c>
      <c r="C427">
        <v>0.4</v>
      </c>
      <c r="D427">
        <v>0.33500000000000002</v>
      </c>
      <c r="E427">
        <v>0.115</v>
      </c>
      <c r="F427">
        <v>0.4335</v>
      </c>
      <c r="G427">
        <v>0.21049999999999999</v>
      </c>
      <c r="H427">
        <v>0.1205</v>
      </c>
      <c r="I427">
        <v>0.12</v>
      </c>
      <c r="J427">
        <v>10</v>
      </c>
      <c r="K427">
        <v>4</v>
      </c>
      <c r="L427" t="s">
        <v>40</v>
      </c>
      <c r="M427" t="s">
        <v>41</v>
      </c>
      <c r="N427" t="s">
        <v>42</v>
      </c>
      <c r="O427">
        <v>4</v>
      </c>
      <c r="P427" t="s">
        <v>8</v>
      </c>
      <c r="Q427">
        <v>6.1</v>
      </c>
      <c r="R427" t="str">
        <f t="shared" si="13"/>
        <v>II</v>
      </c>
      <c r="S427">
        <f t="shared" si="14"/>
        <v>0.14739000000000002</v>
      </c>
    </row>
    <row r="428" spans="1:19">
      <c r="A428">
        <v>1354</v>
      </c>
      <c r="B428" t="s">
        <v>75</v>
      </c>
      <c r="C428">
        <v>0.6</v>
      </c>
      <c r="D428">
        <v>0.48</v>
      </c>
      <c r="E428">
        <v>0.155</v>
      </c>
      <c r="F428">
        <v>1.014</v>
      </c>
      <c r="G428">
        <v>0.45100000000000001</v>
      </c>
      <c r="H428">
        <v>0.1885</v>
      </c>
      <c r="I428">
        <v>0.32500000000000001</v>
      </c>
      <c r="J428">
        <v>11</v>
      </c>
      <c r="K428">
        <v>15</v>
      </c>
      <c r="L428" t="s">
        <v>60</v>
      </c>
      <c r="M428" t="s">
        <v>61</v>
      </c>
      <c r="N428" t="s">
        <v>45</v>
      </c>
      <c r="O428">
        <v>7</v>
      </c>
      <c r="P428" t="s">
        <v>6</v>
      </c>
      <c r="Q428">
        <v>2.5</v>
      </c>
      <c r="R428" t="str">
        <f t="shared" si="13"/>
        <v>III</v>
      </c>
      <c r="S428">
        <f t="shared" si="14"/>
        <v>0.49601499999999993</v>
      </c>
    </row>
    <row r="429" spans="1:19">
      <c r="A429">
        <v>1546</v>
      </c>
      <c r="B429" t="s">
        <v>75</v>
      </c>
      <c r="C429">
        <v>0.375</v>
      </c>
      <c r="D429">
        <v>0.28000000000000003</v>
      </c>
      <c r="E429">
        <v>0.08</v>
      </c>
      <c r="F429">
        <v>0.2165</v>
      </c>
      <c r="G429">
        <v>9.35E-2</v>
      </c>
      <c r="H429">
        <v>9.2499999999999999E-2</v>
      </c>
      <c r="I429">
        <v>7.0000000000000007E-2</v>
      </c>
      <c r="J429">
        <v>7</v>
      </c>
      <c r="K429">
        <v>7</v>
      </c>
      <c r="L429" t="s">
        <v>62</v>
      </c>
      <c r="M429" t="s">
        <v>63</v>
      </c>
      <c r="N429" t="s">
        <v>64</v>
      </c>
      <c r="O429">
        <v>10</v>
      </c>
      <c r="P429" t="s">
        <v>11</v>
      </c>
      <c r="Q429">
        <v>24.1</v>
      </c>
      <c r="R429" t="str">
        <f t="shared" si="13"/>
        <v>II</v>
      </c>
      <c r="S429">
        <f t="shared" si="14"/>
        <v>7.029033333333333E-2</v>
      </c>
    </row>
    <row r="430" spans="1:19">
      <c r="A430">
        <v>3837</v>
      </c>
      <c r="B430" t="s">
        <v>75</v>
      </c>
      <c r="C430">
        <v>0.41</v>
      </c>
      <c r="D430">
        <v>0.32500000000000001</v>
      </c>
      <c r="E430">
        <v>0.1</v>
      </c>
      <c r="F430">
        <v>0.35549999999999998</v>
      </c>
      <c r="G430">
        <v>0.14599999999999999</v>
      </c>
      <c r="H430">
        <v>7.1999999999999995E-2</v>
      </c>
      <c r="I430">
        <v>0.105</v>
      </c>
      <c r="J430">
        <v>9</v>
      </c>
      <c r="K430">
        <v>15</v>
      </c>
      <c r="L430" t="s">
        <v>60</v>
      </c>
      <c r="M430" t="s">
        <v>61</v>
      </c>
      <c r="N430" t="s">
        <v>45</v>
      </c>
      <c r="O430">
        <v>8</v>
      </c>
      <c r="P430" t="s">
        <v>13</v>
      </c>
      <c r="Q430">
        <v>12.3</v>
      </c>
      <c r="R430" t="str">
        <f t="shared" si="13"/>
        <v>II</v>
      </c>
      <c r="S430">
        <f t="shared" si="14"/>
        <v>0.120159</v>
      </c>
    </row>
    <row r="431" spans="1:19">
      <c r="A431">
        <v>2436</v>
      </c>
      <c r="B431" t="s">
        <v>75</v>
      </c>
      <c r="C431">
        <v>0.46500000000000002</v>
      </c>
      <c r="D431">
        <v>0.38</v>
      </c>
      <c r="E431">
        <v>0.13500000000000001</v>
      </c>
      <c r="F431">
        <v>0.57899999999999996</v>
      </c>
      <c r="G431">
        <v>0.20799999999999999</v>
      </c>
      <c r="H431">
        <v>0.1095</v>
      </c>
      <c r="I431">
        <v>0.22</v>
      </c>
      <c r="J431">
        <v>14</v>
      </c>
      <c r="K431">
        <v>1</v>
      </c>
      <c r="L431" t="s">
        <v>70</v>
      </c>
      <c r="M431" t="s">
        <v>71</v>
      </c>
      <c r="N431" t="s">
        <v>45</v>
      </c>
      <c r="O431">
        <v>7</v>
      </c>
      <c r="P431" t="s">
        <v>6</v>
      </c>
      <c r="Q431">
        <v>2.5</v>
      </c>
      <c r="R431" t="str">
        <f t="shared" si="13"/>
        <v>II</v>
      </c>
      <c r="S431">
        <f t="shared" si="14"/>
        <v>0.20689599999999997</v>
      </c>
    </row>
    <row r="432" spans="1:19">
      <c r="A432">
        <v>1843</v>
      </c>
      <c r="B432" t="s">
        <v>75</v>
      </c>
      <c r="C432">
        <v>0.435</v>
      </c>
      <c r="D432">
        <v>0.33</v>
      </c>
      <c r="E432">
        <v>0.11</v>
      </c>
      <c r="F432">
        <v>0.38</v>
      </c>
      <c r="G432">
        <v>0.1515</v>
      </c>
      <c r="H432">
        <v>9.4500000000000001E-2</v>
      </c>
      <c r="I432">
        <v>0.11</v>
      </c>
      <c r="J432">
        <v>7</v>
      </c>
      <c r="K432">
        <v>12</v>
      </c>
      <c r="L432" t="s">
        <v>58</v>
      </c>
      <c r="M432" t="s">
        <v>59</v>
      </c>
      <c r="N432" t="s">
        <v>45</v>
      </c>
      <c r="O432">
        <v>7</v>
      </c>
      <c r="P432" t="s">
        <v>6</v>
      </c>
      <c r="Q432">
        <v>2.5</v>
      </c>
      <c r="R432" t="str">
        <f t="shared" si="13"/>
        <v>II</v>
      </c>
      <c r="S432">
        <f t="shared" si="14"/>
        <v>0.13046666666666668</v>
      </c>
    </row>
    <row r="433" spans="1:19">
      <c r="A433">
        <v>2006</v>
      </c>
      <c r="B433" t="s">
        <v>75</v>
      </c>
      <c r="C433">
        <v>0.39500000000000002</v>
      </c>
      <c r="D433">
        <v>0.28999999999999998</v>
      </c>
      <c r="E433">
        <v>9.5000000000000001E-2</v>
      </c>
      <c r="F433">
        <v>0.3</v>
      </c>
      <c r="G433">
        <v>0.158</v>
      </c>
      <c r="H433">
        <v>6.8000000000000005E-2</v>
      </c>
      <c r="I433">
        <v>7.8E-2</v>
      </c>
      <c r="J433">
        <v>7</v>
      </c>
      <c r="K433">
        <v>10</v>
      </c>
      <c r="L433" t="s">
        <v>37</v>
      </c>
      <c r="M433" t="s">
        <v>38</v>
      </c>
      <c r="N433" t="s">
        <v>39</v>
      </c>
      <c r="O433">
        <v>3</v>
      </c>
      <c r="P433" t="s">
        <v>10</v>
      </c>
      <c r="Q433">
        <v>3.6</v>
      </c>
      <c r="R433" t="str">
        <f t="shared" si="13"/>
        <v>II</v>
      </c>
      <c r="S433">
        <f t="shared" si="14"/>
        <v>9.9199999999999983E-2</v>
      </c>
    </row>
    <row r="434" spans="1:19">
      <c r="A434">
        <v>742</v>
      </c>
      <c r="B434" t="s">
        <v>75</v>
      </c>
      <c r="C434">
        <v>0.36</v>
      </c>
      <c r="D434">
        <v>0.26500000000000001</v>
      </c>
      <c r="E434">
        <v>0.09</v>
      </c>
      <c r="F434">
        <v>0.20649999999999999</v>
      </c>
      <c r="G434">
        <v>7.8E-2</v>
      </c>
      <c r="H434">
        <v>5.7000000000000002E-2</v>
      </c>
      <c r="I434">
        <v>0.06</v>
      </c>
      <c r="J434">
        <v>8</v>
      </c>
      <c r="K434">
        <v>7</v>
      </c>
      <c r="L434" t="s">
        <v>62</v>
      </c>
      <c r="M434" t="s">
        <v>63</v>
      </c>
      <c r="N434" t="s">
        <v>64</v>
      </c>
      <c r="O434">
        <v>5</v>
      </c>
      <c r="P434" t="s">
        <v>12</v>
      </c>
      <c r="Q434">
        <v>12.8</v>
      </c>
      <c r="R434" t="str">
        <f t="shared" si="13"/>
        <v>II</v>
      </c>
      <c r="S434">
        <f t="shared" si="14"/>
        <v>6.6492999999999997E-2</v>
      </c>
    </row>
    <row r="435" spans="1:19">
      <c r="A435">
        <v>2193</v>
      </c>
      <c r="B435" t="s">
        <v>75</v>
      </c>
      <c r="C435">
        <v>0.57499999999999996</v>
      </c>
      <c r="D435">
        <v>0.48499999999999999</v>
      </c>
      <c r="E435">
        <v>0.16500000000000001</v>
      </c>
      <c r="F435">
        <v>1.0405</v>
      </c>
      <c r="G435">
        <v>0.41899999999999998</v>
      </c>
      <c r="H435">
        <v>0.26400000000000001</v>
      </c>
      <c r="I435">
        <v>0.3</v>
      </c>
      <c r="J435">
        <v>14</v>
      </c>
      <c r="K435">
        <v>4</v>
      </c>
      <c r="L435" t="s">
        <v>40</v>
      </c>
      <c r="M435" t="s">
        <v>41</v>
      </c>
      <c r="N435" t="s">
        <v>42</v>
      </c>
      <c r="O435">
        <v>1</v>
      </c>
      <c r="P435" t="s">
        <v>4</v>
      </c>
      <c r="Q435">
        <v>22.1</v>
      </c>
      <c r="R435" t="str">
        <f t="shared" si="13"/>
        <v>III</v>
      </c>
      <c r="S435">
        <f t="shared" si="14"/>
        <v>0.50724374999999988</v>
      </c>
    </row>
    <row r="436" spans="1:19">
      <c r="A436">
        <v>1989</v>
      </c>
      <c r="B436" t="s">
        <v>75</v>
      </c>
      <c r="C436">
        <v>0.21</v>
      </c>
      <c r="D436">
        <v>0.15</v>
      </c>
      <c r="E436">
        <v>5.5E-2</v>
      </c>
      <c r="F436">
        <v>4.65E-2</v>
      </c>
      <c r="G436">
        <v>1.7000000000000001E-2</v>
      </c>
      <c r="H436">
        <v>1.2E-2</v>
      </c>
      <c r="I436">
        <v>1.4999999999999999E-2</v>
      </c>
      <c r="J436">
        <v>5</v>
      </c>
      <c r="K436">
        <v>13</v>
      </c>
      <c r="L436" t="s">
        <v>43</v>
      </c>
      <c r="M436" t="s">
        <v>44</v>
      </c>
      <c r="N436" t="s">
        <v>45</v>
      </c>
      <c r="O436">
        <v>8</v>
      </c>
      <c r="P436" t="s">
        <v>13</v>
      </c>
      <c r="Q436">
        <v>12.3</v>
      </c>
      <c r="R436" t="str">
        <f t="shared" si="13"/>
        <v>II</v>
      </c>
      <c r="S436">
        <f t="shared" si="14"/>
        <v>1.3113E-2</v>
      </c>
    </row>
    <row r="437" spans="1:19">
      <c r="A437">
        <v>2900</v>
      </c>
      <c r="B437" t="s">
        <v>75</v>
      </c>
      <c r="C437">
        <v>0.55000000000000004</v>
      </c>
      <c r="D437">
        <v>0.42499999999999999</v>
      </c>
      <c r="E437">
        <v>0.13</v>
      </c>
      <c r="F437">
        <v>0.66400000000000003</v>
      </c>
      <c r="G437">
        <v>0.26950000000000002</v>
      </c>
      <c r="H437">
        <v>0.16300000000000001</v>
      </c>
      <c r="I437">
        <v>0.21</v>
      </c>
      <c r="J437">
        <v>8</v>
      </c>
      <c r="K437">
        <v>14</v>
      </c>
      <c r="L437" t="s">
        <v>72</v>
      </c>
      <c r="M437" t="s">
        <v>73</v>
      </c>
      <c r="N437" t="s">
        <v>74</v>
      </c>
      <c r="O437">
        <v>6</v>
      </c>
      <c r="P437" t="s">
        <v>7</v>
      </c>
      <c r="Q437">
        <v>14.1</v>
      </c>
      <c r="R437" t="str">
        <f t="shared" si="13"/>
        <v>II</v>
      </c>
      <c r="S437">
        <f t="shared" si="14"/>
        <v>0.248336</v>
      </c>
    </row>
    <row r="438" spans="1:19">
      <c r="A438">
        <v>1882</v>
      </c>
      <c r="B438" t="s">
        <v>75</v>
      </c>
      <c r="C438">
        <v>0.55000000000000004</v>
      </c>
      <c r="D438">
        <v>0.45</v>
      </c>
      <c r="E438">
        <v>0.13</v>
      </c>
      <c r="F438">
        <v>0.80400000000000005</v>
      </c>
      <c r="G438">
        <v>0.33750000000000002</v>
      </c>
      <c r="H438">
        <v>0.14050000000000001</v>
      </c>
      <c r="I438">
        <v>0.23</v>
      </c>
      <c r="J438">
        <v>6</v>
      </c>
      <c r="K438">
        <v>15</v>
      </c>
      <c r="L438" t="s">
        <v>60</v>
      </c>
      <c r="M438" t="s">
        <v>61</v>
      </c>
      <c r="N438" t="s">
        <v>45</v>
      </c>
      <c r="O438">
        <v>9</v>
      </c>
      <c r="P438" t="s">
        <v>9</v>
      </c>
      <c r="Q438">
        <v>1.9</v>
      </c>
      <c r="R438" t="str">
        <f t="shared" si="13"/>
        <v>II</v>
      </c>
      <c r="S438">
        <f t="shared" si="14"/>
        <v>0.30337600000000003</v>
      </c>
    </row>
    <row r="439" spans="1:19">
      <c r="A439">
        <v>3675</v>
      </c>
      <c r="B439" t="s">
        <v>75</v>
      </c>
      <c r="C439">
        <v>0.59499999999999997</v>
      </c>
      <c r="D439">
        <v>0.45</v>
      </c>
      <c r="E439">
        <v>0.16500000000000001</v>
      </c>
      <c r="F439">
        <v>1.081</v>
      </c>
      <c r="G439">
        <v>0.49</v>
      </c>
      <c r="H439">
        <v>0.2525</v>
      </c>
      <c r="I439">
        <v>0.27900000000000003</v>
      </c>
      <c r="J439">
        <v>12</v>
      </c>
      <c r="K439">
        <v>3</v>
      </c>
      <c r="L439" t="s">
        <v>52</v>
      </c>
      <c r="M439" t="s">
        <v>53</v>
      </c>
      <c r="N439" t="s">
        <v>54</v>
      </c>
      <c r="O439">
        <v>7</v>
      </c>
      <c r="P439" t="s">
        <v>6</v>
      </c>
      <c r="Q439">
        <v>2.5</v>
      </c>
      <c r="R439" t="str">
        <f t="shared" si="13"/>
        <v>III</v>
      </c>
      <c r="S439">
        <f t="shared" si="14"/>
        <v>0.524285</v>
      </c>
    </row>
    <row r="440" spans="1:19">
      <c r="A440">
        <v>1939</v>
      </c>
      <c r="B440" t="s">
        <v>75</v>
      </c>
      <c r="C440">
        <v>0.625</v>
      </c>
      <c r="D440">
        <v>0.505</v>
      </c>
      <c r="E440">
        <v>0.185</v>
      </c>
      <c r="F440">
        <v>1.1565000000000001</v>
      </c>
      <c r="G440">
        <v>0.52</v>
      </c>
      <c r="H440">
        <v>0.24049999999999999</v>
      </c>
      <c r="I440">
        <v>0.35349999999999998</v>
      </c>
      <c r="J440">
        <v>10</v>
      </c>
      <c r="K440">
        <v>4</v>
      </c>
      <c r="L440" t="s">
        <v>40</v>
      </c>
      <c r="M440" t="s">
        <v>41</v>
      </c>
      <c r="N440" t="s">
        <v>42</v>
      </c>
      <c r="O440">
        <v>10</v>
      </c>
      <c r="P440" t="s">
        <v>11</v>
      </c>
      <c r="Q440">
        <v>24.1</v>
      </c>
      <c r="R440" t="str">
        <f t="shared" si="13"/>
        <v>I</v>
      </c>
      <c r="S440">
        <f t="shared" si="14"/>
        <v>0.87171187499999991</v>
      </c>
    </row>
    <row r="441" spans="1:19">
      <c r="A441">
        <v>3474</v>
      </c>
      <c r="B441" t="s">
        <v>75</v>
      </c>
      <c r="C441">
        <v>0.21</v>
      </c>
      <c r="D441">
        <v>0.15</v>
      </c>
      <c r="E441">
        <v>5.5E-2</v>
      </c>
      <c r="F441">
        <v>4.5499999999999999E-2</v>
      </c>
      <c r="G441">
        <v>0.02</v>
      </c>
      <c r="H441">
        <v>6.4999999999999997E-3</v>
      </c>
      <c r="I441">
        <v>1.2999999999999999E-2</v>
      </c>
      <c r="J441">
        <v>4</v>
      </c>
      <c r="K441">
        <v>4</v>
      </c>
      <c r="L441" t="s">
        <v>40</v>
      </c>
      <c r="M441" t="s">
        <v>41</v>
      </c>
      <c r="N441" t="s">
        <v>42</v>
      </c>
      <c r="O441">
        <v>10</v>
      </c>
      <c r="P441" t="s">
        <v>11</v>
      </c>
      <c r="Q441">
        <v>24.1</v>
      </c>
      <c r="R441" t="str">
        <f t="shared" si="13"/>
        <v>II</v>
      </c>
      <c r="S441">
        <f t="shared" si="14"/>
        <v>1.2830999999999999E-2</v>
      </c>
    </row>
    <row r="442" spans="1:19">
      <c r="A442">
        <v>2397</v>
      </c>
      <c r="B442" t="s">
        <v>75</v>
      </c>
      <c r="C442">
        <v>0.625</v>
      </c>
      <c r="D442">
        <v>0.46500000000000002</v>
      </c>
      <c r="E442">
        <v>0.155</v>
      </c>
      <c r="F442">
        <v>0.97199999999999998</v>
      </c>
      <c r="G442">
        <v>0.40400000000000003</v>
      </c>
      <c r="H442">
        <v>0.1845</v>
      </c>
      <c r="I442">
        <v>0.35</v>
      </c>
      <c r="J442">
        <v>14</v>
      </c>
      <c r="K442">
        <v>5</v>
      </c>
      <c r="L442" t="s">
        <v>67</v>
      </c>
      <c r="M442" t="s">
        <v>68</v>
      </c>
      <c r="N442" t="s">
        <v>69</v>
      </c>
      <c r="O442">
        <v>2</v>
      </c>
      <c r="P442" t="s">
        <v>5</v>
      </c>
      <c r="Q442">
        <v>18</v>
      </c>
      <c r="R442" t="str">
        <f t="shared" si="13"/>
        <v>III</v>
      </c>
      <c r="S442">
        <f t="shared" si="14"/>
        <v>0.47709000000000007</v>
      </c>
    </row>
    <row r="443" spans="1:19">
      <c r="A443">
        <v>1259</v>
      </c>
      <c r="B443" t="s">
        <v>75</v>
      </c>
      <c r="C443">
        <v>0.43</v>
      </c>
      <c r="D443">
        <v>0.315</v>
      </c>
      <c r="E443">
        <v>9.5000000000000001E-2</v>
      </c>
      <c r="F443">
        <v>0.378</v>
      </c>
      <c r="G443">
        <v>0.17499999999999999</v>
      </c>
      <c r="H443">
        <v>0.08</v>
      </c>
      <c r="I443">
        <v>0.1045</v>
      </c>
      <c r="J443">
        <v>8</v>
      </c>
      <c r="K443">
        <v>15</v>
      </c>
      <c r="L443" t="s">
        <v>60</v>
      </c>
      <c r="M443" t="s">
        <v>61</v>
      </c>
      <c r="N443" t="s">
        <v>45</v>
      </c>
      <c r="O443">
        <v>8</v>
      </c>
      <c r="P443" t="s">
        <v>13</v>
      </c>
      <c r="Q443">
        <v>12.3</v>
      </c>
      <c r="R443" t="str">
        <f t="shared" si="13"/>
        <v>II</v>
      </c>
      <c r="S443">
        <f t="shared" si="14"/>
        <v>0.12801599999999999</v>
      </c>
    </row>
    <row r="444" spans="1:19">
      <c r="A444">
        <v>1848</v>
      </c>
      <c r="B444" t="s">
        <v>75</v>
      </c>
      <c r="C444">
        <v>0.47</v>
      </c>
      <c r="D444">
        <v>0.375</v>
      </c>
      <c r="E444">
        <v>0.12</v>
      </c>
      <c r="F444">
        <v>0.48699999999999999</v>
      </c>
      <c r="G444">
        <v>0.19600000000000001</v>
      </c>
      <c r="H444">
        <v>9.9000000000000005E-2</v>
      </c>
      <c r="I444">
        <v>0.13500000000000001</v>
      </c>
      <c r="J444">
        <v>8</v>
      </c>
      <c r="K444">
        <v>1</v>
      </c>
      <c r="L444" t="s">
        <v>70</v>
      </c>
      <c r="M444" t="s">
        <v>71</v>
      </c>
      <c r="N444" t="s">
        <v>45</v>
      </c>
      <c r="O444">
        <v>9</v>
      </c>
      <c r="P444" t="s">
        <v>9</v>
      </c>
      <c r="Q444">
        <v>1.9</v>
      </c>
      <c r="R444" t="str">
        <f t="shared" si="13"/>
        <v>II</v>
      </c>
      <c r="S444">
        <f t="shared" si="14"/>
        <v>0.17304733333333333</v>
      </c>
    </row>
    <row r="445" spans="1:19">
      <c r="A445">
        <v>832</v>
      </c>
      <c r="B445" t="s">
        <v>75</v>
      </c>
      <c r="C445">
        <v>0.42499999999999999</v>
      </c>
      <c r="D445">
        <v>0.32500000000000001</v>
      </c>
      <c r="E445">
        <v>0.1</v>
      </c>
      <c r="F445">
        <v>0.39800000000000002</v>
      </c>
      <c r="G445">
        <v>0.11849999999999999</v>
      </c>
      <c r="H445">
        <v>6.4500000000000002E-2</v>
      </c>
      <c r="I445">
        <v>9.4500000000000001E-2</v>
      </c>
      <c r="J445">
        <v>6</v>
      </c>
      <c r="K445">
        <v>4</v>
      </c>
      <c r="L445" t="s">
        <v>40</v>
      </c>
      <c r="M445" t="s">
        <v>41</v>
      </c>
      <c r="N445" t="s">
        <v>42</v>
      </c>
      <c r="O445">
        <v>4</v>
      </c>
      <c r="P445" t="s">
        <v>8</v>
      </c>
      <c r="Q445">
        <v>6.1</v>
      </c>
      <c r="R445" t="str">
        <f t="shared" si="13"/>
        <v>II</v>
      </c>
      <c r="S445">
        <f t="shared" si="14"/>
        <v>0.13532</v>
      </c>
    </row>
    <row r="446" spans="1:19">
      <c r="A446">
        <v>518</v>
      </c>
      <c r="B446" t="s">
        <v>75</v>
      </c>
      <c r="C446">
        <v>0.28000000000000003</v>
      </c>
      <c r="D446">
        <v>0.2</v>
      </c>
      <c r="E446">
        <v>0.08</v>
      </c>
      <c r="F446">
        <v>9.1499999999999998E-2</v>
      </c>
      <c r="G446">
        <v>3.3000000000000002E-2</v>
      </c>
      <c r="H446">
        <v>2.1499999999999998E-2</v>
      </c>
      <c r="I446">
        <v>0.03</v>
      </c>
      <c r="J446">
        <v>5</v>
      </c>
      <c r="K446">
        <v>12</v>
      </c>
      <c r="L446" t="s">
        <v>58</v>
      </c>
      <c r="M446" t="s">
        <v>59</v>
      </c>
      <c r="N446" t="s">
        <v>45</v>
      </c>
      <c r="O446">
        <v>7</v>
      </c>
      <c r="P446" t="s">
        <v>6</v>
      </c>
      <c r="Q446">
        <v>2.5</v>
      </c>
      <c r="R446" t="str">
        <f t="shared" si="13"/>
        <v>II</v>
      </c>
      <c r="S446">
        <f t="shared" si="14"/>
        <v>2.7571999999999999E-2</v>
      </c>
    </row>
    <row r="447" spans="1:19">
      <c r="A447">
        <v>202</v>
      </c>
      <c r="B447" t="s">
        <v>75</v>
      </c>
      <c r="C447">
        <v>0.5</v>
      </c>
      <c r="D447">
        <v>0.4</v>
      </c>
      <c r="E447">
        <v>0.16500000000000001</v>
      </c>
      <c r="F447">
        <v>0.82499999999999996</v>
      </c>
      <c r="G447">
        <v>0.254</v>
      </c>
      <c r="H447">
        <v>0.20499999999999999</v>
      </c>
      <c r="I447">
        <v>0.28499999999999998</v>
      </c>
      <c r="J447">
        <v>13</v>
      </c>
      <c r="K447">
        <v>10</v>
      </c>
      <c r="L447" t="s">
        <v>37</v>
      </c>
      <c r="M447" t="s">
        <v>38</v>
      </c>
      <c r="N447" t="s">
        <v>39</v>
      </c>
      <c r="O447">
        <v>6</v>
      </c>
      <c r="P447" t="s">
        <v>7</v>
      </c>
      <c r="Q447">
        <v>14.1</v>
      </c>
      <c r="R447" t="str">
        <f t="shared" si="13"/>
        <v>II</v>
      </c>
      <c r="S447">
        <f t="shared" si="14"/>
        <v>0.30414999999999998</v>
      </c>
    </row>
    <row r="448" spans="1:19">
      <c r="A448">
        <v>4140</v>
      </c>
      <c r="B448" t="s">
        <v>75</v>
      </c>
      <c r="C448">
        <v>0.63500000000000001</v>
      </c>
      <c r="D448">
        <v>0.495</v>
      </c>
      <c r="E448">
        <v>0.17499999999999999</v>
      </c>
      <c r="F448">
        <v>1.2355</v>
      </c>
      <c r="G448">
        <v>0.52049999999999996</v>
      </c>
      <c r="H448">
        <v>0.3085</v>
      </c>
      <c r="I448">
        <v>0.34699999999999998</v>
      </c>
      <c r="J448">
        <v>10</v>
      </c>
      <c r="K448">
        <v>5</v>
      </c>
      <c r="L448" t="s">
        <v>67</v>
      </c>
      <c r="M448" t="s">
        <v>68</v>
      </c>
      <c r="N448" t="s">
        <v>69</v>
      </c>
      <c r="O448">
        <v>1</v>
      </c>
      <c r="P448" t="s">
        <v>4</v>
      </c>
      <c r="Q448">
        <v>22.1</v>
      </c>
      <c r="R448" t="str">
        <f t="shared" si="13"/>
        <v>I</v>
      </c>
      <c r="S448">
        <f t="shared" si="14"/>
        <v>0.92816937500000007</v>
      </c>
    </row>
    <row r="449" spans="1:19">
      <c r="A449">
        <v>214</v>
      </c>
      <c r="B449" t="s">
        <v>75</v>
      </c>
      <c r="C449">
        <v>0.5</v>
      </c>
      <c r="D449">
        <v>0.40500000000000003</v>
      </c>
      <c r="E449">
        <v>0.14000000000000001</v>
      </c>
      <c r="F449">
        <v>0.61550000000000005</v>
      </c>
      <c r="G449">
        <v>0.24099999999999999</v>
      </c>
      <c r="H449">
        <v>0.13550000000000001</v>
      </c>
      <c r="I449">
        <v>0.20499999999999999</v>
      </c>
      <c r="J449">
        <v>9</v>
      </c>
      <c r="K449">
        <v>8</v>
      </c>
      <c r="L449" t="s">
        <v>55</v>
      </c>
      <c r="M449" t="s">
        <v>56</v>
      </c>
      <c r="N449" t="s">
        <v>57</v>
      </c>
      <c r="O449">
        <v>4</v>
      </c>
      <c r="P449" t="s">
        <v>8</v>
      </c>
      <c r="Q449">
        <v>6.1</v>
      </c>
      <c r="R449" t="str">
        <f t="shared" si="13"/>
        <v>II</v>
      </c>
      <c r="S449">
        <f t="shared" si="14"/>
        <v>0.22527300000000003</v>
      </c>
    </row>
    <row r="450" spans="1:19">
      <c r="A450">
        <v>791</v>
      </c>
      <c r="B450" t="s">
        <v>75</v>
      </c>
      <c r="C450">
        <v>0.56999999999999995</v>
      </c>
      <c r="D450">
        <v>0.46500000000000002</v>
      </c>
      <c r="E450">
        <v>0.16</v>
      </c>
      <c r="F450">
        <v>0.89349999999999996</v>
      </c>
      <c r="G450">
        <v>0.3145</v>
      </c>
      <c r="H450">
        <v>0.25750000000000001</v>
      </c>
      <c r="I450">
        <v>0.26300000000000001</v>
      </c>
      <c r="J450">
        <v>10</v>
      </c>
      <c r="K450">
        <v>14</v>
      </c>
      <c r="L450" t="s">
        <v>72</v>
      </c>
      <c r="M450" t="s">
        <v>73</v>
      </c>
      <c r="N450" t="s">
        <v>74</v>
      </c>
      <c r="O450">
        <v>10</v>
      </c>
      <c r="P450" t="s">
        <v>11</v>
      </c>
      <c r="Q450">
        <v>24.1</v>
      </c>
      <c r="R450" t="str">
        <f t="shared" si="13"/>
        <v>II</v>
      </c>
      <c r="S450">
        <f t="shared" si="14"/>
        <v>0.34489100000000006</v>
      </c>
    </row>
    <row r="451" spans="1:19">
      <c r="A451">
        <v>4167</v>
      </c>
      <c r="B451" t="s">
        <v>75</v>
      </c>
      <c r="C451">
        <v>0.47499999999999998</v>
      </c>
      <c r="D451">
        <v>0.36499999999999999</v>
      </c>
      <c r="E451">
        <v>0.115</v>
      </c>
      <c r="F451">
        <v>0.499</v>
      </c>
      <c r="G451">
        <v>0.23200000000000001</v>
      </c>
      <c r="H451">
        <v>8.8499999999999995E-2</v>
      </c>
      <c r="I451">
        <v>0.156</v>
      </c>
      <c r="J451">
        <v>10</v>
      </c>
      <c r="K451">
        <v>1</v>
      </c>
      <c r="L451" t="s">
        <v>70</v>
      </c>
      <c r="M451" t="s">
        <v>71</v>
      </c>
      <c r="N451" t="s">
        <v>45</v>
      </c>
      <c r="O451">
        <v>5</v>
      </c>
      <c r="P451" t="s">
        <v>12</v>
      </c>
      <c r="Q451">
        <v>12.8</v>
      </c>
      <c r="R451" t="str">
        <f t="shared" ref="R451:R514" si="15">IF(OR(AND(J451 &gt; 15, B451 = "Infant"), AND(D451 = "Male", C451 &gt; 0.75),
    OR(I451 &gt; 0.8, G451 &gt; 0.5), G451 &gt; 1.2),
    "I",
    IF(OR(AND(I451 &lt; 0.4, G451 &lt; 0.4), AND(J451 &gt; 15, D451 = "Male"), AND(J451 &gt; 18, D451 = "Female"), C451 &lt; 0.36),
    "II",
    "III"))</f>
        <v>II</v>
      </c>
      <c r="S451">
        <f t="shared" ref="S451:S514" si="16">IF(OR(AND(J451 &gt; 15, B451 = "Infant"), AND(D451 = "Male", C451 &gt; 0.75), OR(I451 &gt; 0.8, G451 &gt; 0.5), G451 &gt; 1.2), (1 + (1/3)*(C451 - 0.5) + (1/3)*(D451 - 0.4) + (1/3)*(E451 - 0.4)) * F451 * 0.5 * 1.5, IF(OR(AND(I451 &lt; 0.4, G451 &lt; 0.4), AND(J451 &gt; 15, D451 = "Male"), AND(J451 &gt; 18, D451 = "Female"), C451 &lt; 0.36), (1 + (1/3)*(C451 - 0.5) + (1/3)*(D451 - 0.4) + (1/3)*(E451 - 0.4)) * F451 * 0.5 * 0.8, (1 + (1/3)*(C451 - 0.5) + (1/3)*(D451 - 0.4) + (1/3)*(E451 - 0.4)) * F451 * 0.5))</f>
        <v>0.176646</v>
      </c>
    </row>
    <row r="452" spans="1:19">
      <c r="A452">
        <v>1437</v>
      </c>
      <c r="B452" t="s">
        <v>75</v>
      </c>
      <c r="C452">
        <v>0.39500000000000002</v>
      </c>
      <c r="D452">
        <v>0.29499999999999998</v>
      </c>
      <c r="E452">
        <v>0.09</v>
      </c>
      <c r="F452">
        <v>0.30249999999999999</v>
      </c>
      <c r="G452">
        <v>0.14299999999999999</v>
      </c>
      <c r="H452">
        <v>6.6500000000000004E-2</v>
      </c>
      <c r="I452">
        <v>7.6499999999999999E-2</v>
      </c>
      <c r="J452">
        <v>5</v>
      </c>
      <c r="K452">
        <v>10</v>
      </c>
      <c r="L452" t="s">
        <v>37</v>
      </c>
      <c r="M452" t="s">
        <v>38</v>
      </c>
      <c r="N452" t="s">
        <v>39</v>
      </c>
      <c r="O452">
        <v>4</v>
      </c>
      <c r="P452" t="s">
        <v>8</v>
      </c>
      <c r="Q452">
        <v>6.1</v>
      </c>
      <c r="R452" t="str">
        <f t="shared" si="15"/>
        <v>II</v>
      </c>
      <c r="S452">
        <f t="shared" si="16"/>
        <v>0.10002666666666665</v>
      </c>
    </row>
    <row r="453" spans="1:19">
      <c r="A453">
        <v>3214</v>
      </c>
      <c r="B453" t="s">
        <v>75</v>
      </c>
      <c r="C453">
        <v>0.55500000000000005</v>
      </c>
      <c r="D453">
        <v>0.42</v>
      </c>
      <c r="E453">
        <v>0.14000000000000001</v>
      </c>
      <c r="F453">
        <v>0.86799999999999999</v>
      </c>
      <c r="G453">
        <v>0.33</v>
      </c>
      <c r="H453">
        <v>0.24299999999999999</v>
      </c>
      <c r="I453">
        <v>0.21</v>
      </c>
      <c r="J453">
        <v>13</v>
      </c>
      <c r="K453">
        <v>8</v>
      </c>
      <c r="L453" t="s">
        <v>55</v>
      </c>
      <c r="M453" t="s">
        <v>56</v>
      </c>
      <c r="N453" t="s">
        <v>57</v>
      </c>
      <c r="O453">
        <v>5</v>
      </c>
      <c r="P453" t="s">
        <v>12</v>
      </c>
      <c r="Q453">
        <v>12.8</v>
      </c>
      <c r="R453" t="str">
        <f t="shared" si="15"/>
        <v>II</v>
      </c>
      <c r="S453">
        <f t="shared" si="16"/>
        <v>0.32578933333333332</v>
      </c>
    </row>
    <row r="454" spans="1:19">
      <c r="A454">
        <v>1600</v>
      </c>
      <c r="B454" t="s">
        <v>75</v>
      </c>
      <c r="C454">
        <v>0.53</v>
      </c>
      <c r="D454">
        <v>0.42</v>
      </c>
      <c r="E454">
        <v>0.13</v>
      </c>
      <c r="F454">
        <v>0.83650000000000002</v>
      </c>
      <c r="G454">
        <v>0.3745</v>
      </c>
      <c r="H454">
        <v>0.16700000000000001</v>
      </c>
      <c r="I454">
        <v>0.249</v>
      </c>
      <c r="J454">
        <v>11</v>
      </c>
      <c r="K454">
        <v>8</v>
      </c>
      <c r="L454" t="s">
        <v>55</v>
      </c>
      <c r="M454" t="s">
        <v>56</v>
      </c>
      <c r="N454" t="s">
        <v>57</v>
      </c>
      <c r="O454">
        <v>2</v>
      </c>
      <c r="P454" t="s">
        <v>5</v>
      </c>
      <c r="Q454">
        <v>18</v>
      </c>
      <c r="R454" t="str">
        <f t="shared" si="15"/>
        <v>II</v>
      </c>
      <c r="S454">
        <f t="shared" si="16"/>
        <v>0.31006266666666671</v>
      </c>
    </row>
    <row r="455" spans="1:19">
      <c r="A455">
        <v>2189</v>
      </c>
      <c r="B455" t="s">
        <v>75</v>
      </c>
      <c r="C455">
        <v>0.47</v>
      </c>
      <c r="D455">
        <v>0.37</v>
      </c>
      <c r="E455">
        <v>0.13500000000000001</v>
      </c>
      <c r="F455">
        <v>0.54700000000000004</v>
      </c>
      <c r="G455">
        <v>0.222</v>
      </c>
      <c r="H455">
        <v>0.13250000000000001</v>
      </c>
      <c r="I455">
        <v>0.17</v>
      </c>
      <c r="J455">
        <v>12</v>
      </c>
      <c r="K455">
        <v>13</v>
      </c>
      <c r="L455" t="s">
        <v>43</v>
      </c>
      <c r="M455" t="s">
        <v>44</v>
      </c>
      <c r="N455" t="s">
        <v>45</v>
      </c>
      <c r="O455">
        <v>4</v>
      </c>
      <c r="P455" t="s">
        <v>8</v>
      </c>
      <c r="Q455">
        <v>6.1</v>
      </c>
      <c r="R455" t="str">
        <f t="shared" si="15"/>
        <v>II</v>
      </c>
      <c r="S455">
        <f t="shared" si="16"/>
        <v>0.1950966666666667</v>
      </c>
    </row>
    <row r="456" spans="1:19">
      <c r="A456">
        <v>625</v>
      </c>
      <c r="B456" t="s">
        <v>75</v>
      </c>
      <c r="C456">
        <v>0.46500000000000002</v>
      </c>
      <c r="D456">
        <v>0.36</v>
      </c>
      <c r="E456">
        <v>0.105</v>
      </c>
      <c r="F456">
        <v>0.498</v>
      </c>
      <c r="G456">
        <v>0.214</v>
      </c>
      <c r="H456">
        <v>0.11600000000000001</v>
      </c>
      <c r="I456">
        <v>0.14000000000000001</v>
      </c>
      <c r="J456">
        <v>15</v>
      </c>
      <c r="K456">
        <v>15</v>
      </c>
      <c r="L456" t="s">
        <v>60</v>
      </c>
      <c r="M456" t="s">
        <v>61</v>
      </c>
      <c r="N456" t="s">
        <v>45</v>
      </c>
      <c r="O456">
        <v>3</v>
      </c>
      <c r="P456" t="s">
        <v>10</v>
      </c>
      <c r="Q456">
        <v>3.6</v>
      </c>
      <c r="R456" t="str">
        <f t="shared" si="15"/>
        <v>II</v>
      </c>
      <c r="S456">
        <f t="shared" si="16"/>
        <v>0.17463200000000001</v>
      </c>
    </row>
    <row r="457" spans="1:19">
      <c r="A457">
        <v>2903</v>
      </c>
      <c r="B457" t="s">
        <v>75</v>
      </c>
      <c r="C457">
        <v>0.56000000000000005</v>
      </c>
      <c r="D457">
        <v>0.435</v>
      </c>
      <c r="E457">
        <v>0.13</v>
      </c>
      <c r="F457">
        <v>0.77700000000000002</v>
      </c>
      <c r="G457">
        <v>0.35399999999999998</v>
      </c>
      <c r="H457">
        <v>0.17299999999999999</v>
      </c>
      <c r="I457">
        <v>0.222</v>
      </c>
      <c r="J457">
        <v>9</v>
      </c>
      <c r="K457">
        <v>9</v>
      </c>
      <c r="L457" t="s">
        <v>34</v>
      </c>
      <c r="M457" t="s">
        <v>35</v>
      </c>
      <c r="N457" t="s">
        <v>36</v>
      </c>
      <c r="O457">
        <v>2</v>
      </c>
      <c r="P457" t="s">
        <v>5</v>
      </c>
      <c r="Q457">
        <v>18</v>
      </c>
      <c r="R457" t="str">
        <f t="shared" si="15"/>
        <v>II</v>
      </c>
      <c r="S457">
        <f t="shared" si="16"/>
        <v>0.29267000000000004</v>
      </c>
    </row>
    <row r="458" spans="1:19">
      <c r="A458">
        <v>4029</v>
      </c>
      <c r="B458" t="s">
        <v>75</v>
      </c>
      <c r="C458">
        <v>0.42</v>
      </c>
      <c r="D458">
        <v>0.31</v>
      </c>
      <c r="E458">
        <v>0.1</v>
      </c>
      <c r="F458">
        <v>0.28050000000000003</v>
      </c>
      <c r="G458">
        <v>0.1125</v>
      </c>
      <c r="H458">
        <v>6.1499999999999999E-2</v>
      </c>
      <c r="I458">
        <v>9.2499999999999999E-2</v>
      </c>
      <c r="J458">
        <v>8</v>
      </c>
      <c r="K458">
        <v>6</v>
      </c>
      <c r="L458" t="s">
        <v>46</v>
      </c>
      <c r="M458" t="s">
        <v>47</v>
      </c>
      <c r="N458" t="s">
        <v>48</v>
      </c>
      <c r="O458">
        <v>7</v>
      </c>
      <c r="P458" t="s">
        <v>6</v>
      </c>
      <c r="Q458">
        <v>2.5</v>
      </c>
      <c r="R458" t="str">
        <f t="shared" si="15"/>
        <v>II</v>
      </c>
      <c r="S458">
        <f t="shared" si="16"/>
        <v>9.4622000000000026E-2</v>
      </c>
    </row>
    <row r="459" spans="1:19">
      <c r="A459">
        <v>1056</v>
      </c>
      <c r="B459" t="s">
        <v>75</v>
      </c>
      <c r="C459">
        <v>0.19500000000000001</v>
      </c>
      <c r="D459">
        <v>0.13500000000000001</v>
      </c>
      <c r="E459">
        <v>0.04</v>
      </c>
      <c r="F459">
        <v>3.2500000000000001E-2</v>
      </c>
      <c r="G459">
        <v>1.35E-2</v>
      </c>
      <c r="H459">
        <v>5.0000000000000001E-3</v>
      </c>
      <c r="I459">
        <v>9.4999999999999998E-3</v>
      </c>
      <c r="J459">
        <v>4</v>
      </c>
      <c r="K459">
        <v>15</v>
      </c>
      <c r="L459" t="s">
        <v>60</v>
      </c>
      <c r="M459" t="s">
        <v>61</v>
      </c>
      <c r="N459" t="s">
        <v>45</v>
      </c>
      <c r="O459">
        <v>6</v>
      </c>
      <c r="P459" t="s">
        <v>7</v>
      </c>
      <c r="Q459">
        <v>14.1</v>
      </c>
      <c r="R459" t="str">
        <f t="shared" si="15"/>
        <v>II</v>
      </c>
      <c r="S459">
        <f t="shared" si="16"/>
        <v>8.9700000000000005E-3</v>
      </c>
    </row>
    <row r="460" spans="1:19">
      <c r="A460">
        <v>3187</v>
      </c>
      <c r="B460" t="s">
        <v>75</v>
      </c>
      <c r="C460">
        <v>0.47</v>
      </c>
      <c r="D460">
        <v>0.36</v>
      </c>
      <c r="E460">
        <v>0.11</v>
      </c>
      <c r="F460">
        <v>0.4965</v>
      </c>
      <c r="G460">
        <v>0.23699999999999999</v>
      </c>
      <c r="H460">
        <v>0.127</v>
      </c>
      <c r="I460">
        <v>0.13</v>
      </c>
      <c r="J460">
        <v>6</v>
      </c>
      <c r="K460">
        <v>3</v>
      </c>
      <c r="L460" t="s">
        <v>52</v>
      </c>
      <c r="M460" t="s">
        <v>53</v>
      </c>
      <c r="N460" t="s">
        <v>54</v>
      </c>
      <c r="O460">
        <v>1</v>
      </c>
      <c r="P460" t="s">
        <v>4</v>
      </c>
      <c r="Q460">
        <v>22.1</v>
      </c>
      <c r="R460" t="str">
        <f t="shared" si="15"/>
        <v>II</v>
      </c>
      <c r="S460">
        <f t="shared" si="16"/>
        <v>0.17476800000000001</v>
      </c>
    </row>
    <row r="461" spans="1:19">
      <c r="A461">
        <v>1103</v>
      </c>
      <c r="B461" t="s">
        <v>75</v>
      </c>
      <c r="C461">
        <v>0.5</v>
      </c>
      <c r="D461">
        <v>0.39</v>
      </c>
      <c r="E461">
        <v>0.125</v>
      </c>
      <c r="F461">
        <v>0.52149999999999996</v>
      </c>
      <c r="G461">
        <v>0.2485</v>
      </c>
      <c r="H461">
        <v>0.11700000000000001</v>
      </c>
      <c r="I461">
        <v>0.13100000000000001</v>
      </c>
      <c r="J461">
        <v>6</v>
      </c>
      <c r="K461">
        <v>8</v>
      </c>
      <c r="L461" t="s">
        <v>55</v>
      </c>
      <c r="M461" t="s">
        <v>56</v>
      </c>
      <c r="N461" t="s">
        <v>57</v>
      </c>
      <c r="O461">
        <v>7</v>
      </c>
      <c r="P461" t="s">
        <v>6</v>
      </c>
      <c r="Q461">
        <v>2.5</v>
      </c>
      <c r="R461" t="str">
        <f t="shared" si="15"/>
        <v>II</v>
      </c>
      <c r="S461">
        <f t="shared" si="16"/>
        <v>0.18878300000000001</v>
      </c>
    </row>
    <row r="462" spans="1:19">
      <c r="A462">
        <v>970</v>
      </c>
      <c r="B462" t="s">
        <v>75</v>
      </c>
      <c r="C462">
        <v>0.51</v>
      </c>
      <c r="D462">
        <v>0.41</v>
      </c>
      <c r="E462">
        <v>0.14499999999999999</v>
      </c>
      <c r="F462">
        <v>0.79600000000000004</v>
      </c>
      <c r="G462">
        <v>0.38650000000000001</v>
      </c>
      <c r="H462">
        <v>0.18149999999999999</v>
      </c>
      <c r="I462">
        <v>0.19550000000000001</v>
      </c>
      <c r="J462">
        <v>8</v>
      </c>
      <c r="K462">
        <v>2</v>
      </c>
      <c r="L462" t="s">
        <v>49</v>
      </c>
      <c r="M462" t="s">
        <v>50</v>
      </c>
      <c r="N462" t="s">
        <v>51</v>
      </c>
      <c r="O462">
        <v>7</v>
      </c>
      <c r="P462" t="s">
        <v>6</v>
      </c>
      <c r="Q462">
        <v>2.5</v>
      </c>
      <c r="R462" t="str">
        <f t="shared" si="15"/>
        <v>II</v>
      </c>
      <c r="S462">
        <f t="shared" si="16"/>
        <v>0.29345866666666676</v>
      </c>
    </row>
    <row r="463" spans="1:19">
      <c r="A463">
        <v>2066</v>
      </c>
      <c r="B463" t="s">
        <v>75</v>
      </c>
      <c r="C463">
        <v>0.53500000000000003</v>
      </c>
      <c r="D463">
        <v>0.42</v>
      </c>
      <c r="E463">
        <v>0.13</v>
      </c>
      <c r="F463">
        <v>0.69899999999999995</v>
      </c>
      <c r="G463">
        <v>0.3125</v>
      </c>
      <c r="H463">
        <v>0.1565</v>
      </c>
      <c r="I463">
        <v>0.20349999999999999</v>
      </c>
      <c r="J463">
        <v>8</v>
      </c>
      <c r="K463">
        <v>9</v>
      </c>
      <c r="L463" t="s">
        <v>34</v>
      </c>
      <c r="M463" t="s">
        <v>35</v>
      </c>
      <c r="N463" t="s">
        <v>36</v>
      </c>
      <c r="O463">
        <v>8</v>
      </c>
      <c r="P463" t="s">
        <v>13</v>
      </c>
      <c r="Q463">
        <v>12.3</v>
      </c>
      <c r="R463" t="str">
        <f t="shared" si="15"/>
        <v>II</v>
      </c>
      <c r="S463">
        <f t="shared" si="16"/>
        <v>0.25956200000000001</v>
      </c>
    </row>
    <row r="464" spans="1:19">
      <c r="A464">
        <v>3928</v>
      </c>
      <c r="B464" t="s">
        <v>75</v>
      </c>
      <c r="C464">
        <v>0.5</v>
      </c>
      <c r="D464">
        <v>0.38</v>
      </c>
      <c r="E464">
        <v>0.155</v>
      </c>
      <c r="F464">
        <v>0.66749999999999998</v>
      </c>
      <c r="G464">
        <v>0.27450000000000002</v>
      </c>
      <c r="H464">
        <v>0.156</v>
      </c>
      <c r="I464">
        <v>0.18</v>
      </c>
      <c r="J464">
        <v>12</v>
      </c>
      <c r="K464">
        <v>8</v>
      </c>
      <c r="L464" t="s">
        <v>55</v>
      </c>
      <c r="M464" t="s">
        <v>56</v>
      </c>
      <c r="N464" t="s">
        <v>57</v>
      </c>
      <c r="O464">
        <v>10</v>
      </c>
      <c r="P464" t="s">
        <v>11</v>
      </c>
      <c r="Q464">
        <v>24.1</v>
      </c>
      <c r="R464" t="str">
        <f t="shared" si="15"/>
        <v>II</v>
      </c>
      <c r="S464">
        <f t="shared" si="16"/>
        <v>0.24341499999999999</v>
      </c>
    </row>
    <row r="465" spans="1:19">
      <c r="A465">
        <v>1292</v>
      </c>
      <c r="B465" t="s">
        <v>75</v>
      </c>
      <c r="C465">
        <v>0.51500000000000001</v>
      </c>
      <c r="D465">
        <v>0.42</v>
      </c>
      <c r="E465">
        <v>0.13500000000000001</v>
      </c>
      <c r="F465">
        <v>0.71099999999999997</v>
      </c>
      <c r="G465">
        <v>0.33700000000000002</v>
      </c>
      <c r="H465">
        <v>0.14399999999999999</v>
      </c>
      <c r="I465">
        <v>0.20499999999999999</v>
      </c>
      <c r="J465">
        <v>13</v>
      </c>
      <c r="K465">
        <v>13</v>
      </c>
      <c r="L465" t="s">
        <v>43</v>
      </c>
      <c r="M465" t="s">
        <v>44</v>
      </c>
      <c r="N465" t="s">
        <v>45</v>
      </c>
      <c r="O465">
        <v>5</v>
      </c>
      <c r="P465" t="s">
        <v>12</v>
      </c>
      <c r="Q465">
        <v>12.8</v>
      </c>
      <c r="R465" t="str">
        <f t="shared" si="15"/>
        <v>II</v>
      </c>
      <c r="S465">
        <f t="shared" si="16"/>
        <v>0.26259599999999994</v>
      </c>
    </row>
    <row r="466" spans="1:19">
      <c r="A466">
        <v>2899</v>
      </c>
      <c r="B466" t="s">
        <v>75</v>
      </c>
      <c r="C466">
        <v>0.55000000000000004</v>
      </c>
      <c r="D466">
        <v>0.435</v>
      </c>
      <c r="E466">
        <v>0.16500000000000001</v>
      </c>
      <c r="F466">
        <v>0.80400000000000005</v>
      </c>
      <c r="G466">
        <v>0.34</v>
      </c>
      <c r="H466">
        <v>0.19400000000000001</v>
      </c>
      <c r="I466">
        <v>0.24399999999999999</v>
      </c>
      <c r="J466">
        <v>8</v>
      </c>
      <c r="K466">
        <v>2</v>
      </c>
      <c r="L466" t="s">
        <v>49</v>
      </c>
      <c r="M466" t="s">
        <v>50</v>
      </c>
      <c r="N466" t="s">
        <v>51</v>
      </c>
      <c r="O466">
        <v>6</v>
      </c>
      <c r="P466" t="s">
        <v>7</v>
      </c>
      <c r="Q466">
        <v>14.1</v>
      </c>
      <c r="R466" t="str">
        <f t="shared" si="15"/>
        <v>II</v>
      </c>
      <c r="S466">
        <f t="shared" si="16"/>
        <v>0.30552000000000001</v>
      </c>
    </row>
    <row r="467" spans="1:19">
      <c r="A467">
        <v>4116</v>
      </c>
      <c r="B467" t="s">
        <v>75</v>
      </c>
      <c r="C467">
        <v>0.60499999999999998</v>
      </c>
      <c r="D467">
        <v>0.46500000000000002</v>
      </c>
      <c r="E467">
        <v>0.155</v>
      </c>
      <c r="F467">
        <v>1.1000000000000001</v>
      </c>
      <c r="G467">
        <v>0.54700000000000004</v>
      </c>
      <c r="H467">
        <v>0.26650000000000001</v>
      </c>
      <c r="I467">
        <v>0.25850000000000001</v>
      </c>
      <c r="J467">
        <v>10</v>
      </c>
      <c r="K467">
        <v>14</v>
      </c>
      <c r="L467" t="s">
        <v>72</v>
      </c>
      <c r="M467" t="s">
        <v>73</v>
      </c>
      <c r="N467" t="s">
        <v>74</v>
      </c>
      <c r="O467">
        <v>7</v>
      </c>
      <c r="P467" t="s">
        <v>6</v>
      </c>
      <c r="Q467">
        <v>2.5</v>
      </c>
      <c r="R467" t="str">
        <f t="shared" si="15"/>
        <v>I</v>
      </c>
      <c r="S467">
        <f t="shared" si="16"/>
        <v>0.80437500000000006</v>
      </c>
    </row>
    <row r="468" spans="1:19">
      <c r="A468">
        <v>1927</v>
      </c>
      <c r="B468" t="s">
        <v>75</v>
      </c>
      <c r="C468">
        <v>0.61499999999999999</v>
      </c>
      <c r="D468">
        <v>0.47</v>
      </c>
      <c r="E468">
        <v>0.14499999999999999</v>
      </c>
      <c r="F468">
        <v>1.0285</v>
      </c>
      <c r="G468">
        <v>0.44350000000000001</v>
      </c>
      <c r="H468">
        <v>0.28249999999999997</v>
      </c>
      <c r="I468">
        <v>0.28499999999999998</v>
      </c>
      <c r="J468">
        <v>11</v>
      </c>
      <c r="K468">
        <v>7</v>
      </c>
      <c r="L468" t="s">
        <v>62</v>
      </c>
      <c r="M468" t="s">
        <v>63</v>
      </c>
      <c r="N468" t="s">
        <v>64</v>
      </c>
      <c r="O468">
        <v>2</v>
      </c>
      <c r="P468" t="s">
        <v>5</v>
      </c>
      <c r="Q468">
        <v>18</v>
      </c>
      <c r="R468" t="str">
        <f t="shared" si="15"/>
        <v>III</v>
      </c>
      <c r="S468">
        <f t="shared" si="16"/>
        <v>0.50225083333333331</v>
      </c>
    </row>
    <row r="469" spans="1:19">
      <c r="A469">
        <v>1075</v>
      </c>
      <c r="B469" t="s">
        <v>75</v>
      </c>
      <c r="C469">
        <v>0.41</v>
      </c>
      <c r="D469">
        <v>0.3</v>
      </c>
      <c r="E469">
        <v>0.1</v>
      </c>
      <c r="F469">
        <v>0.28199999999999997</v>
      </c>
      <c r="G469">
        <v>0.1255</v>
      </c>
      <c r="H469">
        <v>5.7000000000000002E-2</v>
      </c>
      <c r="I469">
        <v>8.7499999999999994E-2</v>
      </c>
      <c r="J469">
        <v>7</v>
      </c>
      <c r="K469">
        <v>12</v>
      </c>
      <c r="L469" t="s">
        <v>58</v>
      </c>
      <c r="M469" t="s">
        <v>59</v>
      </c>
      <c r="N469" t="s">
        <v>45</v>
      </c>
      <c r="O469">
        <v>1</v>
      </c>
      <c r="P469" t="s">
        <v>4</v>
      </c>
      <c r="Q469">
        <v>22.1</v>
      </c>
      <c r="R469" t="str">
        <f t="shared" si="15"/>
        <v>II</v>
      </c>
      <c r="S469">
        <f t="shared" si="16"/>
        <v>9.4376000000000002E-2</v>
      </c>
    </row>
    <row r="470" spans="1:19">
      <c r="A470">
        <v>1454</v>
      </c>
      <c r="B470" t="s">
        <v>75</v>
      </c>
      <c r="C470">
        <v>0.47</v>
      </c>
      <c r="D470">
        <v>0.35</v>
      </c>
      <c r="E470">
        <v>0.125</v>
      </c>
      <c r="F470">
        <v>0.43149999999999999</v>
      </c>
      <c r="G470">
        <v>0.19</v>
      </c>
      <c r="H470">
        <v>0.11650000000000001</v>
      </c>
      <c r="I470">
        <v>0.11749999999999999</v>
      </c>
      <c r="J470">
        <v>6</v>
      </c>
      <c r="K470">
        <v>5</v>
      </c>
      <c r="L470" t="s">
        <v>67</v>
      </c>
      <c r="M470" t="s">
        <v>68</v>
      </c>
      <c r="N470" t="s">
        <v>69</v>
      </c>
      <c r="O470">
        <v>9</v>
      </c>
      <c r="P470" t="s">
        <v>9</v>
      </c>
      <c r="Q470">
        <v>1.9</v>
      </c>
      <c r="R470" t="str">
        <f t="shared" si="15"/>
        <v>II</v>
      </c>
      <c r="S470">
        <f t="shared" si="16"/>
        <v>0.15217566666666665</v>
      </c>
    </row>
    <row r="471" spans="1:19">
      <c r="A471">
        <v>862</v>
      </c>
      <c r="B471" t="s">
        <v>75</v>
      </c>
      <c r="C471">
        <v>0.59499999999999997</v>
      </c>
      <c r="D471">
        <v>0.46500000000000002</v>
      </c>
      <c r="E471">
        <v>0.14000000000000001</v>
      </c>
      <c r="F471">
        <v>1.113</v>
      </c>
      <c r="G471">
        <v>0.51749999999999996</v>
      </c>
      <c r="H471">
        <v>0.24399999999999999</v>
      </c>
      <c r="I471">
        <v>0.30499999999999999</v>
      </c>
      <c r="J471">
        <v>12</v>
      </c>
      <c r="K471">
        <v>1</v>
      </c>
      <c r="L471" t="s">
        <v>70</v>
      </c>
      <c r="M471" t="s">
        <v>71</v>
      </c>
      <c r="N471" t="s">
        <v>45</v>
      </c>
      <c r="O471">
        <v>1</v>
      </c>
      <c r="P471" t="s">
        <v>4</v>
      </c>
      <c r="Q471">
        <v>22.1</v>
      </c>
      <c r="R471" t="str">
        <f t="shared" si="15"/>
        <v>I</v>
      </c>
      <c r="S471">
        <f t="shared" si="16"/>
        <v>0.80692500000000011</v>
      </c>
    </row>
    <row r="472" spans="1:19">
      <c r="A472">
        <v>1988</v>
      </c>
      <c r="B472" t="s">
        <v>75</v>
      </c>
      <c r="C472">
        <v>0.16</v>
      </c>
      <c r="D472">
        <v>0.11</v>
      </c>
      <c r="E472">
        <v>2.5000000000000001E-2</v>
      </c>
      <c r="F472">
        <v>1.95E-2</v>
      </c>
      <c r="G472">
        <v>7.4999999999999997E-3</v>
      </c>
      <c r="H472">
        <v>5.0000000000000001E-3</v>
      </c>
      <c r="I472">
        <v>6.0000000000000001E-3</v>
      </c>
      <c r="J472">
        <v>4</v>
      </c>
      <c r="K472">
        <v>8</v>
      </c>
      <c r="L472" t="s">
        <v>55</v>
      </c>
      <c r="M472" t="s">
        <v>56</v>
      </c>
      <c r="N472" t="s">
        <v>57</v>
      </c>
      <c r="O472">
        <v>3</v>
      </c>
      <c r="P472" t="s">
        <v>10</v>
      </c>
      <c r="Q472">
        <v>3.6</v>
      </c>
      <c r="R472" t="str">
        <f t="shared" si="15"/>
        <v>II</v>
      </c>
      <c r="S472">
        <f t="shared" si="16"/>
        <v>5.1870000000000006E-3</v>
      </c>
    </row>
    <row r="473" spans="1:19">
      <c r="A473">
        <v>935</v>
      </c>
      <c r="B473" t="s">
        <v>75</v>
      </c>
      <c r="C473">
        <v>0.45</v>
      </c>
      <c r="D473">
        <v>0.35499999999999998</v>
      </c>
      <c r="E473">
        <v>0.105</v>
      </c>
      <c r="F473">
        <v>0.44450000000000001</v>
      </c>
      <c r="G473">
        <v>0.19700000000000001</v>
      </c>
      <c r="H473">
        <v>9.2999999999999999E-2</v>
      </c>
      <c r="I473">
        <v>0.13350000000000001</v>
      </c>
      <c r="J473">
        <v>8</v>
      </c>
      <c r="K473">
        <v>2</v>
      </c>
      <c r="L473" t="s">
        <v>49</v>
      </c>
      <c r="M473" t="s">
        <v>50</v>
      </c>
      <c r="N473" t="s">
        <v>51</v>
      </c>
      <c r="O473">
        <v>5</v>
      </c>
      <c r="P473" t="s">
        <v>12</v>
      </c>
      <c r="Q473">
        <v>12.8</v>
      </c>
      <c r="R473" t="str">
        <f t="shared" si="15"/>
        <v>II</v>
      </c>
      <c r="S473">
        <f t="shared" si="16"/>
        <v>0.15468600000000002</v>
      </c>
    </row>
    <row r="474" spans="1:19">
      <c r="A474">
        <v>1328</v>
      </c>
      <c r="B474" t="s">
        <v>75</v>
      </c>
      <c r="C474">
        <v>0.56499999999999995</v>
      </c>
      <c r="D474">
        <v>0.39</v>
      </c>
      <c r="E474">
        <v>0.125</v>
      </c>
      <c r="F474">
        <v>0.74399999999999999</v>
      </c>
      <c r="G474">
        <v>0.35199999999999998</v>
      </c>
      <c r="H474">
        <v>0.13</v>
      </c>
      <c r="I474">
        <v>0.16850000000000001</v>
      </c>
      <c r="J474">
        <v>11</v>
      </c>
      <c r="K474">
        <v>6</v>
      </c>
      <c r="L474" t="s">
        <v>46</v>
      </c>
      <c r="M474" t="s">
        <v>47</v>
      </c>
      <c r="N474" t="s">
        <v>48</v>
      </c>
      <c r="O474">
        <v>3</v>
      </c>
      <c r="P474" t="s">
        <v>10</v>
      </c>
      <c r="Q474">
        <v>3.6</v>
      </c>
      <c r="R474" t="str">
        <f t="shared" si="15"/>
        <v>II</v>
      </c>
      <c r="S474">
        <f t="shared" si="16"/>
        <v>0.27577599999999997</v>
      </c>
    </row>
    <row r="475" spans="1:19">
      <c r="A475">
        <v>2510</v>
      </c>
      <c r="B475" t="s">
        <v>75</v>
      </c>
      <c r="C475">
        <v>0.41499999999999998</v>
      </c>
      <c r="D475">
        <v>0.315</v>
      </c>
      <c r="E475">
        <v>0.09</v>
      </c>
      <c r="F475">
        <v>0.36249999999999999</v>
      </c>
      <c r="G475">
        <v>0.17499999999999999</v>
      </c>
      <c r="H475">
        <v>8.3500000000000005E-2</v>
      </c>
      <c r="I475">
        <v>9.2999999999999999E-2</v>
      </c>
      <c r="J475">
        <v>6</v>
      </c>
      <c r="K475">
        <v>8</v>
      </c>
      <c r="L475" t="s">
        <v>55</v>
      </c>
      <c r="M475" t="s">
        <v>56</v>
      </c>
      <c r="N475" t="s">
        <v>57</v>
      </c>
      <c r="O475">
        <v>3</v>
      </c>
      <c r="P475" t="s">
        <v>10</v>
      </c>
      <c r="Q475">
        <v>3.6</v>
      </c>
      <c r="R475" t="str">
        <f t="shared" si="15"/>
        <v>II</v>
      </c>
      <c r="S475">
        <f t="shared" si="16"/>
        <v>0.12180000000000001</v>
      </c>
    </row>
    <row r="476" spans="1:19">
      <c r="A476">
        <v>782</v>
      </c>
      <c r="B476" t="s">
        <v>75</v>
      </c>
      <c r="C476">
        <v>0.505</v>
      </c>
      <c r="D476">
        <v>0.38500000000000001</v>
      </c>
      <c r="E476">
        <v>0.15</v>
      </c>
      <c r="F476">
        <v>0.64149999999999996</v>
      </c>
      <c r="G476">
        <v>0.246</v>
      </c>
      <c r="H476">
        <v>0.152</v>
      </c>
      <c r="I476">
        <v>0.215</v>
      </c>
      <c r="J476">
        <v>12</v>
      </c>
      <c r="K476">
        <v>9</v>
      </c>
      <c r="L476" t="s">
        <v>34</v>
      </c>
      <c r="M476" t="s">
        <v>35</v>
      </c>
      <c r="N476" t="s">
        <v>36</v>
      </c>
      <c r="O476">
        <v>9</v>
      </c>
      <c r="P476" t="s">
        <v>9</v>
      </c>
      <c r="Q476">
        <v>1.9</v>
      </c>
      <c r="R476" t="str">
        <f t="shared" si="15"/>
        <v>II</v>
      </c>
      <c r="S476">
        <f t="shared" si="16"/>
        <v>0.23436133333333334</v>
      </c>
    </row>
    <row r="477" spans="1:19">
      <c r="A477">
        <v>76</v>
      </c>
      <c r="B477" t="s">
        <v>75</v>
      </c>
      <c r="C477">
        <v>0.6</v>
      </c>
      <c r="D477">
        <v>0.47499999999999998</v>
      </c>
      <c r="E477">
        <v>0.15</v>
      </c>
      <c r="F477">
        <v>1.0075000000000001</v>
      </c>
      <c r="G477">
        <v>0.4425</v>
      </c>
      <c r="H477">
        <v>0.221</v>
      </c>
      <c r="I477">
        <v>0.28000000000000003</v>
      </c>
      <c r="J477">
        <v>15</v>
      </c>
      <c r="K477">
        <v>2</v>
      </c>
      <c r="L477" t="s">
        <v>49</v>
      </c>
      <c r="M477" t="s">
        <v>50</v>
      </c>
      <c r="N477" t="s">
        <v>51</v>
      </c>
      <c r="O477">
        <v>2</v>
      </c>
      <c r="P477" t="s">
        <v>5</v>
      </c>
      <c r="Q477">
        <v>18</v>
      </c>
      <c r="R477" t="str">
        <f t="shared" si="15"/>
        <v>III</v>
      </c>
      <c r="S477">
        <f t="shared" si="16"/>
        <v>0.49115624999999991</v>
      </c>
    </row>
    <row r="478" spans="1:19">
      <c r="A478">
        <v>1123</v>
      </c>
      <c r="B478" t="s">
        <v>75</v>
      </c>
      <c r="C478">
        <v>0.54500000000000004</v>
      </c>
      <c r="D478">
        <v>0.41499999999999998</v>
      </c>
      <c r="E478">
        <v>0.14000000000000001</v>
      </c>
      <c r="F478">
        <v>0.82</v>
      </c>
      <c r="G478">
        <v>0.46150000000000002</v>
      </c>
      <c r="H478">
        <v>0.127</v>
      </c>
      <c r="I478">
        <v>0.218</v>
      </c>
      <c r="J478">
        <v>9</v>
      </c>
      <c r="K478">
        <v>11</v>
      </c>
      <c r="L478" t="s">
        <v>65</v>
      </c>
      <c r="M478" t="s">
        <v>66</v>
      </c>
      <c r="N478" t="s">
        <v>45</v>
      </c>
      <c r="O478">
        <v>10</v>
      </c>
      <c r="P478" t="s">
        <v>11</v>
      </c>
      <c r="Q478">
        <v>24.1</v>
      </c>
      <c r="R478" t="str">
        <f t="shared" si="15"/>
        <v>III</v>
      </c>
      <c r="S478">
        <f t="shared" si="16"/>
        <v>0.38266666666666665</v>
      </c>
    </row>
    <row r="479" spans="1:19">
      <c r="A479">
        <v>377</v>
      </c>
      <c r="B479" t="s">
        <v>75</v>
      </c>
      <c r="C479">
        <v>0.63</v>
      </c>
      <c r="D479">
        <v>0.49</v>
      </c>
      <c r="E479">
        <v>0.19</v>
      </c>
      <c r="F479">
        <v>1.1775</v>
      </c>
      <c r="G479">
        <v>0.49349999999999999</v>
      </c>
      <c r="H479">
        <v>0.33650000000000002</v>
      </c>
      <c r="I479">
        <v>0.28499999999999998</v>
      </c>
      <c r="J479">
        <v>11</v>
      </c>
      <c r="K479">
        <v>12</v>
      </c>
      <c r="L479" t="s">
        <v>58</v>
      </c>
      <c r="M479" t="s">
        <v>59</v>
      </c>
      <c r="N479" t="s">
        <v>45</v>
      </c>
      <c r="O479">
        <v>3</v>
      </c>
      <c r="P479" t="s">
        <v>10</v>
      </c>
      <c r="Q479">
        <v>3.6</v>
      </c>
      <c r="R479" t="str">
        <f t="shared" si="15"/>
        <v>III</v>
      </c>
      <c r="S479">
        <f t="shared" si="16"/>
        <v>0.59071250000000008</v>
      </c>
    </row>
    <row r="480" spans="1:19">
      <c r="A480">
        <v>767</v>
      </c>
      <c r="B480" t="s">
        <v>75</v>
      </c>
      <c r="C480">
        <v>0.59</v>
      </c>
      <c r="D480">
        <v>0.44500000000000001</v>
      </c>
      <c r="E480">
        <v>0.13</v>
      </c>
      <c r="F480">
        <v>1.1325000000000001</v>
      </c>
      <c r="G480">
        <v>0.38250000000000001</v>
      </c>
      <c r="H480">
        <v>0.23400000000000001</v>
      </c>
      <c r="I480">
        <v>0.32</v>
      </c>
      <c r="J480">
        <v>13</v>
      </c>
      <c r="K480">
        <v>8</v>
      </c>
      <c r="L480" t="s">
        <v>55</v>
      </c>
      <c r="M480" t="s">
        <v>56</v>
      </c>
      <c r="N480" t="s">
        <v>57</v>
      </c>
      <c r="O480">
        <v>2</v>
      </c>
      <c r="P480" t="s">
        <v>5</v>
      </c>
      <c r="Q480">
        <v>18</v>
      </c>
      <c r="R480" t="str">
        <f t="shared" si="15"/>
        <v>II</v>
      </c>
      <c r="S480">
        <f t="shared" si="16"/>
        <v>0.43261500000000003</v>
      </c>
    </row>
    <row r="481" spans="1:19">
      <c r="A481">
        <v>127</v>
      </c>
      <c r="B481" t="s">
        <v>75</v>
      </c>
      <c r="C481">
        <v>0.375</v>
      </c>
      <c r="D481">
        <v>0.27500000000000002</v>
      </c>
      <c r="E481">
        <v>0.09</v>
      </c>
      <c r="F481">
        <v>0.23799999999999999</v>
      </c>
      <c r="G481">
        <v>0.1075</v>
      </c>
      <c r="H481">
        <v>5.45E-2</v>
      </c>
      <c r="I481">
        <v>7.0000000000000007E-2</v>
      </c>
      <c r="J481">
        <v>6</v>
      </c>
      <c r="K481">
        <v>11</v>
      </c>
      <c r="L481" t="s">
        <v>65</v>
      </c>
      <c r="M481" t="s">
        <v>66</v>
      </c>
      <c r="N481" t="s">
        <v>45</v>
      </c>
      <c r="O481">
        <v>9</v>
      </c>
      <c r="P481" t="s">
        <v>9</v>
      </c>
      <c r="Q481">
        <v>1.9</v>
      </c>
      <c r="R481" t="str">
        <f t="shared" si="15"/>
        <v>II</v>
      </c>
      <c r="S481">
        <f t="shared" si="16"/>
        <v>7.7429333333333336E-2</v>
      </c>
    </row>
    <row r="482" spans="1:19">
      <c r="A482">
        <v>2679</v>
      </c>
      <c r="B482" t="s">
        <v>75</v>
      </c>
      <c r="C482">
        <v>0.61499999999999999</v>
      </c>
      <c r="D482">
        <v>0.45</v>
      </c>
      <c r="E482">
        <v>0.15</v>
      </c>
      <c r="F482">
        <v>1.198</v>
      </c>
      <c r="G482">
        <v>0.70699999999999996</v>
      </c>
      <c r="H482">
        <v>0.20949999999999999</v>
      </c>
      <c r="I482">
        <v>0.2505</v>
      </c>
      <c r="J482">
        <v>7</v>
      </c>
      <c r="K482">
        <v>12</v>
      </c>
      <c r="L482" t="s">
        <v>58</v>
      </c>
      <c r="M482" t="s">
        <v>59</v>
      </c>
      <c r="N482" t="s">
        <v>45</v>
      </c>
      <c r="O482">
        <v>9</v>
      </c>
      <c r="P482" t="s">
        <v>9</v>
      </c>
      <c r="Q482">
        <v>1.9</v>
      </c>
      <c r="R482" t="str">
        <f t="shared" si="15"/>
        <v>I</v>
      </c>
      <c r="S482">
        <f t="shared" si="16"/>
        <v>0.87304249999999994</v>
      </c>
    </row>
    <row r="483" spans="1:19">
      <c r="A483">
        <v>3040</v>
      </c>
      <c r="B483" t="s">
        <v>75</v>
      </c>
      <c r="C483">
        <v>0.56999999999999995</v>
      </c>
      <c r="D483">
        <v>0.45</v>
      </c>
      <c r="E483">
        <v>0.14499999999999999</v>
      </c>
      <c r="F483">
        <v>0.95</v>
      </c>
      <c r="G483">
        <v>0.40050000000000002</v>
      </c>
      <c r="H483">
        <v>0.2235</v>
      </c>
      <c r="I483">
        <v>0.28449999999999998</v>
      </c>
      <c r="J483">
        <v>10</v>
      </c>
      <c r="K483">
        <v>12</v>
      </c>
      <c r="L483" t="s">
        <v>58</v>
      </c>
      <c r="M483" t="s">
        <v>59</v>
      </c>
      <c r="N483" t="s">
        <v>45</v>
      </c>
      <c r="O483">
        <v>5</v>
      </c>
      <c r="P483" t="s">
        <v>12</v>
      </c>
      <c r="Q483">
        <v>12.8</v>
      </c>
      <c r="R483" t="str">
        <f t="shared" si="15"/>
        <v>III</v>
      </c>
      <c r="S483">
        <f t="shared" si="16"/>
        <v>0.453625</v>
      </c>
    </row>
    <row r="484" spans="1:19">
      <c r="A484">
        <v>365</v>
      </c>
      <c r="B484" t="s">
        <v>75</v>
      </c>
      <c r="C484">
        <v>0.62</v>
      </c>
      <c r="D484">
        <v>0.5</v>
      </c>
      <c r="E484">
        <v>0.17499999999999999</v>
      </c>
      <c r="F484">
        <v>1.1859999999999999</v>
      </c>
      <c r="G484">
        <v>0.4985</v>
      </c>
      <c r="H484">
        <v>0.30149999999999999</v>
      </c>
      <c r="I484">
        <v>0.35</v>
      </c>
      <c r="J484">
        <v>12</v>
      </c>
      <c r="K484">
        <v>7</v>
      </c>
      <c r="L484" t="s">
        <v>62</v>
      </c>
      <c r="M484" t="s">
        <v>63</v>
      </c>
      <c r="N484" t="s">
        <v>64</v>
      </c>
      <c r="O484">
        <v>6</v>
      </c>
      <c r="P484" t="s">
        <v>7</v>
      </c>
      <c r="Q484">
        <v>14.1</v>
      </c>
      <c r="R484" t="str">
        <f t="shared" si="15"/>
        <v>III</v>
      </c>
      <c r="S484">
        <f t="shared" si="16"/>
        <v>0.5920116666666666</v>
      </c>
    </row>
    <row r="485" spans="1:19">
      <c r="A485">
        <v>1335</v>
      </c>
      <c r="B485" t="s">
        <v>75</v>
      </c>
      <c r="C485">
        <v>0.57499999999999996</v>
      </c>
      <c r="D485">
        <v>0.42</v>
      </c>
      <c r="E485">
        <v>0.13500000000000001</v>
      </c>
      <c r="F485">
        <v>0.85699999999999998</v>
      </c>
      <c r="G485">
        <v>0.46100000000000002</v>
      </c>
      <c r="H485">
        <v>0.14699999999999999</v>
      </c>
      <c r="I485">
        <v>0.21249999999999999</v>
      </c>
      <c r="J485">
        <v>10</v>
      </c>
      <c r="K485">
        <v>13</v>
      </c>
      <c r="L485" t="s">
        <v>43</v>
      </c>
      <c r="M485" t="s">
        <v>44</v>
      </c>
      <c r="N485" t="s">
        <v>45</v>
      </c>
      <c r="O485">
        <v>10</v>
      </c>
      <c r="P485" t="s">
        <v>11</v>
      </c>
      <c r="Q485">
        <v>24.1</v>
      </c>
      <c r="R485" t="str">
        <f t="shared" si="15"/>
        <v>III</v>
      </c>
      <c r="S485">
        <f t="shared" si="16"/>
        <v>0.40421833333333324</v>
      </c>
    </row>
    <row r="486" spans="1:19">
      <c r="A486">
        <v>2154</v>
      </c>
      <c r="B486" t="s">
        <v>75</v>
      </c>
      <c r="C486">
        <v>0.28000000000000003</v>
      </c>
      <c r="D486">
        <v>0.2</v>
      </c>
      <c r="E486">
        <v>7.4999999999999997E-2</v>
      </c>
      <c r="F486">
        <v>0.1225</v>
      </c>
      <c r="G486">
        <v>5.45E-2</v>
      </c>
      <c r="H486">
        <v>1.15E-2</v>
      </c>
      <c r="I486">
        <v>3.5000000000000003E-2</v>
      </c>
      <c r="J486">
        <v>5</v>
      </c>
      <c r="K486">
        <v>6</v>
      </c>
      <c r="L486" t="s">
        <v>46</v>
      </c>
      <c r="M486" t="s">
        <v>47</v>
      </c>
      <c r="N486" t="s">
        <v>48</v>
      </c>
      <c r="O486">
        <v>1</v>
      </c>
      <c r="P486" t="s">
        <v>4</v>
      </c>
      <c r="Q486">
        <v>22.1</v>
      </c>
      <c r="R486" t="str">
        <f t="shared" si="15"/>
        <v>II</v>
      </c>
      <c r="S486">
        <f t="shared" si="16"/>
        <v>3.6831666666666672E-2</v>
      </c>
    </row>
    <row r="487" spans="1:19">
      <c r="A487">
        <v>1326</v>
      </c>
      <c r="B487" t="s">
        <v>75</v>
      </c>
      <c r="C487">
        <v>0.56499999999999995</v>
      </c>
      <c r="D487">
        <v>0.45</v>
      </c>
      <c r="E487">
        <v>0.14499999999999999</v>
      </c>
      <c r="F487">
        <v>0.84950000000000003</v>
      </c>
      <c r="G487">
        <v>0.42149999999999999</v>
      </c>
      <c r="H487">
        <v>0.16850000000000001</v>
      </c>
      <c r="I487">
        <v>0.22500000000000001</v>
      </c>
      <c r="J487">
        <v>8</v>
      </c>
      <c r="K487">
        <v>15</v>
      </c>
      <c r="L487" t="s">
        <v>60</v>
      </c>
      <c r="M487" t="s">
        <v>61</v>
      </c>
      <c r="N487" t="s">
        <v>45</v>
      </c>
      <c r="O487">
        <v>5</v>
      </c>
      <c r="P487" t="s">
        <v>12</v>
      </c>
      <c r="Q487">
        <v>12.8</v>
      </c>
      <c r="R487" t="str">
        <f t="shared" si="15"/>
        <v>III</v>
      </c>
      <c r="S487">
        <f t="shared" si="16"/>
        <v>0.40492833333333339</v>
      </c>
    </row>
    <row r="488" spans="1:19">
      <c r="A488">
        <v>2789</v>
      </c>
      <c r="B488" t="s">
        <v>75</v>
      </c>
      <c r="C488">
        <v>0.61499999999999999</v>
      </c>
      <c r="D488">
        <v>0.46</v>
      </c>
      <c r="E488">
        <v>0.15</v>
      </c>
      <c r="F488">
        <v>1.0265</v>
      </c>
      <c r="G488">
        <v>0.49349999999999999</v>
      </c>
      <c r="H488">
        <v>0.20100000000000001</v>
      </c>
      <c r="I488">
        <v>0.27450000000000002</v>
      </c>
      <c r="J488">
        <v>10</v>
      </c>
      <c r="K488">
        <v>1</v>
      </c>
      <c r="L488" t="s">
        <v>70</v>
      </c>
      <c r="M488" t="s">
        <v>71</v>
      </c>
      <c r="N488" t="s">
        <v>45</v>
      </c>
      <c r="O488">
        <v>1</v>
      </c>
      <c r="P488" t="s">
        <v>4</v>
      </c>
      <c r="Q488">
        <v>22.1</v>
      </c>
      <c r="R488" t="str">
        <f t="shared" si="15"/>
        <v>III</v>
      </c>
      <c r="S488">
        <f t="shared" si="16"/>
        <v>0.50041875000000002</v>
      </c>
    </row>
    <row r="489" spans="1:19">
      <c r="A489">
        <v>3158</v>
      </c>
      <c r="B489" t="s">
        <v>75</v>
      </c>
      <c r="C489">
        <v>0.43</v>
      </c>
      <c r="D489">
        <v>0.35</v>
      </c>
      <c r="E489">
        <v>0.09</v>
      </c>
      <c r="F489">
        <v>0.39700000000000002</v>
      </c>
      <c r="G489">
        <v>0.1575</v>
      </c>
      <c r="H489">
        <v>8.8999999999999996E-2</v>
      </c>
      <c r="I489">
        <v>0.12</v>
      </c>
      <c r="J489">
        <v>9</v>
      </c>
      <c r="K489">
        <v>7</v>
      </c>
      <c r="L489" t="s">
        <v>62</v>
      </c>
      <c r="M489" t="s">
        <v>63</v>
      </c>
      <c r="N489" t="s">
        <v>64</v>
      </c>
      <c r="O489">
        <v>4</v>
      </c>
      <c r="P489" t="s">
        <v>8</v>
      </c>
      <c r="Q489">
        <v>6.1</v>
      </c>
      <c r="R489" t="str">
        <f t="shared" si="15"/>
        <v>II</v>
      </c>
      <c r="S489">
        <f t="shared" si="16"/>
        <v>0.13603866666666667</v>
      </c>
    </row>
    <row r="490" spans="1:19">
      <c r="A490">
        <v>3563</v>
      </c>
      <c r="B490" t="s">
        <v>75</v>
      </c>
      <c r="C490">
        <v>0.56999999999999995</v>
      </c>
      <c r="D490">
        <v>0.42</v>
      </c>
      <c r="E490">
        <v>0.16</v>
      </c>
      <c r="F490">
        <v>0.88749999999999996</v>
      </c>
      <c r="G490">
        <v>0.43149999999999999</v>
      </c>
      <c r="H490">
        <v>0.1915</v>
      </c>
      <c r="I490">
        <v>0.223</v>
      </c>
      <c r="J490">
        <v>8</v>
      </c>
      <c r="K490">
        <v>11</v>
      </c>
      <c r="L490" t="s">
        <v>65</v>
      </c>
      <c r="M490" t="s">
        <v>66</v>
      </c>
      <c r="N490" t="s">
        <v>45</v>
      </c>
      <c r="O490">
        <v>5</v>
      </c>
      <c r="P490" t="s">
        <v>12</v>
      </c>
      <c r="Q490">
        <v>12.8</v>
      </c>
      <c r="R490" t="str">
        <f t="shared" si="15"/>
        <v>III</v>
      </c>
      <c r="S490">
        <f t="shared" si="16"/>
        <v>0.42156250000000001</v>
      </c>
    </row>
    <row r="491" spans="1:19">
      <c r="A491">
        <v>1475</v>
      </c>
      <c r="B491" t="s">
        <v>75</v>
      </c>
      <c r="C491">
        <v>0.55000000000000004</v>
      </c>
      <c r="D491">
        <v>0.42499999999999999</v>
      </c>
      <c r="E491">
        <v>0.16</v>
      </c>
      <c r="F491">
        <v>0.79300000000000004</v>
      </c>
      <c r="G491">
        <v>0.34300000000000003</v>
      </c>
      <c r="H491">
        <v>0.20349999999999999</v>
      </c>
      <c r="I491">
        <v>0.215</v>
      </c>
      <c r="J491">
        <v>9</v>
      </c>
      <c r="K491">
        <v>6</v>
      </c>
      <c r="L491" t="s">
        <v>46</v>
      </c>
      <c r="M491" t="s">
        <v>47</v>
      </c>
      <c r="N491" t="s">
        <v>48</v>
      </c>
      <c r="O491">
        <v>9</v>
      </c>
      <c r="P491" t="s">
        <v>9</v>
      </c>
      <c r="Q491">
        <v>1.9</v>
      </c>
      <c r="R491" t="str">
        <f t="shared" si="15"/>
        <v>II</v>
      </c>
      <c r="S491">
        <f t="shared" si="16"/>
        <v>0.29975400000000002</v>
      </c>
    </row>
    <row r="492" spans="1:19">
      <c r="A492">
        <v>1331</v>
      </c>
      <c r="B492" t="s">
        <v>75</v>
      </c>
      <c r="C492">
        <v>0.56999999999999995</v>
      </c>
      <c r="D492">
        <v>0.46</v>
      </c>
      <c r="E492">
        <v>0.13500000000000001</v>
      </c>
      <c r="F492">
        <v>0.97950000000000004</v>
      </c>
      <c r="G492">
        <v>0.39700000000000002</v>
      </c>
      <c r="H492">
        <v>0.2525</v>
      </c>
      <c r="I492">
        <v>0.26550000000000001</v>
      </c>
      <c r="J492">
        <v>9</v>
      </c>
      <c r="K492">
        <v>9</v>
      </c>
      <c r="L492" t="s">
        <v>34</v>
      </c>
      <c r="M492" t="s">
        <v>35</v>
      </c>
      <c r="N492" t="s">
        <v>36</v>
      </c>
      <c r="O492">
        <v>2</v>
      </c>
      <c r="P492" t="s">
        <v>5</v>
      </c>
      <c r="Q492">
        <v>18</v>
      </c>
      <c r="R492" t="str">
        <f t="shared" si="15"/>
        <v>II</v>
      </c>
      <c r="S492">
        <f t="shared" si="16"/>
        <v>0.37416900000000008</v>
      </c>
    </row>
    <row r="493" spans="1:19">
      <c r="A493">
        <v>849</v>
      </c>
      <c r="B493" t="s">
        <v>75</v>
      </c>
      <c r="C493">
        <v>0.55000000000000004</v>
      </c>
      <c r="D493">
        <v>0.43</v>
      </c>
      <c r="E493">
        <v>0.125</v>
      </c>
      <c r="F493">
        <v>0.92300000000000004</v>
      </c>
      <c r="G493">
        <v>0.40350000000000003</v>
      </c>
      <c r="H493">
        <v>0.17499999999999999</v>
      </c>
      <c r="I493">
        <v>0.28299999999999997</v>
      </c>
      <c r="J493">
        <v>8</v>
      </c>
      <c r="K493">
        <v>4</v>
      </c>
      <c r="L493" t="s">
        <v>40</v>
      </c>
      <c r="M493" t="s">
        <v>41</v>
      </c>
      <c r="N493" t="s">
        <v>42</v>
      </c>
      <c r="O493">
        <v>5</v>
      </c>
      <c r="P493" t="s">
        <v>12</v>
      </c>
      <c r="Q493">
        <v>12.8</v>
      </c>
      <c r="R493" t="str">
        <f t="shared" si="15"/>
        <v>III</v>
      </c>
      <c r="S493">
        <f t="shared" si="16"/>
        <v>0.43150250000000001</v>
      </c>
    </row>
    <row r="494" spans="1:19">
      <c r="A494">
        <v>2015</v>
      </c>
      <c r="B494" t="s">
        <v>75</v>
      </c>
      <c r="C494">
        <v>0.47</v>
      </c>
      <c r="D494">
        <v>0.375</v>
      </c>
      <c r="E494">
        <v>0.105</v>
      </c>
      <c r="F494">
        <v>0.441</v>
      </c>
      <c r="G494">
        <v>0.16700000000000001</v>
      </c>
      <c r="H494">
        <v>8.6499999999999994E-2</v>
      </c>
      <c r="I494">
        <v>0.14499999999999999</v>
      </c>
      <c r="J494">
        <v>10</v>
      </c>
      <c r="K494">
        <v>10</v>
      </c>
      <c r="L494" t="s">
        <v>37</v>
      </c>
      <c r="M494" t="s">
        <v>38</v>
      </c>
      <c r="N494" t="s">
        <v>39</v>
      </c>
      <c r="O494">
        <v>9</v>
      </c>
      <c r="P494" t="s">
        <v>9</v>
      </c>
      <c r="Q494">
        <v>1.9</v>
      </c>
      <c r="R494" t="str">
        <f t="shared" si="15"/>
        <v>II</v>
      </c>
      <c r="S494">
        <f t="shared" si="16"/>
        <v>0.15582000000000001</v>
      </c>
    </row>
    <row r="495" spans="1:19">
      <c r="A495">
        <v>2058</v>
      </c>
      <c r="B495" t="s">
        <v>75</v>
      </c>
      <c r="C495">
        <v>0.48</v>
      </c>
      <c r="D495">
        <v>0.35</v>
      </c>
      <c r="E495">
        <v>0.13500000000000001</v>
      </c>
      <c r="F495">
        <v>0.54649999999999999</v>
      </c>
      <c r="G495">
        <v>0.27350000000000002</v>
      </c>
      <c r="H495">
        <v>9.9500000000000005E-2</v>
      </c>
      <c r="I495">
        <v>0.158</v>
      </c>
      <c r="J495">
        <v>8</v>
      </c>
      <c r="K495">
        <v>5</v>
      </c>
      <c r="L495" t="s">
        <v>67</v>
      </c>
      <c r="M495" t="s">
        <v>68</v>
      </c>
      <c r="N495" t="s">
        <v>69</v>
      </c>
      <c r="O495">
        <v>2</v>
      </c>
      <c r="P495" t="s">
        <v>5</v>
      </c>
      <c r="Q495">
        <v>18</v>
      </c>
      <c r="R495" t="str">
        <f t="shared" si="15"/>
        <v>II</v>
      </c>
      <c r="S495">
        <f t="shared" si="16"/>
        <v>0.19418966666666665</v>
      </c>
    </row>
    <row r="496" spans="1:19">
      <c r="A496">
        <v>2366</v>
      </c>
      <c r="B496" t="s">
        <v>75</v>
      </c>
      <c r="C496">
        <v>0.63</v>
      </c>
      <c r="D496">
        <v>0.505</v>
      </c>
      <c r="E496">
        <v>0.16500000000000001</v>
      </c>
      <c r="F496">
        <v>1.0649999999999999</v>
      </c>
      <c r="G496">
        <v>0.45950000000000002</v>
      </c>
      <c r="H496">
        <v>0.216</v>
      </c>
      <c r="I496">
        <v>0.315</v>
      </c>
      <c r="J496">
        <v>12</v>
      </c>
      <c r="K496">
        <v>3</v>
      </c>
      <c r="L496" t="s">
        <v>52</v>
      </c>
      <c r="M496" t="s">
        <v>53</v>
      </c>
      <c r="N496" t="s">
        <v>54</v>
      </c>
      <c r="O496">
        <v>10</v>
      </c>
      <c r="P496" t="s">
        <v>11</v>
      </c>
      <c r="Q496">
        <v>24.1</v>
      </c>
      <c r="R496" t="str">
        <f t="shared" si="15"/>
        <v>III</v>
      </c>
      <c r="S496">
        <f t="shared" si="16"/>
        <v>0.53249999999999997</v>
      </c>
    </row>
    <row r="497" spans="1:19">
      <c r="A497">
        <v>715</v>
      </c>
      <c r="B497" t="s">
        <v>75</v>
      </c>
      <c r="C497">
        <v>0.35</v>
      </c>
      <c r="D497">
        <v>0.255</v>
      </c>
      <c r="E497">
        <v>0.08</v>
      </c>
      <c r="F497">
        <v>0.1915</v>
      </c>
      <c r="G497">
        <v>0.08</v>
      </c>
      <c r="H497">
        <v>3.85E-2</v>
      </c>
      <c r="I497">
        <v>6.3E-2</v>
      </c>
      <c r="J497">
        <v>9</v>
      </c>
      <c r="K497">
        <v>9</v>
      </c>
      <c r="L497" t="s">
        <v>34</v>
      </c>
      <c r="M497" t="s">
        <v>35</v>
      </c>
      <c r="N497" t="s">
        <v>36</v>
      </c>
      <c r="O497">
        <v>10</v>
      </c>
      <c r="P497" t="s">
        <v>11</v>
      </c>
      <c r="Q497">
        <v>24.1</v>
      </c>
      <c r="R497" t="str">
        <f t="shared" si="15"/>
        <v>II</v>
      </c>
      <c r="S497">
        <f t="shared" si="16"/>
        <v>6.0897000000000007E-2</v>
      </c>
    </row>
    <row r="498" spans="1:19">
      <c r="A498">
        <v>995</v>
      </c>
      <c r="B498" t="s">
        <v>75</v>
      </c>
      <c r="C498">
        <v>0.57999999999999996</v>
      </c>
      <c r="D498">
        <v>0.45</v>
      </c>
      <c r="E498">
        <v>0.14499999999999999</v>
      </c>
      <c r="F498">
        <v>1.137</v>
      </c>
      <c r="G498">
        <v>0.5585</v>
      </c>
      <c r="H498">
        <v>0.22</v>
      </c>
      <c r="I498">
        <v>0.28999999999999998</v>
      </c>
      <c r="J498">
        <v>8</v>
      </c>
      <c r="K498">
        <v>9</v>
      </c>
      <c r="L498" t="s">
        <v>34</v>
      </c>
      <c r="M498" t="s">
        <v>35</v>
      </c>
      <c r="N498" t="s">
        <v>36</v>
      </c>
      <c r="O498">
        <v>3</v>
      </c>
      <c r="P498" t="s">
        <v>10</v>
      </c>
      <c r="Q498">
        <v>3.6</v>
      </c>
      <c r="R498" t="str">
        <f t="shared" si="15"/>
        <v>I</v>
      </c>
      <c r="S498">
        <f t="shared" si="16"/>
        <v>0.81721874999999988</v>
      </c>
    </row>
    <row r="499" spans="1:19">
      <c r="A499">
        <v>2758</v>
      </c>
      <c r="B499" t="s">
        <v>75</v>
      </c>
      <c r="C499">
        <v>0.52500000000000002</v>
      </c>
      <c r="D499">
        <v>0.375</v>
      </c>
      <c r="E499">
        <v>0.12</v>
      </c>
      <c r="F499">
        <v>0.63149999999999995</v>
      </c>
      <c r="G499">
        <v>0.30449999999999999</v>
      </c>
      <c r="H499">
        <v>0.114</v>
      </c>
      <c r="I499">
        <v>0.19</v>
      </c>
      <c r="J499">
        <v>9</v>
      </c>
      <c r="K499">
        <v>3</v>
      </c>
      <c r="L499" t="s">
        <v>52</v>
      </c>
      <c r="M499" t="s">
        <v>53</v>
      </c>
      <c r="N499" t="s">
        <v>54</v>
      </c>
      <c r="O499">
        <v>8</v>
      </c>
      <c r="P499" t="s">
        <v>13</v>
      </c>
      <c r="Q499">
        <v>12.3</v>
      </c>
      <c r="R499" t="str">
        <f t="shared" si="15"/>
        <v>II</v>
      </c>
      <c r="S499">
        <f t="shared" si="16"/>
        <v>0.22902400000000001</v>
      </c>
    </row>
    <row r="500" spans="1:19">
      <c r="A500">
        <v>2647</v>
      </c>
      <c r="B500" t="s">
        <v>75</v>
      </c>
      <c r="C500">
        <v>0.495</v>
      </c>
      <c r="D500">
        <v>0.38</v>
      </c>
      <c r="E500">
        <v>0.12</v>
      </c>
      <c r="F500">
        <v>0.51200000000000001</v>
      </c>
      <c r="G500">
        <v>0.23300000000000001</v>
      </c>
      <c r="H500">
        <v>0.1205</v>
      </c>
      <c r="I500">
        <v>0.13600000000000001</v>
      </c>
      <c r="J500">
        <v>7</v>
      </c>
      <c r="K500">
        <v>14</v>
      </c>
      <c r="L500" t="s">
        <v>72</v>
      </c>
      <c r="M500" t="s">
        <v>73</v>
      </c>
      <c r="N500" t="s">
        <v>74</v>
      </c>
      <c r="O500">
        <v>8</v>
      </c>
      <c r="P500" t="s">
        <v>13</v>
      </c>
      <c r="Q500">
        <v>12.3</v>
      </c>
      <c r="R500" t="str">
        <f t="shared" si="15"/>
        <v>II</v>
      </c>
      <c r="S500">
        <f t="shared" si="16"/>
        <v>0.18397866666666665</v>
      </c>
    </row>
    <row r="501" spans="1:19">
      <c r="A501">
        <v>2455</v>
      </c>
      <c r="B501" t="s">
        <v>75</v>
      </c>
      <c r="C501">
        <v>0.27500000000000002</v>
      </c>
      <c r="D501">
        <v>0.2</v>
      </c>
      <c r="E501">
        <v>6.5000000000000002E-2</v>
      </c>
      <c r="F501">
        <v>9.1999999999999998E-2</v>
      </c>
      <c r="G501">
        <v>3.85E-2</v>
      </c>
      <c r="H501">
        <v>2.35E-2</v>
      </c>
      <c r="I501">
        <v>2.7E-2</v>
      </c>
      <c r="J501">
        <v>5</v>
      </c>
      <c r="K501">
        <v>2</v>
      </c>
      <c r="L501" t="s">
        <v>49</v>
      </c>
      <c r="M501" t="s">
        <v>50</v>
      </c>
      <c r="N501" t="s">
        <v>51</v>
      </c>
      <c r="O501">
        <v>4</v>
      </c>
      <c r="P501" t="s">
        <v>8</v>
      </c>
      <c r="Q501">
        <v>6.1</v>
      </c>
      <c r="R501" t="str">
        <f t="shared" si="15"/>
        <v>II</v>
      </c>
      <c r="S501">
        <f t="shared" si="16"/>
        <v>2.7477333333333333E-2</v>
      </c>
    </row>
    <row r="502" spans="1:19">
      <c r="A502">
        <v>1633</v>
      </c>
      <c r="B502" t="s">
        <v>75</v>
      </c>
      <c r="C502">
        <v>0.57499999999999996</v>
      </c>
      <c r="D502">
        <v>0.45500000000000002</v>
      </c>
      <c r="E502">
        <v>0.16500000000000001</v>
      </c>
      <c r="F502">
        <v>0.86699999999999999</v>
      </c>
      <c r="G502">
        <v>0.3765</v>
      </c>
      <c r="H502">
        <v>0.18049999999999999</v>
      </c>
      <c r="I502">
        <v>0.26800000000000002</v>
      </c>
      <c r="J502">
        <v>8</v>
      </c>
      <c r="K502">
        <v>3</v>
      </c>
      <c r="L502" t="s">
        <v>52</v>
      </c>
      <c r="M502" t="s">
        <v>53</v>
      </c>
      <c r="N502" t="s">
        <v>54</v>
      </c>
      <c r="O502">
        <v>8</v>
      </c>
      <c r="P502" t="s">
        <v>13</v>
      </c>
      <c r="Q502">
        <v>12.3</v>
      </c>
      <c r="R502" t="str">
        <f t="shared" si="15"/>
        <v>II</v>
      </c>
      <c r="S502">
        <f t="shared" si="16"/>
        <v>0.33466199999999996</v>
      </c>
    </row>
    <row r="503" spans="1:19">
      <c r="A503">
        <v>4073</v>
      </c>
      <c r="B503" t="s">
        <v>75</v>
      </c>
      <c r="C503">
        <v>0.5</v>
      </c>
      <c r="D503">
        <v>0.36</v>
      </c>
      <c r="E503">
        <v>0.12</v>
      </c>
      <c r="F503">
        <v>0.439</v>
      </c>
      <c r="G503">
        <v>0.1875</v>
      </c>
      <c r="H503">
        <v>0.1055</v>
      </c>
      <c r="I503">
        <v>0.1305</v>
      </c>
      <c r="J503">
        <v>8</v>
      </c>
      <c r="K503">
        <v>12</v>
      </c>
      <c r="L503" t="s">
        <v>58</v>
      </c>
      <c r="M503" t="s">
        <v>59</v>
      </c>
      <c r="N503" t="s">
        <v>45</v>
      </c>
      <c r="O503">
        <v>3</v>
      </c>
      <c r="P503" t="s">
        <v>10</v>
      </c>
      <c r="Q503">
        <v>3.6</v>
      </c>
      <c r="R503" t="str">
        <f t="shared" si="15"/>
        <v>II</v>
      </c>
      <c r="S503">
        <f t="shared" si="16"/>
        <v>0.15686933333333333</v>
      </c>
    </row>
    <row r="504" spans="1:19">
      <c r="A504">
        <v>2256</v>
      </c>
      <c r="B504" t="s">
        <v>75</v>
      </c>
      <c r="C504">
        <v>0.51</v>
      </c>
      <c r="D504">
        <v>0.39500000000000002</v>
      </c>
      <c r="E504">
        <v>0.14499999999999999</v>
      </c>
      <c r="F504">
        <v>0.61850000000000005</v>
      </c>
      <c r="G504">
        <v>0.216</v>
      </c>
      <c r="H504">
        <v>0.13850000000000001</v>
      </c>
      <c r="I504">
        <v>0.24</v>
      </c>
      <c r="J504">
        <v>12</v>
      </c>
      <c r="K504">
        <v>7</v>
      </c>
      <c r="L504" t="s">
        <v>62</v>
      </c>
      <c r="M504" t="s">
        <v>63</v>
      </c>
      <c r="N504" t="s">
        <v>64</v>
      </c>
      <c r="O504">
        <v>1</v>
      </c>
      <c r="P504" t="s">
        <v>4</v>
      </c>
      <c r="Q504">
        <v>22.1</v>
      </c>
      <c r="R504" t="str">
        <f t="shared" si="15"/>
        <v>II</v>
      </c>
      <c r="S504">
        <f t="shared" si="16"/>
        <v>0.22678333333333339</v>
      </c>
    </row>
    <row r="505" spans="1:19">
      <c r="A505">
        <v>1274</v>
      </c>
      <c r="B505" t="s">
        <v>75</v>
      </c>
      <c r="C505">
        <v>0.47499999999999998</v>
      </c>
      <c r="D505">
        <v>0.38</v>
      </c>
      <c r="E505">
        <v>0.12</v>
      </c>
      <c r="F505">
        <v>0.441</v>
      </c>
      <c r="G505">
        <v>0.17849999999999999</v>
      </c>
      <c r="H505">
        <v>8.8499999999999995E-2</v>
      </c>
      <c r="I505">
        <v>0.15049999999999999</v>
      </c>
      <c r="J505">
        <v>8</v>
      </c>
      <c r="K505">
        <v>3</v>
      </c>
      <c r="L505" t="s">
        <v>52</v>
      </c>
      <c r="M505" t="s">
        <v>53</v>
      </c>
      <c r="N505" t="s">
        <v>54</v>
      </c>
      <c r="O505">
        <v>8</v>
      </c>
      <c r="P505" t="s">
        <v>13</v>
      </c>
      <c r="Q505">
        <v>12.3</v>
      </c>
      <c r="R505" t="str">
        <f t="shared" si="15"/>
        <v>II</v>
      </c>
      <c r="S505">
        <f t="shared" si="16"/>
        <v>0.15729000000000001</v>
      </c>
    </row>
    <row r="506" spans="1:19">
      <c r="A506">
        <v>316</v>
      </c>
      <c r="B506" t="s">
        <v>75</v>
      </c>
      <c r="C506">
        <v>0.45</v>
      </c>
      <c r="D506">
        <v>0.35499999999999998</v>
      </c>
      <c r="E506">
        <v>0.11</v>
      </c>
      <c r="F506">
        <v>0.45850000000000002</v>
      </c>
      <c r="G506">
        <v>0.19400000000000001</v>
      </c>
      <c r="H506">
        <v>6.7000000000000004E-2</v>
      </c>
      <c r="I506">
        <v>0.14000000000000001</v>
      </c>
      <c r="J506">
        <v>8</v>
      </c>
      <c r="K506">
        <v>5</v>
      </c>
      <c r="L506" t="s">
        <v>67</v>
      </c>
      <c r="M506" t="s">
        <v>68</v>
      </c>
      <c r="N506" t="s">
        <v>69</v>
      </c>
      <c r="O506">
        <v>6</v>
      </c>
      <c r="P506" t="s">
        <v>7</v>
      </c>
      <c r="Q506">
        <v>14.1</v>
      </c>
      <c r="R506" t="str">
        <f t="shared" si="15"/>
        <v>II</v>
      </c>
      <c r="S506">
        <f t="shared" si="16"/>
        <v>0.15986366666666668</v>
      </c>
    </row>
    <row r="507" spans="1:19">
      <c r="A507">
        <v>2931</v>
      </c>
      <c r="B507" t="s">
        <v>75</v>
      </c>
      <c r="C507">
        <v>0.61499999999999999</v>
      </c>
      <c r="D507">
        <v>0.47499999999999998</v>
      </c>
      <c r="E507">
        <v>0.17499999999999999</v>
      </c>
      <c r="F507">
        <v>1.194</v>
      </c>
      <c r="G507">
        <v>0.55900000000000005</v>
      </c>
      <c r="H507">
        <v>0.25900000000000001</v>
      </c>
      <c r="I507">
        <v>0.3165</v>
      </c>
      <c r="J507">
        <v>11</v>
      </c>
      <c r="K507">
        <v>8</v>
      </c>
      <c r="L507" t="s">
        <v>55</v>
      </c>
      <c r="M507" t="s">
        <v>56</v>
      </c>
      <c r="N507" t="s">
        <v>57</v>
      </c>
      <c r="O507">
        <v>6</v>
      </c>
      <c r="P507" t="s">
        <v>7</v>
      </c>
      <c r="Q507">
        <v>14.1</v>
      </c>
      <c r="R507" t="str">
        <f t="shared" si="15"/>
        <v>I</v>
      </c>
      <c r="S507">
        <f t="shared" si="16"/>
        <v>0.88505250000000002</v>
      </c>
    </row>
    <row r="508" spans="1:19">
      <c r="A508">
        <v>67</v>
      </c>
      <c r="B508" t="s">
        <v>75</v>
      </c>
      <c r="C508">
        <v>0.56499999999999995</v>
      </c>
      <c r="D508">
        <v>0.44</v>
      </c>
      <c r="E508">
        <v>0.16</v>
      </c>
      <c r="F508">
        <v>0.91500000000000004</v>
      </c>
      <c r="G508">
        <v>0.35399999999999998</v>
      </c>
      <c r="H508">
        <v>0.19350000000000001</v>
      </c>
      <c r="I508">
        <v>0.32</v>
      </c>
      <c r="J508">
        <v>12</v>
      </c>
      <c r="K508">
        <v>13</v>
      </c>
      <c r="L508" t="s">
        <v>43</v>
      </c>
      <c r="M508" t="s">
        <v>44</v>
      </c>
      <c r="N508" t="s">
        <v>45</v>
      </c>
      <c r="O508">
        <v>4</v>
      </c>
      <c r="P508" t="s">
        <v>8</v>
      </c>
      <c r="Q508">
        <v>6.1</v>
      </c>
      <c r="R508" t="str">
        <f t="shared" si="15"/>
        <v>II</v>
      </c>
      <c r="S508">
        <f t="shared" si="16"/>
        <v>0.34953000000000012</v>
      </c>
    </row>
    <row r="509" spans="1:19">
      <c r="A509">
        <v>1859</v>
      </c>
      <c r="B509" t="s">
        <v>75</v>
      </c>
      <c r="C509">
        <v>0.51</v>
      </c>
      <c r="D509">
        <v>0.4</v>
      </c>
      <c r="E509">
        <v>0.12</v>
      </c>
      <c r="F509">
        <v>0.70050000000000001</v>
      </c>
      <c r="G509">
        <v>0.34699999999999998</v>
      </c>
      <c r="H509">
        <v>0.1105</v>
      </c>
      <c r="I509">
        <v>0.19500000000000001</v>
      </c>
      <c r="J509">
        <v>10</v>
      </c>
      <c r="K509">
        <v>2</v>
      </c>
      <c r="L509" t="s">
        <v>49</v>
      </c>
      <c r="M509" t="s">
        <v>50</v>
      </c>
      <c r="N509" t="s">
        <v>51</v>
      </c>
      <c r="O509">
        <v>8</v>
      </c>
      <c r="P509" t="s">
        <v>13</v>
      </c>
      <c r="Q509">
        <v>12.3</v>
      </c>
      <c r="R509" t="str">
        <f t="shared" si="15"/>
        <v>II</v>
      </c>
      <c r="S509">
        <f t="shared" si="16"/>
        <v>0.25498199999999999</v>
      </c>
    </row>
    <row r="510" spans="1:19">
      <c r="A510">
        <v>2272</v>
      </c>
      <c r="B510" t="s">
        <v>75</v>
      </c>
      <c r="C510">
        <v>0.52</v>
      </c>
      <c r="D510">
        <v>0.41</v>
      </c>
      <c r="E510">
        <v>0.17</v>
      </c>
      <c r="F510">
        <v>0.87050000000000005</v>
      </c>
      <c r="G510">
        <v>0.3735</v>
      </c>
      <c r="H510">
        <v>0.219</v>
      </c>
      <c r="I510">
        <v>0.25</v>
      </c>
      <c r="J510">
        <v>14</v>
      </c>
      <c r="K510">
        <v>15</v>
      </c>
      <c r="L510" t="s">
        <v>60</v>
      </c>
      <c r="M510" t="s">
        <v>61</v>
      </c>
      <c r="N510" t="s">
        <v>45</v>
      </c>
      <c r="O510">
        <v>3</v>
      </c>
      <c r="P510" t="s">
        <v>10</v>
      </c>
      <c r="Q510">
        <v>3.6</v>
      </c>
      <c r="R510" t="str">
        <f t="shared" si="15"/>
        <v>II</v>
      </c>
      <c r="S510">
        <f t="shared" si="16"/>
        <v>0.32498666666666676</v>
      </c>
    </row>
    <row r="511" spans="1:19">
      <c r="A511">
        <v>2387</v>
      </c>
      <c r="B511" t="s">
        <v>75</v>
      </c>
      <c r="C511">
        <v>0.48499999999999999</v>
      </c>
      <c r="D511">
        <v>0.36499999999999999</v>
      </c>
      <c r="E511">
        <v>0.14000000000000001</v>
      </c>
      <c r="F511">
        <v>0.61950000000000005</v>
      </c>
      <c r="G511">
        <v>0.25950000000000001</v>
      </c>
      <c r="H511">
        <v>0.14449999999999999</v>
      </c>
      <c r="I511">
        <v>0.17699999999999999</v>
      </c>
      <c r="J511">
        <v>14</v>
      </c>
      <c r="K511">
        <v>12</v>
      </c>
      <c r="L511" t="s">
        <v>58</v>
      </c>
      <c r="M511" t="s">
        <v>59</v>
      </c>
      <c r="N511" t="s">
        <v>45</v>
      </c>
      <c r="O511">
        <v>3</v>
      </c>
      <c r="P511" t="s">
        <v>10</v>
      </c>
      <c r="Q511">
        <v>3.6</v>
      </c>
      <c r="R511" t="str">
        <f t="shared" si="15"/>
        <v>II</v>
      </c>
      <c r="S511">
        <f t="shared" si="16"/>
        <v>0.222194</v>
      </c>
    </row>
    <row r="512" spans="1:19">
      <c r="A512">
        <v>3946</v>
      </c>
      <c r="B512" t="s">
        <v>75</v>
      </c>
      <c r="C512">
        <v>0.23499999999999999</v>
      </c>
      <c r="D512">
        <v>0.17499999999999999</v>
      </c>
      <c r="E512">
        <v>6.5000000000000002E-2</v>
      </c>
      <c r="F512">
        <v>6.1499999999999999E-2</v>
      </c>
      <c r="G512">
        <v>2.0500000000000001E-2</v>
      </c>
      <c r="H512">
        <v>0.02</v>
      </c>
      <c r="I512">
        <v>1.9E-2</v>
      </c>
      <c r="J512">
        <v>6</v>
      </c>
      <c r="K512">
        <v>11</v>
      </c>
      <c r="L512" t="s">
        <v>65</v>
      </c>
      <c r="M512" t="s">
        <v>66</v>
      </c>
      <c r="N512" t="s">
        <v>45</v>
      </c>
      <c r="O512">
        <v>6</v>
      </c>
      <c r="P512" t="s">
        <v>7</v>
      </c>
      <c r="Q512">
        <v>14.1</v>
      </c>
      <c r="R512" t="str">
        <f t="shared" si="15"/>
        <v>II</v>
      </c>
      <c r="S512">
        <f t="shared" si="16"/>
        <v>1.7835E-2</v>
      </c>
    </row>
    <row r="513" spans="1:19">
      <c r="A513">
        <v>1381</v>
      </c>
      <c r="B513" t="s">
        <v>75</v>
      </c>
      <c r="C513">
        <v>0.625</v>
      </c>
      <c r="D513">
        <v>0.45500000000000002</v>
      </c>
      <c r="E513">
        <v>0.17</v>
      </c>
      <c r="F513">
        <v>1.0820000000000001</v>
      </c>
      <c r="G513">
        <v>0.4955</v>
      </c>
      <c r="H513">
        <v>0.23449999999999999</v>
      </c>
      <c r="I513">
        <v>0.315</v>
      </c>
      <c r="J513">
        <v>9</v>
      </c>
      <c r="K513">
        <v>6</v>
      </c>
      <c r="L513" t="s">
        <v>46</v>
      </c>
      <c r="M513" t="s">
        <v>47</v>
      </c>
      <c r="N513" t="s">
        <v>48</v>
      </c>
      <c r="O513">
        <v>2</v>
      </c>
      <c r="P513" t="s">
        <v>5</v>
      </c>
      <c r="Q513">
        <v>18</v>
      </c>
      <c r="R513" t="str">
        <f t="shared" si="15"/>
        <v>III</v>
      </c>
      <c r="S513">
        <f t="shared" si="16"/>
        <v>0.53198333333333336</v>
      </c>
    </row>
    <row r="514" spans="1:19">
      <c r="A514">
        <v>1568</v>
      </c>
      <c r="B514" t="s">
        <v>75</v>
      </c>
      <c r="C514">
        <v>0.46500000000000002</v>
      </c>
      <c r="D514">
        <v>0.34499999999999997</v>
      </c>
      <c r="E514">
        <v>0.11</v>
      </c>
      <c r="F514">
        <v>0.39300000000000002</v>
      </c>
      <c r="G514">
        <v>0.1825</v>
      </c>
      <c r="H514">
        <v>7.3499999999999996E-2</v>
      </c>
      <c r="I514">
        <v>0.12</v>
      </c>
      <c r="J514">
        <v>8</v>
      </c>
      <c r="K514">
        <v>15</v>
      </c>
      <c r="L514" t="s">
        <v>60</v>
      </c>
      <c r="M514" t="s">
        <v>61</v>
      </c>
      <c r="N514" t="s">
        <v>45</v>
      </c>
      <c r="O514">
        <v>10</v>
      </c>
      <c r="P514" t="s">
        <v>11</v>
      </c>
      <c r="Q514">
        <v>24.1</v>
      </c>
      <c r="R514" t="str">
        <f t="shared" si="15"/>
        <v>II</v>
      </c>
      <c r="S514">
        <f t="shared" si="16"/>
        <v>0.13728800000000002</v>
      </c>
    </row>
    <row r="515" spans="1:19">
      <c r="A515">
        <v>763</v>
      </c>
      <c r="B515" t="s">
        <v>75</v>
      </c>
      <c r="C515">
        <v>0.54</v>
      </c>
      <c r="D515">
        <v>0.44</v>
      </c>
      <c r="E515">
        <v>0.13500000000000001</v>
      </c>
      <c r="F515">
        <v>0.95899999999999996</v>
      </c>
      <c r="G515">
        <v>0.23849999999999999</v>
      </c>
      <c r="H515">
        <v>0.221</v>
      </c>
      <c r="I515">
        <v>0.3</v>
      </c>
      <c r="J515">
        <v>17</v>
      </c>
      <c r="K515">
        <v>12</v>
      </c>
      <c r="L515" t="s">
        <v>58</v>
      </c>
      <c r="M515" t="s">
        <v>59</v>
      </c>
      <c r="N515" t="s">
        <v>45</v>
      </c>
      <c r="O515">
        <v>4</v>
      </c>
      <c r="P515" t="s">
        <v>8</v>
      </c>
      <c r="Q515">
        <v>6.1</v>
      </c>
      <c r="R515" t="str">
        <f t="shared" ref="R515:R578" si="17">IF(OR(AND(J515 &gt; 15, B515 = "Infant"), AND(D515 = "Male", C515 &gt; 0.75),
    OR(I515 &gt; 0.8, G515 &gt; 0.5), G515 &gt; 1.2),
    "I",
    IF(OR(AND(I515 &lt; 0.4, G515 &lt; 0.4), AND(J515 &gt; 15, D515 = "Male"), AND(J515 &gt; 18, D515 = "Female"), C515 &lt; 0.36),
    "II",
    "III"))</f>
        <v>II</v>
      </c>
      <c r="S515">
        <f t="shared" ref="S515:S578" si="18">IF(OR(AND(J515 &gt; 15, B515 = "Infant"), AND(D515 = "Male", C515 &gt; 0.75), OR(I515 &gt; 0.8, G515 &gt; 0.5), G515 &gt; 1.2), (1 + (1/3)*(C515 - 0.5) + (1/3)*(D515 - 0.4) + (1/3)*(E515 - 0.4)) * F515 * 0.5 * 1.5, IF(OR(AND(I515 &lt; 0.4, G515 &lt; 0.4), AND(J515 &gt; 15, D515 = "Male"), AND(J515 &gt; 18, D515 = "Female"), C515 &lt; 0.36), (1 + (1/3)*(C515 - 0.5) + (1/3)*(D515 - 0.4) + (1/3)*(E515 - 0.4)) * F515 * 0.5 * 0.8, (1 + (1/3)*(C515 - 0.5) + (1/3)*(D515 - 0.4) + (1/3)*(E515 - 0.4)) * F515 * 0.5))</f>
        <v>0.35994466666666675</v>
      </c>
    </row>
    <row r="516" spans="1:19">
      <c r="A516">
        <v>3492</v>
      </c>
      <c r="B516" t="s">
        <v>75</v>
      </c>
      <c r="C516">
        <v>0.55000000000000004</v>
      </c>
      <c r="D516">
        <v>0.44</v>
      </c>
      <c r="E516">
        <v>0.16</v>
      </c>
      <c r="F516">
        <v>0.98499999999999999</v>
      </c>
      <c r="G516">
        <v>0.46450000000000002</v>
      </c>
      <c r="H516">
        <v>0.20100000000000001</v>
      </c>
      <c r="I516">
        <v>0.27</v>
      </c>
      <c r="J516">
        <v>8</v>
      </c>
      <c r="K516">
        <v>9</v>
      </c>
      <c r="L516" t="s">
        <v>34</v>
      </c>
      <c r="M516" t="s">
        <v>35</v>
      </c>
      <c r="N516" t="s">
        <v>36</v>
      </c>
      <c r="O516">
        <v>4</v>
      </c>
      <c r="P516" t="s">
        <v>8</v>
      </c>
      <c r="Q516">
        <v>6.1</v>
      </c>
      <c r="R516" t="str">
        <f t="shared" si="17"/>
        <v>III</v>
      </c>
      <c r="S516">
        <f t="shared" si="18"/>
        <v>0.46787500000000004</v>
      </c>
    </row>
    <row r="517" spans="1:19">
      <c r="A517">
        <v>1576</v>
      </c>
      <c r="B517" t="s">
        <v>75</v>
      </c>
      <c r="C517">
        <v>0.48499999999999999</v>
      </c>
      <c r="D517">
        <v>0.375</v>
      </c>
      <c r="E517">
        <v>0.13</v>
      </c>
      <c r="F517">
        <v>0.60250000000000004</v>
      </c>
      <c r="G517">
        <v>0.29349999999999998</v>
      </c>
      <c r="H517">
        <v>0.1285</v>
      </c>
      <c r="I517">
        <v>0.16</v>
      </c>
      <c r="J517">
        <v>7</v>
      </c>
      <c r="K517">
        <v>1</v>
      </c>
      <c r="L517" t="s">
        <v>70</v>
      </c>
      <c r="M517" t="s">
        <v>71</v>
      </c>
      <c r="N517" t="s">
        <v>45</v>
      </c>
      <c r="O517">
        <v>2</v>
      </c>
      <c r="P517" t="s">
        <v>5</v>
      </c>
      <c r="Q517">
        <v>18</v>
      </c>
      <c r="R517" t="str">
        <f t="shared" si="17"/>
        <v>II</v>
      </c>
      <c r="S517">
        <f t="shared" si="18"/>
        <v>0.21609666666666671</v>
      </c>
    </row>
    <row r="518" spans="1:19">
      <c r="A518">
        <v>1716</v>
      </c>
      <c r="B518" t="s">
        <v>75</v>
      </c>
      <c r="C518">
        <v>0.64500000000000002</v>
      </c>
      <c r="D518">
        <v>0.48499999999999999</v>
      </c>
      <c r="E518">
        <v>0.15</v>
      </c>
      <c r="F518">
        <v>1.2215</v>
      </c>
      <c r="G518">
        <v>0.56950000000000001</v>
      </c>
      <c r="H518">
        <v>0.27350000000000002</v>
      </c>
      <c r="I518">
        <v>0.33</v>
      </c>
      <c r="J518">
        <v>9</v>
      </c>
      <c r="K518">
        <v>1</v>
      </c>
      <c r="L518" t="s">
        <v>70</v>
      </c>
      <c r="M518" t="s">
        <v>71</v>
      </c>
      <c r="N518" t="s">
        <v>45</v>
      </c>
      <c r="O518">
        <v>9</v>
      </c>
      <c r="P518" t="s">
        <v>9</v>
      </c>
      <c r="Q518">
        <v>1.9</v>
      </c>
      <c r="R518" t="str">
        <f t="shared" si="17"/>
        <v>I</v>
      </c>
      <c r="S518">
        <f t="shared" si="18"/>
        <v>0.91001749999999992</v>
      </c>
    </row>
    <row r="519" spans="1:19">
      <c r="A519">
        <v>845</v>
      </c>
      <c r="B519" t="s">
        <v>75</v>
      </c>
      <c r="C519">
        <v>0.52500000000000002</v>
      </c>
      <c r="D519">
        <v>0.39500000000000002</v>
      </c>
      <c r="E519">
        <v>0.13</v>
      </c>
      <c r="F519">
        <v>0.76349999999999996</v>
      </c>
      <c r="G519">
        <v>0.33750000000000002</v>
      </c>
      <c r="H519">
        <v>0.14249999999999999</v>
      </c>
      <c r="I519">
        <v>0.22500000000000001</v>
      </c>
      <c r="J519">
        <v>8</v>
      </c>
      <c r="K519">
        <v>14</v>
      </c>
      <c r="L519" t="s">
        <v>72</v>
      </c>
      <c r="M519" t="s">
        <v>73</v>
      </c>
      <c r="N519" t="s">
        <v>74</v>
      </c>
      <c r="O519">
        <v>8</v>
      </c>
      <c r="P519" t="s">
        <v>13</v>
      </c>
      <c r="Q519">
        <v>12.3</v>
      </c>
      <c r="R519" t="str">
        <f t="shared" si="17"/>
        <v>II</v>
      </c>
      <c r="S519">
        <f t="shared" si="18"/>
        <v>0.27994999999999998</v>
      </c>
    </row>
    <row r="520" spans="1:19">
      <c r="A520">
        <v>3540</v>
      </c>
      <c r="B520" t="s">
        <v>75</v>
      </c>
      <c r="C520">
        <v>0.435</v>
      </c>
      <c r="D520">
        <v>0.34</v>
      </c>
      <c r="E520">
        <v>0.12</v>
      </c>
      <c r="F520">
        <v>0.39600000000000002</v>
      </c>
      <c r="G520">
        <v>0.17749999999999999</v>
      </c>
      <c r="H520">
        <v>8.1000000000000003E-2</v>
      </c>
      <c r="I520">
        <v>0.125</v>
      </c>
      <c r="J520">
        <v>8</v>
      </c>
      <c r="K520">
        <v>10</v>
      </c>
      <c r="L520" t="s">
        <v>37</v>
      </c>
      <c r="M520" t="s">
        <v>38</v>
      </c>
      <c r="N520" t="s">
        <v>39</v>
      </c>
      <c r="O520">
        <v>3</v>
      </c>
      <c r="P520" t="s">
        <v>10</v>
      </c>
      <c r="Q520">
        <v>3.6</v>
      </c>
      <c r="R520" t="str">
        <f t="shared" si="17"/>
        <v>II</v>
      </c>
      <c r="S520">
        <f t="shared" si="18"/>
        <v>0.137016</v>
      </c>
    </row>
    <row r="521" spans="1:19">
      <c r="A521">
        <v>201</v>
      </c>
      <c r="B521" t="s">
        <v>75</v>
      </c>
      <c r="C521">
        <v>0.45</v>
      </c>
      <c r="D521">
        <v>0.34499999999999997</v>
      </c>
      <c r="E521">
        <v>0.12</v>
      </c>
      <c r="F521">
        <v>0.41649999999999998</v>
      </c>
      <c r="G521">
        <v>0.16550000000000001</v>
      </c>
      <c r="H521">
        <v>9.5000000000000001E-2</v>
      </c>
      <c r="I521">
        <v>0.13500000000000001</v>
      </c>
      <c r="J521">
        <v>9</v>
      </c>
      <c r="K521">
        <v>13</v>
      </c>
      <c r="L521" t="s">
        <v>43</v>
      </c>
      <c r="M521" t="s">
        <v>44</v>
      </c>
      <c r="N521" t="s">
        <v>45</v>
      </c>
      <c r="O521">
        <v>2</v>
      </c>
      <c r="P521" t="s">
        <v>5</v>
      </c>
      <c r="Q521">
        <v>18</v>
      </c>
      <c r="R521" t="str">
        <f t="shared" si="17"/>
        <v>II</v>
      </c>
      <c r="S521">
        <f t="shared" si="18"/>
        <v>0.14521966666666666</v>
      </c>
    </row>
    <row r="522" spans="1:19">
      <c r="A522">
        <v>3684</v>
      </c>
      <c r="B522" t="s">
        <v>75</v>
      </c>
      <c r="C522">
        <v>0.62</v>
      </c>
      <c r="D522">
        <v>0.52500000000000002</v>
      </c>
      <c r="E522">
        <v>0.155</v>
      </c>
      <c r="F522">
        <v>1.085</v>
      </c>
      <c r="G522">
        <v>0.45400000000000001</v>
      </c>
      <c r="H522">
        <v>0.19650000000000001</v>
      </c>
      <c r="I522">
        <v>0.35</v>
      </c>
      <c r="J522">
        <v>10</v>
      </c>
      <c r="K522">
        <v>9</v>
      </c>
      <c r="L522" t="s">
        <v>34</v>
      </c>
      <c r="M522" t="s">
        <v>35</v>
      </c>
      <c r="N522" t="s">
        <v>36</v>
      </c>
      <c r="O522">
        <v>6</v>
      </c>
      <c r="P522" t="s">
        <v>7</v>
      </c>
      <c r="Q522">
        <v>14.1</v>
      </c>
      <c r="R522" t="str">
        <f t="shared" si="17"/>
        <v>III</v>
      </c>
      <c r="S522">
        <f t="shared" si="18"/>
        <v>0.54249999999999998</v>
      </c>
    </row>
    <row r="523" spans="1:19">
      <c r="A523">
        <v>151</v>
      </c>
      <c r="B523" t="s">
        <v>75</v>
      </c>
      <c r="C523">
        <v>0.59</v>
      </c>
      <c r="D523">
        <v>0.47499999999999998</v>
      </c>
      <c r="E523">
        <v>0.14499999999999999</v>
      </c>
      <c r="F523">
        <v>1.0529999999999999</v>
      </c>
      <c r="G523">
        <v>0.4415</v>
      </c>
      <c r="H523">
        <v>0.26200000000000001</v>
      </c>
      <c r="I523">
        <v>0.32500000000000001</v>
      </c>
      <c r="J523">
        <v>15</v>
      </c>
      <c r="K523">
        <v>6</v>
      </c>
      <c r="L523" t="s">
        <v>46</v>
      </c>
      <c r="M523" t="s">
        <v>47</v>
      </c>
      <c r="N523" t="s">
        <v>48</v>
      </c>
      <c r="O523">
        <v>5</v>
      </c>
      <c r="P523" t="s">
        <v>12</v>
      </c>
      <c r="Q523">
        <v>12.8</v>
      </c>
      <c r="R523" t="str">
        <f t="shared" si="17"/>
        <v>III</v>
      </c>
      <c r="S523">
        <f t="shared" si="18"/>
        <v>0.51070499999999996</v>
      </c>
    </row>
    <row r="524" spans="1:19">
      <c r="A524">
        <v>2458</v>
      </c>
      <c r="B524" t="s">
        <v>75</v>
      </c>
      <c r="C524">
        <v>0.25</v>
      </c>
      <c r="D524">
        <v>0.185</v>
      </c>
      <c r="E524">
        <v>6.5000000000000002E-2</v>
      </c>
      <c r="F524">
        <v>7.0999999999999994E-2</v>
      </c>
      <c r="G524">
        <v>2.7E-2</v>
      </c>
      <c r="H524">
        <v>1.8499999999999999E-2</v>
      </c>
      <c r="I524">
        <v>2.2499999999999999E-2</v>
      </c>
      <c r="J524">
        <v>5</v>
      </c>
      <c r="K524">
        <v>6</v>
      </c>
      <c r="L524" t="s">
        <v>46</v>
      </c>
      <c r="M524" t="s">
        <v>47</v>
      </c>
      <c r="N524" t="s">
        <v>48</v>
      </c>
      <c r="O524">
        <v>2</v>
      </c>
      <c r="P524" t="s">
        <v>5</v>
      </c>
      <c r="Q524">
        <v>18</v>
      </c>
      <c r="R524" t="str">
        <f t="shared" si="17"/>
        <v>II</v>
      </c>
      <c r="S524">
        <f t="shared" si="18"/>
        <v>2.0826666666666663E-2</v>
      </c>
    </row>
    <row r="525" spans="1:19">
      <c r="A525">
        <v>330</v>
      </c>
      <c r="B525" t="s">
        <v>75</v>
      </c>
      <c r="C525">
        <v>0.36</v>
      </c>
      <c r="D525">
        <v>0.28000000000000003</v>
      </c>
      <c r="E525">
        <v>0.09</v>
      </c>
      <c r="F525">
        <v>0.22550000000000001</v>
      </c>
      <c r="G525">
        <v>8.8499999999999995E-2</v>
      </c>
      <c r="H525">
        <v>0.04</v>
      </c>
      <c r="I525">
        <v>0.09</v>
      </c>
      <c r="J525">
        <v>8</v>
      </c>
      <c r="K525">
        <v>7</v>
      </c>
      <c r="L525" t="s">
        <v>62</v>
      </c>
      <c r="M525" t="s">
        <v>63</v>
      </c>
      <c r="N525" t="s">
        <v>64</v>
      </c>
      <c r="O525">
        <v>6</v>
      </c>
      <c r="P525" t="s">
        <v>7</v>
      </c>
      <c r="Q525">
        <v>14.1</v>
      </c>
      <c r="R525" t="str">
        <f t="shared" si="17"/>
        <v>II</v>
      </c>
      <c r="S525">
        <f t="shared" si="18"/>
        <v>7.3062000000000002E-2</v>
      </c>
    </row>
    <row r="526" spans="1:19">
      <c r="A526">
        <v>180</v>
      </c>
      <c r="B526" t="s">
        <v>75</v>
      </c>
      <c r="C526">
        <v>0.57999999999999996</v>
      </c>
      <c r="D526">
        <v>0.47499999999999998</v>
      </c>
      <c r="E526">
        <v>0.15</v>
      </c>
      <c r="F526">
        <v>0.97</v>
      </c>
      <c r="G526">
        <v>0.38500000000000001</v>
      </c>
      <c r="H526">
        <v>0.2165</v>
      </c>
      <c r="I526">
        <v>0.35</v>
      </c>
      <c r="J526">
        <v>11</v>
      </c>
      <c r="K526">
        <v>12</v>
      </c>
      <c r="L526" t="s">
        <v>58</v>
      </c>
      <c r="M526" t="s">
        <v>59</v>
      </c>
      <c r="N526" t="s">
        <v>45</v>
      </c>
      <c r="O526">
        <v>4</v>
      </c>
      <c r="P526" t="s">
        <v>8</v>
      </c>
      <c r="Q526">
        <v>6.1</v>
      </c>
      <c r="R526" t="str">
        <f t="shared" si="17"/>
        <v>II</v>
      </c>
      <c r="S526">
        <f t="shared" si="18"/>
        <v>0.37571333333333329</v>
      </c>
    </row>
    <row r="527" spans="1:19">
      <c r="A527">
        <v>354</v>
      </c>
      <c r="B527" t="s">
        <v>75</v>
      </c>
      <c r="C527">
        <v>0.57999999999999996</v>
      </c>
      <c r="D527">
        <v>0.45500000000000002</v>
      </c>
      <c r="E527">
        <v>0.17</v>
      </c>
      <c r="F527">
        <v>0.93</v>
      </c>
      <c r="G527">
        <v>0.40799999999999997</v>
      </c>
      <c r="H527">
        <v>0.25900000000000001</v>
      </c>
      <c r="I527">
        <v>0.22</v>
      </c>
      <c r="J527">
        <v>9</v>
      </c>
      <c r="K527">
        <v>2</v>
      </c>
      <c r="L527" t="s">
        <v>49</v>
      </c>
      <c r="M527" t="s">
        <v>50</v>
      </c>
      <c r="N527" t="s">
        <v>51</v>
      </c>
      <c r="O527">
        <v>1</v>
      </c>
      <c r="P527" t="s">
        <v>4</v>
      </c>
      <c r="Q527">
        <v>22.1</v>
      </c>
      <c r="R527" t="str">
        <f t="shared" si="17"/>
        <v>III</v>
      </c>
      <c r="S527">
        <f t="shared" si="18"/>
        <v>0.45027499999999998</v>
      </c>
    </row>
    <row r="528" spans="1:19">
      <c r="A528">
        <v>4080</v>
      </c>
      <c r="B528" t="s">
        <v>75</v>
      </c>
      <c r="C528">
        <v>0.55000000000000004</v>
      </c>
      <c r="D528">
        <v>0.38500000000000001</v>
      </c>
      <c r="E528">
        <v>0.13</v>
      </c>
      <c r="F528">
        <v>0.72750000000000004</v>
      </c>
      <c r="G528">
        <v>0.34300000000000003</v>
      </c>
      <c r="H528">
        <v>0.16250000000000001</v>
      </c>
      <c r="I528">
        <v>0.19</v>
      </c>
      <c r="J528">
        <v>8</v>
      </c>
      <c r="K528">
        <v>6</v>
      </c>
      <c r="L528" t="s">
        <v>46</v>
      </c>
      <c r="M528" t="s">
        <v>47</v>
      </c>
      <c r="N528" t="s">
        <v>48</v>
      </c>
      <c r="O528">
        <v>1</v>
      </c>
      <c r="P528" t="s">
        <v>4</v>
      </c>
      <c r="Q528">
        <v>22.1</v>
      </c>
      <c r="R528" t="str">
        <f t="shared" si="17"/>
        <v>II</v>
      </c>
      <c r="S528">
        <f t="shared" si="18"/>
        <v>0.26820500000000003</v>
      </c>
    </row>
    <row r="529" spans="1:19">
      <c r="A529">
        <v>187</v>
      </c>
      <c r="B529" t="s">
        <v>75</v>
      </c>
      <c r="C529">
        <v>0.63</v>
      </c>
      <c r="D529">
        <v>0.48</v>
      </c>
      <c r="E529">
        <v>0.15</v>
      </c>
      <c r="F529">
        <v>1.0525</v>
      </c>
      <c r="G529">
        <v>0.39200000000000002</v>
      </c>
      <c r="H529">
        <v>0.33600000000000002</v>
      </c>
      <c r="I529">
        <v>0.28499999999999998</v>
      </c>
      <c r="J529">
        <v>12</v>
      </c>
      <c r="K529">
        <v>15</v>
      </c>
      <c r="L529" t="s">
        <v>60</v>
      </c>
      <c r="M529" t="s">
        <v>61</v>
      </c>
      <c r="N529" t="s">
        <v>45</v>
      </c>
      <c r="O529">
        <v>9</v>
      </c>
      <c r="P529" t="s">
        <v>9</v>
      </c>
      <c r="Q529">
        <v>1.9</v>
      </c>
      <c r="R529" t="str">
        <f t="shared" si="17"/>
        <v>II</v>
      </c>
      <c r="S529">
        <f t="shared" si="18"/>
        <v>0.41538666666666668</v>
      </c>
    </row>
    <row r="530" spans="1:19">
      <c r="A530">
        <v>1604</v>
      </c>
      <c r="B530" t="s">
        <v>75</v>
      </c>
      <c r="C530">
        <v>0.54</v>
      </c>
      <c r="D530">
        <v>0.43</v>
      </c>
      <c r="E530">
        <v>0.14000000000000001</v>
      </c>
      <c r="F530">
        <v>0.81950000000000001</v>
      </c>
      <c r="G530">
        <v>0.39350000000000002</v>
      </c>
      <c r="H530">
        <v>0.17249999999999999</v>
      </c>
      <c r="I530">
        <v>0.22950000000000001</v>
      </c>
      <c r="J530">
        <v>9</v>
      </c>
      <c r="K530">
        <v>1</v>
      </c>
      <c r="L530" t="s">
        <v>70</v>
      </c>
      <c r="M530" t="s">
        <v>71</v>
      </c>
      <c r="N530" t="s">
        <v>45</v>
      </c>
      <c r="O530">
        <v>3</v>
      </c>
      <c r="P530" t="s">
        <v>10</v>
      </c>
      <c r="Q530">
        <v>3.6</v>
      </c>
      <c r="R530" t="str">
        <f t="shared" si="17"/>
        <v>II</v>
      </c>
      <c r="S530">
        <f t="shared" si="18"/>
        <v>0.30703933333333339</v>
      </c>
    </row>
    <row r="531" spans="1:19">
      <c r="A531">
        <v>1853</v>
      </c>
      <c r="B531" t="s">
        <v>75</v>
      </c>
      <c r="C531">
        <v>0.495</v>
      </c>
      <c r="D531">
        <v>0.38</v>
      </c>
      <c r="E531">
        <v>0.13500000000000001</v>
      </c>
      <c r="F531">
        <v>0.50949999999999995</v>
      </c>
      <c r="G531">
        <v>0.20649999999999999</v>
      </c>
      <c r="H531">
        <v>0.11650000000000001</v>
      </c>
      <c r="I531">
        <v>0.16500000000000001</v>
      </c>
      <c r="J531">
        <v>8</v>
      </c>
      <c r="K531">
        <v>10</v>
      </c>
      <c r="L531" t="s">
        <v>37</v>
      </c>
      <c r="M531" t="s">
        <v>38</v>
      </c>
      <c r="N531" t="s">
        <v>39</v>
      </c>
      <c r="O531">
        <v>7</v>
      </c>
      <c r="P531" t="s">
        <v>6</v>
      </c>
      <c r="Q531">
        <v>2.5</v>
      </c>
      <c r="R531" t="str">
        <f t="shared" si="17"/>
        <v>II</v>
      </c>
      <c r="S531">
        <f t="shared" si="18"/>
        <v>0.18409933333333328</v>
      </c>
    </row>
    <row r="532" spans="1:19">
      <c r="A532">
        <v>414</v>
      </c>
      <c r="B532" t="s">
        <v>75</v>
      </c>
      <c r="C532">
        <v>0.54500000000000004</v>
      </c>
      <c r="D532">
        <v>0.44</v>
      </c>
      <c r="E532">
        <v>0.12</v>
      </c>
      <c r="F532">
        <v>0.85650000000000004</v>
      </c>
      <c r="G532">
        <v>0.34749999999999998</v>
      </c>
      <c r="H532">
        <v>0.17150000000000001</v>
      </c>
      <c r="I532">
        <v>0.24</v>
      </c>
      <c r="J532">
        <v>12</v>
      </c>
      <c r="K532">
        <v>14</v>
      </c>
      <c r="L532" t="s">
        <v>72</v>
      </c>
      <c r="M532" t="s">
        <v>73</v>
      </c>
      <c r="N532" t="s">
        <v>74</v>
      </c>
      <c r="O532">
        <v>6</v>
      </c>
      <c r="P532" t="s">
        <v>7</v>
      </c>
      <c r="Q532">
        <v>14.1</v>
      </c>
      <c r="R532" t="str">
        <f t="shared" si="17"/>
        <v>II</v>
      </c>
      <c r="S532">
        <f t="shared" si="18"/>
        <v>0.32033100000000009</v>
      </c>
    </row>
    <row r="533" spans="1:19">
      <c r="A533">
        <v>4164</v>
      </c>
      <c r="B533" t="s">
        <v>75</v>
      </c>
      <c r="C533">
        <v>0.39</v>
      </c>
      <c r="D533">
        <v>0.31</v>
      </c>
      <c r="E533">
        <v>8.5000000000000006E-2</v>
      </c>
      <c r="F533">
        <v>0.34399999999999997</v>
      </c>
      <c r="G533">
        <v>0.18099999999999999</v>
      </c>
      <c r="H533">
        <v>6.9500000000000006E-2</v>
      </c>
      <c r="I533">
        <v>7.9000000000000001E-2</v>
      </c>
      <c r="J533">
        <v>7</v>
      </c>
      <c r="K533">
        <v>15</v>
      </c>
      <c r="L533" t="s">
        <v>60</v>
      </c>
      <c r="M533" t="s">
        <v>61</v>
      </c>
      <c r="N533" t="s">
        <v>45</v>
      </c>
      <c r="O533">
        <v>1</v>
      </c>
      <c r="P533" t="s">
        <v>4</v>
      </c>
      <c r="Q533">
        <v>22.1</v>
      </c>
      <c r="R533" t="str">
        <f t="shared" si="17"/>
        <v>II</v>
      </c>
      <c r="S533">
        <f t="shared" si="18"/>
        <v>0.11397866666666667</v>
      </c>
    </row>
    <row r="534" spans="1:19">
      <c r="A534">
        <v>1058</v>
      </c>
      <c r="B534" t="s">
        <v>75</v>
      </c>
      <c r="C534">
        <v>0.22500000000000001</v>
      </c>
      <c r="D534">
        <v>0.16500000000000001</v>
      </c>
      <c r="E534">
        <v>5.5E-2</v>
      </c>
      <c r="F534">
        <v>5.8999999999999997E-2</v>
      </c>
      <c r="G534">
        <v>2.7E-2</v>
      </c>
      <c r="H534">
        <v>1.2500000000000001E-2</v>
      </c>
      <c r="I534">
        <v>1.4999999999999999E-2</v>
      </c>
      <c r="J534">
        <v>4</v>
      </c>
      <c r="K534">
        <v>14</v>
      </c>
      <c r="L534" t="s">
        <v>72</v>
      </c>
      <c r="M534" t="s">
        <v>73</v>
      </c>
      <c r="N534" t="s">
        <v>74</v>
      </c>
      <c r="O534">
        <v>4</v>
      </c>
      <c r="P534" t="s">
        <v>8</v>
      </c>
      <c r="Q534">
        <v>6.1</v>
      </c>
      <c r="R534" t="str">
        <f t="shared" si="17"/>
        <v>II</v>
      </c>
      <c r="S534">
        <f t="shared" si="18"/>
        <v>1.6873999999999997E-2</v>
      </c>
    </row>
    <row r="535" spans="1:19">
      <c r="A535">
        <v>3724</v>
      </c>
      <c r="B535" t="s">
        <v>75</v>
      </c>
      <c r="C535">
        <v>0.47</v>
      </c>
      <c r="D535">
        <v>0.35499999999999998</v>
      </c>
      <c r="E535">
        <v>0.12</v>
      </c>
      <c r="F535">
        <v>0.49149999999999999</v>
      </c>
      <c r="G535">
        <v>0.17649999999999999</v>
      </c>
      <c r="H535">
        <v>0.1125</v>
      </c>
      <c r="I535">
        <v>0.13250000000000001</v>
      </c>
      <c r="J535">
        <v>9</v>
      </c>
      <c r="K535">
        <v>8</v>
      </c>
      <c r="L535" t="s">
        <v>55</v>
      </c>
      <c r="M535" t="s">
        <v>56</v>
      </c>
      <c r="N535" t="s">
        <v>57</v>
      </c>
      <c r="O535">
        <v>8</v>
      </c>
      <c r="P535" t="s">
        <v>13</v>
      </c>
      <c r="Q535">
        <v>12.3</v>
      </c>
      <c r="R535" t="str">
        <f t="shared" si="17"/>
        <v>II</v>
      </c>
      <c r="S535">
        <f t="shared" si="18"/>
        <v>0.17333566666666667</v>
      </c>
    </row>
    <row r="536" spans="1:19">
      <c r="A536">
        <v>3329</v>
      </c>
      <c r="B536" t="s">
        <v>75</v>
      </c>
      <c r="C536">
        <v>0.57499999999999996</v>
      </c>
      <c r="D536">
        <v>0.47499999999999998</v>
      </c>
      <c r="E536">
        <v>0.17</v>
      </c>
      <c r="F536">
        <v>0.96699999999999997</v>
      </c>
      <c r="G536">
        <v>0.3775</v>
      </c>
      <c r="H536">
        <v>0.28399999999999997</v>
      </c>
      <c r="I536">
        <v>0.27500000000000002</v>
      </c>
      <c r="J536">
        <v>13</v>
      </c>
      <c r="K536">
        <v>9</v>
      </c>
      <c r="L536" t="s">
        <v>34</v>
      </c>
      <c r="M536" t="s">
        <v>35</v>
      </c>
      <c r="N536" t="s">
        <v>36</v>
      </c>
      <c r="O536">
        <v>8</v>
      </c>
      <c r="P536" t="s">
        <v>13</v>
      </c>
      <c r="Q536">
        <v>12.3</v>
      </c>
      <c r="R536" t="str">
        <f t="shared" si="17"/>
        <v>II</v>
      </c>
      <c r="S536">
        <f t="shared" si="18"/>
        <v>0.37648533333333328</v>
      </c>
    </row>
    <row r="537" spans="1:19">
      <c r="A537">
        <v>2880</v>
      </c>
      <c r="B537" t="s">
        <v>75</v>
      </c>
      <c r="C537">
        <v>0.47</v>
      </c>
      <c r="D537">
        <v>0.38500000000000001</v>
      </c>
      <c r="E537">
        <v>0.13</v>
      </c>
      <c r="F537">
        <v>0.58699999999999997</v>
      </c>
      <c r="G537">
        <v>0.26400000000000001</v>
      </c>
      <c r="H537">
        <v>0.11700000000000001</v>
      </c>
      <c r="I537">
        <v>0.17399999999999999</v>
      </c>
      <c r="J537">
        <v>8</v>
      </c>
      <c r="K537">
        <v>2</v>
      </c>
      <c r="L537" t="s">
        <v>49</v>
      </c>
      <c r="M537" t="s">
        <v>50</v>
      </c>
      <c r="N537" t="s">
        <v>51</v>
      </c>
      <c r="O537">
        <v>10</v>
      </c>
      <c r="P537" t="s">
        <v>11</v>
      </c>
      <c r="Q537">
        <v>24.1</v>
      </c>
      <c r="R537" t="str">
        <f t="shared" si="17"/>
        <v>II</v>
      </c>
      <c r="S537">
        <f t="shared" si="18"/>
        <v>0.210146</v>
      </c>
    </row>
    <row r="538" spans="1:19">
      <c r="A538">
        <v>3504</v>
      </c>
      <c r="B538" t="s">
        <v>75</v>
      </c>
      <c r="C538">
        <v>0.61499999999999999</v>
      </c>
      <c r="D538">
        <v>0.49</v>
      </c>
      <c r="E538">
        <v>0.19</v>
      </c>
      <c r="F538">
        <v>1.1345000000000001</v>
      </c>
      <c r="G538">
        <v>0.46949999999999997</v>
      </c>
      <c r="H538">
        <v>0.25700000000000001</v>
      </c>
      <c r="I538">
        <v>0.34799999999999998</v>
      </c>
      <c r="J538">
        <v>11</v>
      </c>
      <c r="K538">
        <v>15</v>
      </c>
      <c r="L538" t="s">
        <v>60</v>
      </c>
      <c r="M538" t="s">
        <v>61</v>
      </c>
      <c r="N538" t="s">
        <v>45</v>
      </c>
      <c r="O538">
        <v>4</v>
      </c>
      <c r="P538" t="s">
        <v>8</v>
      </c>
      <c r="Q538">
        <v>6.1</v>
      </c>
      <c r="R538" t="str">
        <f t="shared" si="17"/>
        <v>III</v>
      </c>
      <c r="S538">
        <f t="shared" si="18"/>
        <v>0.56630458333333333</v>
      </c>
    </row>
    <row r="539" spans="1:19">
      <c r="A539">
        <v>589</v>
      </c>
      <c r="B539" t="s">
        <v>75</v>
      </c>
      <c r="C539">
        <v>0.45</v>
      </c>
      <c r="D539">
        <v>0.33500000000000002</v>
      </c>
      <c r="E539">
        <v>0.14000000000000001</v>
      </c>
      <c r="F539">
        <v>0.46250000000000002</v>
      </c>
      <c r="G539">
        <v>0.16400000000000001</v>
      </c>
      <c r="H539">
        <v>7.5999999999999998E-2</v>
      </c>
      <c r="I539">
        <v>0.15</v>
      </c>
      <c r="J539">
        <v>14</v>
      </c>
      <c r="K539">
        <v>15</v>
      </c>
      <c r="L539" t="s">
        <v>60</v>
      </c>
      <c r="M539" t="s">
        <v>61</v>
      </c>
      <c r="N539" t="s">
        <v>45</v>
      </c>
      <c r="O539">
        <v>5</v>
      </c>
      <c r="P539" t="s">
        <v>12</v>
      </c>
      <c r="Q539">
        <v>12.8</v>
      </c>
      <c r="R539" t="str">
        <f t="shared" si="17"/>
        <v>II</v>
      </c>
      <c r="S539">
        <f t="shared" si="18"/>
        <v>0.16187500000000002</v>
      </c>
    </row>
    <row r="540" spans="1:19">
      <c r="A540">
        <v>191</v>
      </c>
      <c r="B540" t="s">
        <v>75</v>
      </c>
      <c r="C540">
        <v>0.61499999999999999</v>
      </c>
      <c r="D540">
        <v>0.48</v>
      </c>
      <c r="E540">
        <v>0.18</v>
      </c>
      <c r="F540">
        <v>1.1595</v>
      </c>
      <c r="G540">
        <v>0.48449999999999999</v>
      </c>
      <c r="H540">
        <v>0.2165</v>
      </c>
      <c r="I540">
        <v>0.32500000000000001</v>
      </c>
      <c r="J540">
        <v>13</v>
      </c>
      <c r="K540">
        <v>6</v>
      </c>
      <c r="L540" t="s">
        <v>46</v>
      </c>
      <c r="M540" t="s">
        <v>47</v>
      </c>
      <c r="N540" t="s">
        <v>48</v>
      </c>
      <c r="O540">
        <v>10</v>
      </c>
      <c r="P540" t="s">
        <v>11</v>
      </c>
      <c r="Q540">
        <v>24.1</v>
      </c>
      <c r="R540" t="str">
        <f t="shared" si="17"/>
        <v>III</v>
      </c>
      <c r="S540">
        <f t="shared" si="18"/>
        <v>0.57491874999999992</v>
      </c>
    </row>
    <row r="541" spans="1:19">
      <c r="A541">
        <v>1</v>
      </c>
      <c r="B541" t="s">
        <v>75</v>
      </c>
      <c r="C541">
        <v>0.45500000000000002</v>
      </c>
      <c r="D541">
        <v>0.36499999999999999</v>
      </c>
      <c r="E541">
        <v>9.5000000000000001E-2</v>
      </c>
      <c r="F541">
        <v>0.51400000000000001</v>
      </c>
      <c r="G541">
        <v>0.22450000000000001</v>
      </c>
      <c r="H541">
        <v>0.10100000000000001</v>
      </c>
      <c r="I541">
        <v>0.15</v>
      </c>
      <c r="J541">
        <v>15</v>
      </c>
      <c r="K541">
        <v>5</v>
      </c>
      <c r="L541" t="s">
        <v>67</v>
      </c>
      <c r="M541" t="s">
        <v>68</v>
      </c>
      <c r="N541" t="s">
        <v>69</v>
      </c>
      <c r="O541">
        <v>2</v>
      </c>
      <c r="P541" t="s">
        <v>5</v>
      </c>
      <c r="Q541">
        <v>18</v>
      </c>
      <c r="R541" t="str">
        <f t="shared" si="17"/>
        <v>II</v>
      </c>
      <c r="S541">
        <f t="shared" si="18"/>
        <v>0.17921466666666666</v>
      </c>
    </row>
    <row r="542" spans="1:19">
      <c r="A542">
        <v>104</v>
      </c>
      <c r="B542" t="s">
        <v>75</v>
      </c>
      <c r="C542">
        <v>0.53</v>
      </c>
      <c r="D542">
        <v>0.41499999999999998</v>
      </c>
      <c r="E542">
        <v>0.14000000000000001</v>
      </c>
      <c r="F542">
        <v>0.72399999999999998</v>
      </c>
      <c r="G542">
        <v>0.3105</v>
      </c>
      <c r="H542">
        <v>0.16750000000000001</v>
      </c>
      <c r="I542">
        <v>0.20499999999999999</v>
      </c>
      <c r="J542">
        <v>10</v>
      </c>
      <c r="K542">
        <v>11</v>
      </c>
      <c r="L542" t="s">
        <v>65</v>
      </c>
      <c r="M542" t="s">
        <v>66</v>
      </c>
      <c r="N542" t="s">
        <v>45</v>
      </c>
      <c r="O542">
        <v>9</v>
      </c>
      <c r="P542" t="s">
        <v>9</v>
      </c>
      <c r="Q542">
        <v>1.9</v>
      </c>
      <c r="R542" t="str">
        <f t="shared" si="17"/>
        <v>II</v>
      </c>
      <c r="S542">
        <f t="shared" si="18"/>
        <v>0.26884533333333333</v>
      </c>
    </row>
    <row r="543" spans="1:19">
      <c r="A543">
        <v>783</v>
      </c>
      <c r="B543" t="s">
        <v>75</v>
      </c>
      <c r="C543">
        <v>0.51500000000000001</v>
      </c>
      <c r="D543">
        <v>0.435</v>
      </c>
      <c r="E543">
        <v>0.14499999999999999</v>
      </c>
      <c r="F543">
        <v>0.88149999999999995</v>
      </c>
      <c r="G543">
        <v>0.29199999999999998</v>
      </c>
      <c r="H543">
        <v>0.20599999999999999</v>
      </c>
      <c r="I543">
        <v>0.255</v>
      </c>
      <c r="J543">
        <v>10</v>
      </c>
      <c r="K543">
        <v>14</v>
      </c>
      <c r="L543" t="s">
        <v>72</v>
      </c>
      <c r="M543" t="s">
        <v>73</v>
      </c>
      <c r="N543" t="s">
        <v>74</v>
      </c>
      <c r="O543">
        <v>5</v>
      </c>
      <c r="P543" t="s">
        <v>12</v>
      </c>
      <c r="Q543">
        <v>12.8</v>
      </c>
      <c r="R543" t="str">
        <f t="shared" si="17"/>
        <v>II</v>
      </c>
      <c r="S543">
        <f t="shared" si="18"/>
        <v>0.32850566666666664</v>
      </c>
    </row>
    <row r="544" spans="1:19">
      <c r="A544">
        <v>235</v>
      </c>
      <c r="B544" t="s">
        <v>75</v>
      </c>
      <c r="C544">
        <v>0.44</v>
      </c>
      <c r="D544">
        <v>0.35</v>
      </c>
      <c r="E544">
        <v>0.13500000000000001</v>
      </c>
      <c r="F544">
        <v>0.435</v>
      </c>
      <c r="G544">
        <v>0.18149999999999999</v>
      </c>
      <c r="H544">
        <v>8.3000000000000004E-2</v>
      </c>
      <c r="I544">
        <v>0.125</v>
      </c>
      <c r="J544">
        <v>12</v>
      </c>
      <c r="K544">
        <v>5</v>
      </c>
      <c r="L544" t="s">
        <v>67</v>
      </c>
      <c r="M544" t="s">
        <v>68</v>
      </c>
      <c r="N544" t="s">
        <v>69</v>
      </c>
      <c r="O544">
        <v>5</v>
      </c>
      <c r="P544" t="s">
        <v>12</v>
      </c>
      <c r="Q544">
        <v>12.8</v>
      </c>
      <c r="R544" t="str">
        <f t="shared" si="17"/>
        <v>II</v>
      </c>
      <c r="S544">
        <f t="shared" si="18"/>
        <v>0.15225</v>
      </c>
    </row>
    <row r="545" spans="1:19">
      <c r="A545">
        <v>56</v>
      </c>
      <c r="B545" t="s">
        <v>75</v>
      </c>
      <c r="C545">
        <v>0.5</v>
      </c>
      <c r="D545">
        <v>0.4</v>
      </c>
      <c r="E545">
        <v>0.14000000000000001</v>
      </c>
      <c r="F545">
        <v>0.66149999999999998</v>
      </c>
      <c r="G545">
        <v>0.25650000000000001</v>
      </c>
      <c r="H545">
        <v>0.17549999999999999</v>
      </c>
      <c r="I545">
        <v>0.22</v>
      </c>
      <c r="J545">
        <v>8</v>
      </c>
      <c r="K545">
        <v>1</v>
      </c>
      <c r="L545" t="s">
        <v>70</v>
      </c>
      <c r="M545" t="s">
        <v>71</v>
      </c>
      <c r="N545" t="s">
        <v>45</v>
      </c>
      <c r="O545">
        <v>8</v>
      </c>
      <c r="P545" t="s">
        <v>13</v>
      </c>
      <c r="Q545">
        <v>12.3</v>
      </c>
      <c r="R545" t="str">
        <f t="shared" si="17"/>
        <v>II</v>
      </c>
      <c r="S545">
        <f t="shared" si="18"/>
        <v>0.24166799999999999</v>
      </c>
    </row>
    <row r="546" spans="1:19">
      <c r="A546">
        <v>846</v>
      </c>
      <c r="B546" t="s">
        <v>75</v>
      </c>
      <c r="C546">
        <v>0.54</v>
      </c>
      <c r="D546">
        <v>0.40500000000000003</v>
      </c>
      <c r="E546">
        <v>0.125</v>
      </c>
      <c r="F546">
        <v>0.89100000000000001</v>
      </c>
      <c r="G546">
        <v>0.48149999999999998</v>
      </c>
      <c r="H546">
        <v>0.1915</v>
      </c>
      <c r="I546">
        <v>0.20200000000000001</v>
      </c>
      <c r="J546">
        <v>9</v>
      </c>
      <c r="K546">
        <v>1</v>
      </c>
      <c r="L546" t="s">
        <v>70</v>
      </c>
      <c r="M546" t="s">
        <v>71</v>
      </c>
      <c r="N546" t="s">
        <v>45</v>
      </c>
      <c r="O546">
        <v>9</v>
      </c>
      <c r="P546" t="s">
        <v>9</v>
      </c>
      <c r="Q546">
        <v>1.9</v>
      </c>
      <c r="R546" t="str">
        <f t="shared" si="17"/>
        <v>III</v>
      </c>
      <c r="S546">
        <f t="shared" si="18"/>
        <v>0.41134500000000007</v>
      </c>
    </row>
    <row r="547" spans="1:19">
      <c r="A547">
        <v>1250</v>
      </c>
      <c r="B547" t="s">
        <v>75</v>
      </c>
      <c r="C547">
        <v>0.39500000000000002</v>
      </c>
      <c r="D547">
        <v>0.27</v>
      </c>
      <c r="E547">
        <v>0.1</v>
      </c>
      <c r="F547">
        <v>0.29849999999999999</v>
      </c>
      <c r="G547">
        <v>0.14449999999999999</v>
      </c>
      <c r="H547">
        <v>6.0999999999999999E-2</v>
      </c>
      <c r="I547">
        <v>8.2000000000000003E-2</v>
      </c>
      <c r="J547">
        <v>5</v>
      </c>
      <c r="K547">
        <v>1</v>
      </c>
      <c r="L547" t="s">
        <v>70</v>
      </c>
      <c r="M547" t="s">
        <v>71</v>
      </c>
      <c r="N547" t="s">
        <v>45</v>
      </c>
      <c r="O547">
        <v>6</v>
      </c>
      <c r="P547" t="s">
        <v>7</v>
      </c>
      <c r="Q547">
        <v>14.1</v>
      </c>
      <c r="R547" t="str">
        <f t="shared" si="17"/>
        <v>II</v>
      </c>
      <c r="S547">
        <f t="shared" si="18"/>
        <v>9.8107E-2</v>
      </c>
    </row>
    <row r="548" spans="1:19">
      <c r="A548">
        <v>349</v>
      </c>
      <c r="B548" t="s">
        <v>75</v>
      </c>
      <c r="C548">
        <v>0.375</v>
      </c>
      <c r="D548">
        <v>0.30499999999999999</v>
      </c>
      <c r="E548">
        <v>0.115</v>
      </c>
      <c r="F548">
        <v>0.27150000000000002</v>
      </c>
      <c r="G548">
        <v>9.1999999999999998E-2</v>
      </c>
      <c r="H548">
        <v>7.3999999999999996E-2</v>
      </c>
      <c r="I548">
        <v>0.09</v>
      </c>
      <c r="J548">
        <v>8</v>
      </c>
      <c r="K548">
        <v>8</v>
      </c>
      <c r="L548" t="s">
        <v>55</v>
      </c>
      <c r="M548" t="s">
        <v>56</v>
      </c>
      <c r="N548" t="s">
        <v>57</v>
      </c>
      <c r="O548">
        <v>5</v>
      </c>
      <c r="P548" t="s">
        <v>12</v>
      </c>
      <c r="Q548">
        <v>12.8</v>
      </c>
      <c r="R548" t="str">
        <f t="shared" si="17"/>
        <v>II</v>
      </c>
      <c r="S548">
        <f t="shared" si="18"/>
        <v>9.0319000000000024E-2</v>
      </c>
    </row>
    <row r="549" spans="1:19">
      <c r="A549">
        <v>2020</v>
      </c>
      <c r="B549" t="s">
        <v>75</v>
      </c>
      <c r="C549">
        <v>0.51</v>
      </c>
      <c r="D549">
        <v>0.45500000000000002</v>
      </c>
      <c r="E549">
        <v>0.13500000000000001</v>
      </c>
      <c r="F549">
        <v>0.6855</v>
      </c>
      <c r="G549">
        <v>0.28749999999999998</v>
      </c>
      <c r="H549">
        <v>0.154</v>
      </c>
      <c r="I549">
        <v>0.20349999999999999</v>
      </c>
      <c r="J549">
        <v>9</v>
      </c>
      <c r="K549">
        <v>2</v>
      </c>
      <c r="L549" t="s">
        <v>49</v>
      </c>
      <c r="M549" t="s">
        <v>50</v>
      </c>
      <c r="N549" t="s">
        <v>51</v>
      </c>
      <c r="O549">
        <v>7</v>
      </c>
      <c r="P549" t="s">
        <v>6</v>
      </c>
      <c r="Q549">
        <v>2.5</v>
      </c>
      <c r="R549" t="str">
        <f t="shared" si="17"/>
        <v>II</v>
      </c>
      <c r="S549">
        <f t="shared" si="18"/>
        <v>0.25592000000000004</v>
      </c>
    </row>
    <row r="550" spans="1:19">
      <c r="A550">
        <v>2665</v>
      </c>
      <c r="B550" t="s">
        <v>75</v>
      </c>
      <c r="C550">
        <v>0.56999999999999995</v>
      </c>
      <c r="D550">
        <v>0.43</v>
      </c>
      <c r="E550">
        <v>0.16</v>
      </c>
      <c r="F550">
        <v>0.81100000000000005</v>
      </c>
      <c r="G550">
        <v>0.38750000000000001</v>
      </c>
      <c r="H550">
        <v>0.159</v>
      </c>
      <c r="I550">
        <v>0.22850000000000001</v>
      </c>
      <c r="J550">
        <v>9</v>
      </c>
      <c r="K550">
        <v>7</v>
      </c>
      <c r="L550" t="s">
        <v>62</v>
      </c>
      <c r="M550" t="s">
        <v>63</v>
      </c>
      <c r="N550" t="s">
        <v>64</v>
      </c>
      <c r="O550">
        <v>2</v>
      </c>
      <c r="P550" t="s">
        <v>5</v>
      </c>
      <c r="Q550">
        <v>18</v>
      </c>
      <c r="R550" t="str">
        <f t="shared" si="17"/>
        <v>II</v>
      </c>
      <c r="S550">
        <f t="shared" si="18"/>
        <v>0.30926133333333339</v>
      </c>
    </row>
    <row r="551" spans="1:19">
      <c r="A551">
        <v>2425</v>
      </c>
      <c r="B551" t="s">
        <v>75</v>
      </c>
      <c r="C551">
        <v>0.26</v>
      </c>
      <c r="D551">
        <v>0.2</v>
      </c>
      <c r="E551">
        <v>6.5000000000000002E-2</v>
      </c>
      <c r="F551">
        <v>9.6000000000000002E-2</v>
      </c>
      <c r="G551">
        <v>4.3999999999999997E-2</v>
      </c>
      <c r="H551">
        <v>2.7E-2</v>
      </c>
      <c r="I551">
        <v>0.03</v>
      </c>
      <c r="J551">
        <v>6</v>
      </c>
      <c r="K551">
        <v>11</v>
      </c>
      <c r="L551" t="s">
        <v>65</v>
      </c>
      <c r="M551" t="s">
        <v>66</v>
      </c>
      <c r="N551" t="s">
        <v>45</v>
      </c>
      <c r="O551">
        <v>1</v>
      </c>
      <c r="P551" t="s">
        <v>4</v>
      </c>
      <c r="Q551">
        <v>22.1</v>
      </c>
      <c r="R551" t="str">
        <f t="shared" si="17"/>
        <v>II</v>
      </c>
      <c r="S551">
        <f t="shared" si="18"/>
        <v>2.8480000000000002E-2</v>
      </c>
    </row>
    <row r="552" spans="1:19">
      <c r="A552">
        <v>2270</v>
      </c>
      <c r="B552" t="s">
        <v>75</v>
      </c>
      <c r="C552">
        <v>0.56999999999999995</v>
      </c>
      <c r="D552">
        <v>0.45</v>
      </c>
      <c r="E552">
        <v>0.16</v>
      </c>
      <c r="F552">
        <v>0.86150000000000004</v>
      </c>
      <c r="G552">
        <v>0.3725</v>
      </c>
      <c r="H552">
        <v>0.2175</v>
      </c>
      <c r="I552">
        <v>0.255</v>
      </c>
      <c r="J552">
        <v>12</v>
      </c>
      <c r="K552">
        <v>4</v>
      </c>
      <c r="L552" t="s">
        <v>40</v>
      </c>
      <c r="M552" t="s">
        <v>41</v>
      </c>
      <c r="N552" t="s">
        <v>42</v>
      </c>
      <c r="O552">
        <v>10</v>
      </c>
      <c r="P552" t="s">
        <v>11</v>
      </c>
      <c r="Q552">
        <v>24.1</v>
      </c>
      <c r="R552" t="str">
        <f t="shared" si="17"/>
        <v>II</v>
      </c>
      <c r="S552">
        <f t="shared" si="18"/>
        <v>0.33081600000000005</v>
      </c>
    </row>
    <row r="553" spans="1:19">
      <c r="A553">
        <v>2800</v>
      </c>
      <c r="B553" t="s">
        <v>75</v>
      </c>
      <c r="C553">
        <v>0.64</v>
      </c>
      <c r="D553">
        <v>0.495</v>
      </c>
      <c r="E553">
        <v>0.17</v>
      </c>
      <c r="F553">
        <v>1.139</v>
      </c>
      <c r="G553">
        <v>0.53949999999999998</v>
      </c>
      <c r="H553">
        <v>0.28199999999999997</v>
      </c>
      <c r="I553">
        <v>0.28499999999999998</v>
      </c>
      <c r="J553">
        <v>10</v>
      </c>
      <c r="K553">
        <v>5</v>
      </c>
      <c r="L553" t="s">
        <v>67</v>
      </c>
      <c r="M553" t="s">
        <v>68</v>
      </c>
      <c r="N553" t="s">
        <v>69</v>
      </c>
      <c r="O553">
        <v>8</v>
      </c>
      <c r="P553" t="s">
        <v>13</v>
      </c>
      <c r="Q553">
        <v>12.3</v>
      </c>
      <c r="R553" t="str">
        <f t="shared" si="17"/>
        <v>I</v>
      </c>
      <c r="S553">
        <f t="shared" si="18"/>
        <v>0.85567375000000001</v>
      </c>
    </row>
    <row r="554" spans="1:19">
      <c r="A554">
        <v>2232</v>
      </c>
      <c r="B554" t="s">
        <v>75</v>
      </c>
      <c r="C554">
        <v>0.505</v>
      </c>
      <c r="D554">
        <v>0.4</v>
      </c>
      <c r="E554">
        <v>0.16500000000000001</v>
      </c>
      <c r="F554">
        <v>0.72899999999999998</v>
      </c>
      <c r="G554">
        <v>0.26750000000000002</v>
      </c>
      <c r="H554">
        <v>0.155</v>
      </c>
      <c r="I554">
        <v>0.25</v>
      </c>
      <c r="J554">
        <v>9</v>
      </c>
      <c r="K554">
        <v>11</v>
      </c>
      <c r="L554" t="s">
        <v>65</v>
      </c>
      <c r="M554" t="s">
        <v>66</v>
      </c>
      <c r="N554" t="s">
        <v>45</v>
      </c>
      <c r="O554">
        <v>9</v>
      </c>
      <c r="P554" t="s">
        <v>9</v>
      </c>
      <c r="Q554">
        <v>1.9</v>
      </c>
      <c r="R554" t="str">
        <f t="shared" si="17"/>
        <v>II</v>
      </c>
      <c r="S554">
        <f t="shared" si="18"/>
        <v>0.26924399999999998</v>
      </c>
    </row>
    <row r="555" spans="1:19">
      <c r="A555">
        <v>2609</v>
      </c>
      <c r="B555" t="s">
        <v>75</v>
      </c>
      <c r="C555">
        <v>0.625</v>
      </c>
      <c r="D555">
        <v>0.49</v>
      </c>
      <c r="E555">
        <v>0.17499999999999999</v>
      </c>
      <c r="F555">
        <v>1.1074999999999999</v>
      </c>
      <c r="G555">
        <v>0.44850000000000001</v>
      </c>
      <c r="H555">
        <v>0.2165</v>
      </c>
      <c r="I555">
        <v>0.35949999999999999</v>
      </c>
      <c r="J555">
        <v>8</v>
      </c>
      <c r="K555">
        <v>11</v>
      </c>
      <c r="L555" t="s">
        <v>65</v>
      </c>
      <c r="M555" t="s">
        <v>66</v>
      </c>
      <c r="N555" t="s">
        <v>45</v>
      </c>
      <c r="O555">
        <v>9</v>
      </c>
      <c r="P555" t="s">
        <v>9</v>
      </c>
      <c r="Q555">
        <v>1.9</v>
      </c>
      <c r="R555" t="str">
        <f t="shared" si="17"/>
        <v>III</v>
      </c>
      <c r="S555">
        <f t="shared" si="18"/>
        <v>0.55190416666666675</v>
      </c>
    </row>
    <row r="556" spans="1:19">
      <c r="A556">
        <v>1117</v>
      </c>
      <c r="B556" t="s">
        <v>75</v>
      </c>
      <c r="C556">
        <v>0.52500000000000002</v>
      </c>
      <c r="D556">
        <v>0.39500000000000002</v>
      </c>
      <c r="E556">
        <v>0.12</v>
      </c>
      <c r="F556">
        <v>0.60799999999999998</v>
      </c>
      <c r="G556">
        <v>0.29699999999999999</v>
      </c>
      <c r="H556">
        <v>0.13950000000000001</v>
      </c>
      <c r="I556">
        <v>0.14050000000000001</v>
      </c>
      <c r="J556">
        <v>8</v>
      </c>
      <c r="K556">
        <v>4</v>
      </c>
      <c r="L556" t="s">
        <v>40</v>
      </c>
      <c r="M556" t="s">
        <v>41</v>
      </c>
      <c r="N556" t="s">
        <v>42</v>
      </c>
      <c r="O556">
        <v>1</v>
      </c>
      <c r="P556" t="s">
        <v>4</v>
      </c>
      <c r="Q556">
        <v>22.1</v>
      </c>
      <c r="R556" t="str">
        <f t="shared" si="17"/>
        <v>II</v>
      </c>
      <c r="S556">
        <f t="shared" si="18"/>
        <v>0.22212266666666666</v>
      </c>
    </row>
    <row r="557" spans="1:19">
      <c r="A557">
        <v>1779</v>
      </c>
      <c r="B557" t="s">
        <v>75</v>
      </c>
      <c r="C557">
        <v>0.49</v>
      </c>
      <c r="D557">
        <v>0.35499999999999998</v>
      </c>
      <c r="E557">
        <v>0.16</v>
      </c>
      <c r="F557">
        <v>0.87949999999999995</v>
      </c>
      <c r="G557">
        <v>0.34849999999999998</v>
      </c>
      <c r="H557">
        <v>0.215</v>
      </c>
      <c r="I557">
        <v>0.28249999999999997</v>
      </c>
      <c r="J557">
        <v>8</v>
      </c>
      <c r="K557">
        <v>3</v>
      </c>
      <c r="L557" t="s">
        <v>52</v>
      </c>
      <c r="M557" t="s">
        <v>53</v>
      </c>
      <c r="N557" t="s">
        <v>54</v>
      </c>
      <c r="O557">
        <v>10</v>
      </c>
      <c r="P557" t="s">
        <v>11</v>
      </c>
      <c r="Q557">
        <v>24.1</v>
      </c>
      <c r="R557" t="str">
        <f t="shared" si="17"/>
        <v>II</v>
      </c>
      <c r="S557">
        <f t="shared" si="18"/>
        <v>0.31720633333333337</v>
      </c>
    </row>
    <row r="558" spans="1:19">
      <c r="A558">
        <v>3191</v>
      </c>
      <c r="B558" t="s">
        <v>75</v>
      </c>
      <c r="C558">
        <v>0.2</v>
      </c>
      <c r="D558">
        <v>0.14499999999999999</v>
      </c>
      <c r="E558">
        <v>2.5000000000000001E-2</v>
      </c>
      <c r="F558">
        <v>3.4500000000000003E-2</v>
      </c>
      <c r="G558">
        <v>1.0999999999999999E-2</v>
      </c>
      <c r="H558">
        <v>7.4999999999999997E-3</v>
      </c>
      <c r="I558">
        <v>0.01</v>
      </c>
      <c r="J558">
        <v>5</v>
      </c>
      <c r="K558">
        <v>3</v>
      </c>
      <c r="L558" t="s">
        <v>52</v>
      </c>
      <c r="M558" t="s">
        <v>53</v>
      </c>
      <c r="N558" t="s">
        <v>54</v>
      </c>
      <c r="O558">
        <v>5</v>
      </c>
      <c r="P558" t="s">
        <v>12</v>
      </c>
      <c r="Q558">
        <v>12.8</v>
      </c>
      <c r="R558" t="str">
        <f t="shared" si="17"/>
        <v>II</v>
      </c>
      <c r="S558">
        <f t="shared" si="18"/>
        <v>9.5220000000000027E-3</v>
      </c>
    </row>
    <row r="559" spans="1:19">
      <c r="A559">
        <v>793</v>
      </c>
      <c r="B559" t="s">
        <v>75</v>
      </c>
      <c r="C559">
        <v>0.47</v>
      </c>
      <c r="D559">
        <v>0.37</v>
      </c>
      <c r="E559">
        <v>0.18</v>
      </c>
      <c r="F559">
        <v>0.51</v>
      </c>
      <c r="G559">
        <v>0.1915</v>
      </c>
      <c r="H559">
        <v>0.1285</v>
      </c>
      <c r="I559">
        <v>0.16250000000000001</v>
      </c>
      <c r="J559">
        <v>9</v>
      </c>
      <c r="K559">
        <v>15</v>
      </c>
      <c r="L559" t="s">
        <v>60</v>
      </c>
      <c r="M559" t="s">
        <v>61</v>
      </c>
      <c r="N559" t="s">
        <v>45</v>
      </c>
      <c r="O559">
        <v>6</v>
      </c>
      <c r="P559" t="s">
        <v>7</v>
      </c>
      <c r="Q559">
        <v>14.1</v>
      </c>
      <c r="R559" t="str">
        <f t="shared" si="17"/>
        <v>II</v>
      </c>
      <c r="S559">
        <f t="shared" si="18"/>
        <v>0.18496000000000001</v>
      </c>
    </row>
    <row r="560" spans="1:19">
      <c r="A560">
        <v>1553</v>
      </c>
      <c r="B560" t="s">
        <v>75</v>
      </c>
      <c r="C560">
        <v>0.39</v>
      </c>
      <c r="D560">
        <v>0.28499999999999998</v>
      </c>
      <c r="E560">
        <v>0.1</v>
      </c>
      <c r="F560">
        <v>0.28100000000000003</v>
      </c>
      <c r="G560">
        <v>0.1275</v>
      </c>
      <c r="H560">
        <v>6.2E-2</v>
      </c>
      <c r="I560">
        <v>7.6999999999999999E-2</v>
      </c>
      <c r="J560">
        <v>7</v>
      </c>
      <c r="K560">
        <v>14</v>
      </c>
      <c r="L560" t="s">
        <v>72</v>
      </c>
      <c r="M560" t="s">
        <v>73</v>
      </c>
      <c r="N560" t="s">
        <v>74</v>
      </c>
      <c r="O560">
        <v>3</v>
      </c>
      <c r="P560" t="s">
        <v>10</v>
      </c>
      <c r="Q560">
        <v>3.6</v>
      </c>
      <c r="R560" t="str">
        <f t="shared" si="17"/>
        <v>II</v>
      </c>
      <c r="S560">
        <f t="shared" si="18"/>
        <v>9.2730000000000021E-2</v>
      </c>
    </row>
    <row r="561" spans="1:19">
      <c r="A561">
        <v>85</v>
      </c>
      <c r="B561" t="s">
        <v>75</v>
      </c>
      <c r="C561">
        <v>0.57999999999999996</v>
      </c>
      <c r="D561">
        <v>0.45</v>
      </c>
      <c r="E561">
        <v>0.14000000000000001</v>
      </c>
      <c r="F561">
        <v>1.0129999999999999</v>
      </c>
      <c r="G561">
        <v>0.38</v>
      </c>
      <c r="H561">
        <v>0.216</v>
      </c>
      <c r="I561">
        <v>0.36</v>
      </c>
      <c r="J561">
        <v>14</v>
      </c>
      <c r="K561">
        <v>14</v>
      </c>
      <c r="L561" t="s">
        <v>72</v>
      </c>
      <c r="M561" t="s">
        <v>73</v>
      </c>
      <c r="N561" t="s">
        <v>74</v>
      </c>
      <c r="O561">
        <v>4</v>
      </c>
      <c r="P561" t="s">
        <v>8</v>
      </c>
      <c r="Q561">
        <v>6.1</v>
      </c>
      <c r="R561" t="str">
        <f t="shared" si="17"/>
        <v>II</v>
      </c>
      <c r="S561">
        <f t="shared" si="18"/>
        <v>0.38764133333333328</v>
      </c>
    </row>
    <row r="562" spans="1:19">
      <c r="A562">
        <v>743</v>
      </c>
      <c r="B562" t="s">
        <v>75</v>
      </c>
      <c r="C562">
        <v>0.53500000000000003</v>
      </c>
      <c r="D562">
        <v>0.42</v>
      </c>
      <c r="E562">
        <v>0.15</v>
      </c>
      <c r="F562">
        <v>0.73650000000000004</v>
      </c>
      <c r="G562">
        <v>0.27850000000000003</v>
      </c>
      <c r="H562">
        <v>0.186</v>
      </c>
      <c r="I562">
        <v>0.215</v>
      </c>
      <c r="J562">
        <v>14</v>
      </c>
      <c r="K562">
        <v>13</v>
      </c>
      <c r="L562" t="s">
        <v>43</v>
      </c>
      <c r="M562" t="s">
        <v>44</v>
      </c>
      <c r="N562" t="s">
        <v>45</v>
      </c>
      <c r="O562">
        <v>1</v>
      </c>
      <c r="P562" t="s">
        <v>4</v>
      </c>
      <c r="Q562">
        <v>22.1</v>
      </c>
      <c r="R562" t="str">
        <f t="shared" si="17"/>
        <v>II</v>
      </c>
      <c r="S562">
        <f t="shared" si="18"/>
        <v>0.275451</v>
      </c>
    </row>
    <row r="563" spans="1:19">
      <c r="A563">
        <v>3466</v>
      </c>
      <c r="B563" t="s">
        <v>75</v>
      </c>
      <c r="C563">
        <v>0.64</v>
      </c>
      <c r="D563">
        <v>0.48</v>
      </c>
      <c r="E563">
        <v>0.19500000000000001</v>
      </c>
      <c r="F563">
        <v>1.1435</v>
      </c>
      <c r="G563">
        <v>0.49149999999999999</v>
      </c>
      <c r="H563">
        <v>0.23449999999999999</v>
      </c>
      <c r="I563">
        <v>0.35299999999999998</v>
      </c>
      <c r="J563">
        <v>9</v>
      </c>
      <c r="K563">
        <v>2</v>
      </c>
      <c r="L563" t="s">
        <v>49</v>
      </c>
      <c r="M563" t="s">
        <v>50</v>
      </c>
      <c r="N563" t="s">
        <v>51</v>
      </c>
      <c r="O563">
        <v>10</v>
      </c>
      <c r="P563" t="s">
        <v>11</v>
      </c>
      <c r="Q563">
        <v>24.1</v>
      </c>
      <c r="R563" t="str">
        <f t="shared" si="17"/>
        <v>III</v>
      </c>
      <c r="S563">
        <f t="shared" si="18"/>
        <v>0.57460874999999989</v>
      </c>
    </row>
    <row r="564" spans="1:19">
      <c r="A564">
        <v>2415</v>
      </c>
      <c r="B564" t="s">
        <v>75</v>
      </c>
      <c r="C564">
        <v>0.42</v>
      </c>
      <c r="D564">
        <v>0.30499999999999999</v>
      </c>
      <c r="E564">
        <v>0.11</v>
      </c>
      <c r="F564">
        <v>0.28000000000000003</v>
      </c>
      <c r="G564">
        <v>9.4E-2</v>
      </c>
      <c r="H564">
        <v>7.85E-2</v>
      </c>
      <c r="I564">
        <v>9.5500000000000002E-2</v>
      </c>
      <c r="J564">
        <v>9</v>
      </c>
      <c r="K564">
        <v>12</v>
      </c>
      <c r="L564" t="s">
        <v>58</v>
      </c>
      <c r="M564" t="s">
        <v>59</v>
      </c>
      <c r="N564" t="s">
        <v>45</v>
      </c>
      <c r="O564">
        <v>9</v>
      </c>
      <c r="P564" t="s">
        <v>9</v>
      </c>
      <c r="Q564">
        <v>1.9</v>
      </c>
      <c r="R564" t="str">
        <f t="shared" si="17"/>
        <v>II</v>
      </c>
      <c r="S564">
        <f t="shared" si="18"/>
        <v>9.4640000000000002E-2</v>
      </c>
    </row>
    <row r="565" spans="1:19">
      <c r="A565">
        <v>2779</v>
      </c>
      <c r="B565" t="s">
        <v>75</v>
      </c>
      <c r="C565">
        <v>0.58499999999999996</v>
      </c>
      <c r="D565">
        <v>0.45500000000000002</v>
      </c>
      <c r="E565">
        <v>0.13</v>
      </c>
      <c r="F565">
        <v>0.87549999999999994</v>
      </c>
      <c r="G565">
        <v>0.41099999999999998</v>
      </c>
      <c r="H565">
        <v>0.20649999999999999</v>
      </c>
      <c r="I565">
        <v>0.22500000000000001</v>
      </c>
      <c r="J565">
        <v>8</v>
      </c>
      <c r="K565">
        <v>3</v>
      </c>
      <c r="L565" t="s">
        <v>52</v>
      </c>
      <c r="M565" t="s">
        <v>53</v>
      </c>
      <c r="N565" t="s">
        <v>54</v>
      </c>
      <c r="O565">
        <v>6</v>
      </c>
      <c r="P565" t="s">
        <v>7</v>
      </c>
      <c r="Q565">
        <v>14.1</v>
      </c>
      <c r="R565" t="str">
        <f t="shared" si="17"/>
        <v>III</v>
      </c>
      <c r="S565">
        <f t="shared" si="18"/>
        <v>0.41878083333333332</v>
      </c>
    </row>
    <row r="566" spans="1:19">
      <c r="A566">
        <v>4151</v>
      </c>
      <c r="B566" t="s">
        <v>75</v>
      </c>
      <c r="C566">
        <v>0.33</v>
      </c>
      <c r="D566">
        <v>0.23</v>
      </c>
      <c r="E566">
        <v>0.08</v>
      </c>
      <c r="F566">
        <v>0.14000000000000001</v>
      </c>
      <c r="G566">
        <v>5.6500000000000002E-2</v>
      </c>
      <c r="H566">
        <v>3.6499999999999998E-2</v>
      </c>
      <c r="I566">
        <v>4.5999999999999999E-2</v>
      </c>
      <c r="J566">
        <v>7</v>
      </c>
      <c r="K566">
        <v>1</v>
      </c>
      <c r="L566" t="s">
        <v>70</v>
      </c>
      <c r="M566" t="s">
        <v>71</v>
      </c>
      <c r="N566" t="s">
        <v>45</v>
      </c>
      <c r="O566">
        <v>2</v>
      </c>
      <c r="P566" t="s">
        <v>5</v>
      </c>
      <c r="Q566">
        <v>18</v>
      </c>
      <c r="R566" t="str">
        <f t="shared" si="17"/>
        <v>II</v>
      </c>
      <c r="S566">
        <f t="shared" si="18"/>
        <v>4.368000000000001E-2</v>
      </c>
    </row>
    <row r="567" spans="1:19">
      <c r="A567">
        <v>2293</v>
      </c>
      <c r="B567" t="s">
        <v>75</v>
      </c>
      <c r="C567">
        <v>0.38</v>
      </c>
      <c r="D567">
        <v>0.3</v>
      </c>
      <c r="E567">
        <v>0.09</v>
      </c>
      <c r="F567">
        <v>0.32150000000000001</v>
      </c>
      <c r="G567">
        <v>0.1545</v>
      </c>
      <c r="H567">
        <v>7.4999999999999997E-2</v>
      </c>
      <c r="I567">
        <v>9.5000000000000001E-2</v>
      </c>
      <c r="J567">
        <v>9</v>
      </c>
      <c r="K567">
        <v>8</v>
      </c>
      <c r="L567" t="s">
        <v>55</v>
      </c>
      <c r="M567" t="s">
        <v>56</v>
      </c>
      <c r="N567" t="s">
        <v>57</v>
      </c>
      <c r="O567">
        <v>2</v>
      </c>
      <c r="P567" t="s">
        <v>5</v>
      </c>
      <c r="Q567">
        <v>18</v>
      </c>
      <c r="R567" t="str">
        <f t="shared" si="17"/>
        <v>II</v>
      </c>
      <c r="S567">
        <f t="shared" si="18"/>
        <v>0.10588066666666668</v>
      </c>
    </row>
    <row r="568" spans="1:19">
      <c r="A568">
        <v>2443</v>
      </c>
      <c r="B568" t="s">
        <v>75</v>
      </c>
      <c r="C568">
        <v>0.47499999999999998</v>
      </c>
      <c r="D568">
        <v>0.35499999999999998</v>
      </c>
      <c r="E568">
        <v>0.125</v>
      </c>
      <c r="F568">
        <v>0.46250000000000002</v>
      </c>
      <c r="G568">
        <v>0.186</v>
      </c>
      <c r="H568">
        <v>0.107</v>
      </c>
      <c r="I568">
        <v>0.14499999999999999</v>
      </c>
      <c r="J568">
        <v>9</v>
      </c>
      <c r="K568">
        <v>1</v>
      </c>
      <c r="L568" t="s">
        <v>70</v>
      </c>
      <c r="M568" t="s">
        <v>71</v>
      </c>
      <c r="N568" t="s">
        <v>45</v>
      </c>
      <c r="O568">
        <v>4</v>
      </c>
      <c r="P568" t="s">
        <v>8</v>
      </c>
      <c r="Q568">
        <v>6.1</v>
      </c>
      <c r="R568" t="str">
        <f t="shared" si="17"/>
        <v>II</v>
      </c>
      <c r="S568">
        <f t="shared" si="18"/>
        <v>0.16372500000000001</v>
      </c>
    </row>
    <row r="569" spans="1:19">
      <c r="A569">
        <v>3538</v>
      </c>
      <c r="B569" t="s">
        <v>75</v>
      </c>
      <c r="C569">
        <v>0.43</v>
      </c>
      <c r="D569">
        <v>0.32500000000000001</v>
      </c>
      <c r="E569">
        <v>0.105</v>
      </c>
      <c r="F569">
        <v>0.309</v>
      </c>
      <c r="G569">
        <v>0.11899999999999999</v>
      </c>
      <c r="H569">
        <v>0.08</v>
      </c>
      <c r="I569">
        <v>9.8000000000000004E-2</v>
      </c>
      <c r="J569">
        <v>6</v>
      </c>
      <c r="K569">
        <v>9</v>
      </c>
      <c r="L569" t="s">
        <v>34</v>
      </c>
      <c r="M569" t="s">
        <v>35</v>
      </c>
      <c r="N569" t="s">
        <v>36</v>
      </c>
      <c r="O569">
        <v>4</v>
      </c>
      <c r="P569" t="s">
        <v>8</v>
      </c>
      <c r="Q569">
        <v>6.1</v>
      </c>
      <c r="R569" t="str">
        <f t="shared" si="17"/>
        <v>II</v>
      </c>
      <c r="S569">
        <f t="shared" si="18"/>
        <v>0.105472</v>
      </c>
    </row>
    <row r="570" spans="1:19">
      <c r="A570">
        <v>3365</v>
      </c>
      <c r="B570" t="s">
        <v>75</v>
      </c>
      <c r="C570">
        <v>0.33</v>
      </c>
      <c r="D570">
        <v>0.245</v>
      </c>
      <c r="E570">
        <v>8.5000000000000006E-2</v>
      </c>
      <c r="F570">
        <v>0.17100000000000001</v>
      </c>
      <c r="G570">
        <v>6.5500000000000003E-2</v>
      </c>
      <c r="H570">
        <v>3.6499999999999998E-2</v>
      </c>
      <c r="I570">
        <v>5.5E-2</v>
      </c>
      <c r="J570">
        <v>11</v>
      </c>
      <c r="K570">
        <v>8</v>
      </c>
      <c r="L570" t="s">
        <v>55</v>
      </c>
      <c r="M570" t="s">
        <v>56</v>
      </c>
      <c r="N570" t="s">
        <v>57</v>
      </c>
      <c r="O570">
        <v>4</v>
      </c>
      <c r="P570" t="s">
        <v>8</v>
      </c>
      <c r="Q570">
        <v>6.1</v>
      </c>
      <c r="R570" t="str">
        <f t="shared" si="17"/>
        <v>II</v>
      </c>
      <c r="S570">
        <f t="shared" si="18"/>
        <v>5.3808000000000016E-2</v>
      </c>
    </row>
    <row r="571" spans="1:19">
      <c r="A571">
        <v>3115</v>
      </c>
      <c r="B571" t="s">
        <v>75</v>
      </c>
      <c r="C571">
        <v>0.44</v>
      </c>
      <c r="D571">
        <v>0.34</v>
      </c>
      <c r="E571">
        <v>0.1</v>
      </c>
      <c r="F571">
        <v>0.379</v>
      </c>
      <c r="G571">
        <v>0.17249999999999999</v>
      </c>
      <c r="H571">
        <v>8.1500000000000003E-2</v>
      </c>
      <c r="I571">
        <v>0.10100000000000001</v>
      </c>
      <c r="J571">
        <v>7</v>
      </c>
      <c r="K571">
        <v>3</v>
      </c>
      <c r="L571" t="s">
        <v>52</v>
      </c>
      <c r="M571" t="s">
        <v>53</v>
      </c>
      <c r="N571" t="s">
        <v>54</v>
      </c>
      <c r="O571">
        <v>4</v>
      </c>
      <c r="P571" t="s">
        <v>8</v>
      </c>
      <c r="Q571">
        <v>6.1</v>
      </c>
      <c r="R571" t="str">
        <f t="shared" si="17"/>
        <v>II</v>
      </c>
      <c r="S571">
        <f t="shared" si="18"/>
        <v>0.13037600000000002</v>
      </c>
    </row>
    <row r="572" spans="1:19">
      <c r="A572">
        <v>3615</v>
      </c>
      <c r="B572" t="s">
        <v>75</v>
      </c>
      <c r="C572">
        <v>0.61499999999999999</v>
      </c>
      <c r="D572">
        <v>0.47499999999999998</v>
      </c>
      <c r="E572">
        <v>0.155</v>
      </c>
      <c r="F572">
        <v>1.0734999999999999</v>
      </c>
      <c r="G572">
        <v>0.4375</v>
      </c>
      <c r="H572">
        <v>0.25850000000000001</v>
      </c>
      <c r="I572">
        <v>0.31</v>
      </c>
      <c r="J572">
        <v>11</v>
      </c>
      <c r="K572">
        <v>5</v>
      </c>
      <c r="L572" t="s">
        <v>67</v>
      </c>
      <c r="M572" t="s">
        <v>68</v>
      </c>
      <c r="N572" t="s">
        <v>69</v>
      </c>
      <c r="O572">
        <v>6</v>
      </c>
      <c r="P572" t="s">
        <v>7</v>
      </c>
      <c r="Q572">
        <v>14.1</v>
      </c>
      <c r="R572" t="str">
        <f t="shared" si="17"/>
        <v>III</v>
      </c>
      <c r="S572">
        <f t="shared" si="18"/>
        <v>0.52690958333333326</v>
      </c>
    </row>
    <row r="573" spans="1:19">
      <c r="A573">
        <v>2650</v>
      </c>
      <c r="B573" t="s">
        <v>75</v>
      </c>
      <c r="C573">
        <v>0.505</v>
      </c>
      <c r="D573">
        <v>0.4</v>
      </c>
      <c r="E573">
        <v>0.13500000000000001</v>
      </c>
      <c r="F573">
        <v>0.72299999999999998</v>
      </c>
      <c r="G573">
        <v>0.377</v>
      </c>
      <c r="H573">
        <v>0.14899999999999999</v>
      </c>
      <c r="I573">
        <v>0.17799999999999999</v>
      </c>
      <c r="J573">
        <v>7</v>
      </c>
      <c r="K573">
        <v>12</v>
      </c>
      <c r="L573" t="s">
        <v>58</v>
      </c>
      <c r="M573" t="s">
        <v>59</v>
      </c>
      <c r="N573" t="s">
        <v>45</v>
      </c>
      <c r="O573">
        <v>2</v>
      </c>
      <c r="P573" t="s">
        <v>5</v>
      </c>
      <c r="Q573">
        <v>18</v>
      </c>
      <c r="R573" t="str">
        <f t="shared" si="17"/>
        <v>II</v>
      </c>
      <c r="S573">
        <f t="shared" si="18"/>
        <v>0.26413599999999998</v>
      </c>
    </row>
    <row r="574" spans="1:19">
      <c r="A574">
        <v>2838</v>
      </c>
      <c r="B574" t="s">
        <v>75</v>
      </c>
      <c r="C574">
        <v>0.57999999999999996</v>
      </c>
      <c r="D574">
        <v>0.44500000000000001</v>
      </c>
      <c r="E574">
        <v>0.13500000000000001</v>
      </c>
      <c r="F574">
        <v>0.95</v>
      </c>
      <c r="G574">
        <v>0.48399999999999999</v>
      </c>
      <c r="H574">
        <v>0.182</v>
      </c>
      <c r="I574">
        <v>0.23250000000000001</v>
      </c>
      <c r="J574">
        <v>8</v>
      </c>
      <c r="K574">
        <v>10</v>
      </c>
      <c r="L574" t="s">
        <v>37</v>
      </c>
      <c r="M574" t="s">
        <v>38</v>
      </c>
      <c r="N574" t="s">
        <v>39</v>
      </c>
      <c r="O574">
        <v>6</v>
      </c>
      <c r="P574" t="s">
        <v>7</v>
      </c>
      <c r="Q574">
        <v>14.1</v>
      </c>
      <c r="R574" t="str">
        <f t="shared" si="17"/>
        <v>III</v>
      </c>
      <c r="S574">
        <f t="shared" si="18"/>
        <v>0.4528333333333332</v>
      </c>
    </row>
    <row r="575" spans="1:19">
      <c r="A575">
        <v>2309</v>
      </c>
      <c r="B575" t="s">
        <v>75</v>
      </c>
      <c r="C575">
        <v>0.45500000000000002</v>
      </c>
      <c r="D575">
        <v>0.35499999999999998</v>
      </c>
      <c r="E575">
        <v>0.13</v>
      </c>
      <c r="F575">
        <v>0.51500000000000001</v>
      </c>
      <c r="G575">
        <v>0.2</v>
      </c>
      <c r="H575">
        <v>0.1275</v>
      </c>
      <c r="I575">
        <v>0.17499999999999999</v>
      </c>
      <c r="J575">
        <v>11</v>
      </c>
      <c r="K575">
        <v>4</v>
      </c>
      <c r="L575" t="s">
        <v>40</v>
      </c>
      <c r="M575" t="s">
        <v>41</v>
      </c>
      <c r="N575" t="s">
        <v>42</v>
      </c>
      <c r="O575">
        <v>8</v>
      </c>
      <c r="P575" t="s">
        <v>13</v>
      </c>
      <c r="Q575">
        <v>12.3</v>
      </c>
      <c r="R575" t="str">
        <f t="shared" si="17"/>
        <v>II</v>
      </c>
      <c r="S575">
        <f t="shared" si="18"/>
        <v>0.18128</v>
      </c>
    </row>
    <row r="576" spans="1:19">
      <c r="A576">
        <v>2658</v>
      </c>
      <c r="B576" t="s">
        <v>75</v>
      </c>
      <c r="C576">
        <v>0.54500000000000004</v>
      </c>
      <c r="D576">
        <v>0.4</v>
      </c>
      <c r="E576">
        <v>0.14000000000000001</v>
      </c>
      <c r="F576">
        <v>0.77800000000000002</v>
      </c>
      <c r="G576">
        <v>0.36799999999999999</v>
      </c>
      <c r="H576">
        <v>0.215</v>
      </c>
      <c r="I576">
        <v>0.18</v>
      </c>
      <c r="J576">
        <v>9</v>
      </c>
      <c r="K576">
        <v>1</v>
      </c>
      <c r="L576" t="s">
        <v>70</v>
      </c>
      <c r="M576" t="s">
        <v>71</v>
      </c>
      <c r="N576" t="s">
        <v>45</v>
      </c>
      <c r="O576">
        <v>5</v>
      </c>
      <c r="P576" t="s">
        <v>12</v>
      </c>
      <c r="Q576">
        <v>12.8</v>
      </c>
      <c r="R576" t="str">
        <f t="shared" si="17"/>
        <v>II</v>
      </c>
      <c r="S576">
        <f t="shared" si="18"/>
        <v>0.28889733333333339</v>
      </c>
    </row>
    <row r="577" spans="1:19">
      <c r="A577">
        <v>1014</v>
      </c>
      <c r="B577" t="s">
        <v>75</v>
      </c>
      <c r="C577">
        <v>0.625</v>
      </c>
      <c r="D577">
        <v>0.47499999999999998</v>
      </c>
      <c r="E577">
        <v>0.17499999999999999</v>
      </c>
      <c r="F577">
        <v>1.1435</v>
      </c>
      <c r="G577">
        <v>0.47549999999999998</v>
      </c>
      <c r="H577">
        <v>0.2475</v>
      </c>
      <c r="I577">
        <v>0.34899999999999998</v>
      </c>
      <c r="J577">
        <v>10</v>
      </c>
      <c r="K577">
        <v>13</v>
      </c>
      <c r="L577" t="s">
        <v>43</v>
      </c>
      <c r="M577" t="s">
        <v>44</v>
      </c>
      <c r="N577" t="s">
        <v>45</v>
      </c>
      <c r="O577">
        <v>3</v>
      </c>
      <c r="P577" t="s">
        <v>10</v>
      </c>
      <c r="Q577">
        <v>3.6</v>
      </c>
      <c r="R577" t="str">
        <f t="shared" si="17"/>
        <v>III</v>
      </c>
      <c r="S577">
        <f t="shared" si="18"/>
        <v>0.56698541666666669</v>
      </c>
    </row>
    <row r="578" spans="1:19">
      <c r="A578">
        <v>1795</v>
      </c>
      <c r="B578" t="s">
        <v>75</v>
      </c>
      <c r="C578">
        <v>0.57499999999999996</v>
      </c>
      <c r="D578">
        <v>0.45</v>
      </c>
      <c r="E578">
        <v>0.13</v>
      </c>
      <c r="F578">
        <v>0.8145</v>
      </c>
      <c r="G578">
        <v>0.40300000000000002</v>
      </c>
      <c r="H578">
        <v>0.17150000000000001</v>
      </c>
      <c r="I578">
        <v>0.21299999999999999</v>
      </c>
      <c r="J578">
        <v>10</v>
      </c>
      <c r="K578">
        <v>8</v>
      </c>
      <c r="L578" t="s">
        <v>55</v>
      </c>
      <c r="M578" t="s">
        <v>56</v>
      </c>
      <c r="N578" t="s">
        <v>57</v>
      </c>
      <c r="O578">
        <v>1</v>
      </c>
      <c r="P578" t="s">
        <v>4</v>
      </c>
      <c r="Q578">
        <v>22.1</v>
      </c>
      <c r="R578" t="str">
        <f t="shared" si="17"/>
        <v>III</v>
      </c>
      <c r="S578">
        <f t="shared" si="18"/>
        <v>0.38756624999999995</v>
      </c>
    </row>
    <row r="579" spans="1:19">
      <c r="A579">
        <v>3479</v>
      </c>
      <c r="B579" t="s">
        <v>75</v>
      </c>
      <c r="C579">
        <v>0.435</v>
      </c>
      <c r="D579">
        <v>0.33500000000000002</v>
      </c>
      <c r="E579">
        <v>0.11</v>
      </c>
      <c r="F579">
        <v>0.41099999999999998</v>
      </c>
      <c r="G579">
        <v>0.20250000000000001</v>
      </c>
      <c r="H579">
        <v>9.4500000000000001E-2</v>
      </c>
      <c r="I579">
        <v>0.1</v>
      </c>
      <c r="J579">
        <v>7</v>
      </c>
      <c r="K579">
        <v>12</v>
      </c>
      <c r="L579" t="s">
        <v>58</v>
      </c>
      <c r="M579" t="s">
        <v>59</v>
      </c>
      <c r="N579" t="s">
        <v>45</v>
      </c>
      <c r="O579">
        <v>9</v>
      </c>
      <c r="P579" t="s">
        <v>9</v>
      </c>
      <c r="Q579">
        <v>1.9</v>
      </c>
      <c r="R579" t="str">
        <f t="shared" ref="R579:R642" si="19">IF(OR(AND(J579 &gt; 15, B579 = "Infant"), AND(D579 = "Male", C579 &gt; 0.75),
    OR(I579 &gt; 0.8, G579 &gt; 0.5), G579 &gt; 1.2),
    "I",
    IF(OR(AND(I579 &lt; 0.4, G579 &lt; 0.4), AND(J579 &gt; 15, D579 = "Male"), AND(J579 &gt; 18, D579 = "Female"), C579 &lt; 0.36),
    "II",
    "III"))</f>
        <v>II</v>
      </c>
      <c r="S579">
        <f t="shared" ref="S579:S642" si="20">IF(OR(AND(J579 &gt; 15, B579 = "Infant"), AND(D579 = "Male", C579 &gt; 0.75), OR(I579 &gt; 0.8, G579 &gt; 0.5), G579 &gt; 1.2), (1 + (1/3)*(C579 - 0.5) + (1/3)*(D579 - 0.4) + (1/3)*(E579 - 0.4)) * F579 * 0.5 * 1.5, IF(OR(AND(I579 &lt; 0.4, G579 &lt; 0.4), AND(J579 &gt; 15, D579 = "Male"), AND(J579 &gt; 18, D579 = "Female"), C579 &lt; 0.36), (1 + (1/3)*(C579 - 0.5) + (1/3)*(D579 - 0.4) + (1/3)*(E579 - 0.4)) * F579 * 0.5 * 0.8, (1 + (1/3)*(C579 - 0.5) + (1/3)*(D579 - 0.4) + (1/3)*(E579 - 0.4)) * F579 * 0.5))</f>
        <v>0.14138399999999998</v>
      </c>
    </row>
    <row r="580" spans="1:19">
      <c r="A580">
        <v>3345</v>
      </c>
      <c r="B580" t="s">
        <v>75</v>
      </c>
      <c r="C580">
        <v>0.495</v>
      </c>
      <c r="D580">
        <v>0.38</v>
      </c>
      <c r="E580">
        <v>0.14499999999999999</v>
      </c>
      <c r="F580">
        <v>0.51500000000000001</v>
      </c>
      <c r="G580">
        <v>0.17499999999999999</v>
      </c>
      <c r="H580">
        <v>9.8000000000000004E-2</v>
      </c>
      <c r="I580">
        <v>0.21199999999999999</v>
      </c>
      <c r="J580">
        <v>13</v>
      </c>
      <c r="K580">
        <v>15</v>
      </c>
      <c r="L580" t="s">
        <v>60</v>
      </c>
      <c r="M580" t="s">
        <v>61</v>
      </c>
      <c r="N580" t="s">
        <v>45</v>
      </c>
      <c r="O580">
        <v>8</v>
      </c>
      <c r="P580" t="s">
        <v>13</v>
      </c>
      <c r="Q580">
        <v>12.3</v>
      </c>
      <c r="R580" t="str">
        <f t="shared" si="19"/>
        <v>II</v>
      </c>
      <c r="S580">
        <f t="shared" si="20"/>
        <v>0.18677333333333335</v>
      </c>
    </row>
    <row r="581" spans="1:19">
      <c r="A581">
        <v>2668</v>
      </c>
      <c r="B581" t="s">
        <v>75</v>
      </c>
      <c r="C581">
        <v>0.58499999999999996</v>
      </c>
      <c r="D581">
        <v>0.45</v>
      </c>
      <c r="E581">
        <v>0.15</v>
      </c>
      <c r="F581">
        <v>0.93799999999999994</v>
      </c>
      <c r="G581">
        <v>0.46700000000000003</v>
      </c>
      <c r="H581">
        <v>0.20300000000000001</v>
      </c>
      <c r="I581">
        <v>0.22500000000000001</v>
      </c>
      <c r="J581">
        <v>7</v>
      </c>
      <c r="K581">
        <v>5</v>
      </c>
      <c r="L581" t="s">
        <v>67</v>
      </c>
      <c r="M581" t="s">
        <v>68</v>
      </c>
      <c r="N581" t="s">
        <v>69</v>
      </c>
      <c r="O581">
        <v>9</v>
      </c>
      <c r="P581" t="s">
        <v>9</v>
      </c>
      <c r="Q581">
        <v>1.9</v>
      </c>
      <c r="R581" t="str">
        <f t="shared" si="19"/>
        <v>III</v>
      </c>
      <c r="S581">
        <f t="shared" si="20"/>
        <v>0.4510216666666666</v>
      </c>
    </row>
    <row r="582" spans="1:19">
      <c r="A582">
        <v>58</v>
      </c>
      <c r="B582" t="s">
        <v>75</v>
      </c>
      <c r="C582">
        <v>0.47</v>
      </c>
      <c r="D582">
        <v>0.38500000000000001</v>
      </c>
      <c r="E582">
        <v>0.13500000000000001</v>
      </c>
      <c r="F582">
        <v>0.58950000000000002</v>
      </c>
      <c r="G582">
        <v>0.27650000000000002</v>
      </c>
      <c r="H582">
        <v>0.12</v>
      </c>
      <c r="I582">
        <v>0.17</v>
      </c>
      <c r="J582">
        <v>8</v>
      </c>
      <c r="K582">
        <v>14</v>
      </c>
      <c r="L582" t="s">
        <v>72</v>
      </c>
      <c r="M582" t="s">
        <v>73</v>
      </c>
      <c r="N582" t="s">
        <v>74</v>
      </c>
      <c r="O582">
        <v>5</v>
      </c>
      <c r="P582" t="s">
        <v>12</v>
      </c>
      <c r="Q582">
        <v>12.8</v>
      </c>
      <c r="R582" t="str">
        <f t="shared" si="19"/>
        <v>II</v>
      </c>
      <c r="S582">
        <f t="shared" si="20"/>
        <v>0.21143400000000001</v>
      </c>
    </row>
    <row r="583" spans="1:19">
      <c r="A583">
        <v>3927</v>
      </c>
      <c r="B583" t="s">
        <v>75</v>
      </c>
      <c r="C583">
        <v>0.57999999999999996</v>
      </c>
      <c r="D583">
        <v>0.42</v>
      </c>
      <c r="E583">
        <v>0.16</v>
      </c>
      <c r="F583">
        <v>0.72799999999999998</v>
      </c>
      <c r="G583">
        <v>0.27250000000000002</v>
      </c>
      <c r="H583">
        <v>0.19</v>
      </c>
      <c r="I583">
        <v>0.19</v>
      </c>
      <c r="J583">
        <v>14</v>
      </c>
      <c r="K583">
        <v>1</v>
      </c>
      <c r="L583" t="s">
        <v>70</v>
      </c>
      <c r="M583" t="s">
        <v>71</v>
      </c>
      <c r="N583" t="s">
        <v>45</v>
      </c>
      <c r="O583">
        <v>3</v>
      </c>
      <c r="P583" t="s">
        <v>10</v>
      </c>
      <c r="Q583">
        <v>3.6</v>
      </c>
      <c r="R583" t="str">
        <f t="shared" si="19"/>
        <v>II</v>
      </c>
      <c r="S583">
        <f t="shared" si="20"/>
        <v>0.27761066666666662</v>
      </c>
    </row>
    <row r="584" spans="1:19">
      <c r="A584">
        <v>280</v>
      </c>
      <c r="B584" t="s">
        <v>75</v>
      </c>
      <c r="C584">
        <v>0.51500000000000001</v>
      </c>
      <c r="D584">
        <v>0.42499999999999999</v>
      </c>
      <c r="E584">
        <v>0.13500000000000001</v>
      </c>
      <c r="F584">
        <v>0.71199999999999997</v>
      </c>
      <c r="G584">
        <v>0.26650000000000001</v>
      </c>
      <c r="H584">
        <v>0.1605</v>
      </c>
      <c r="I584">
        <v>0.25</v>
      </c>
      <c r="J584">
        <v>11</v>
      </c>
      <c r="K584">
        <v>15</v>
      </c>
      <c r="L584" t="s">
        <v>60</v>
      </c>
      <c r="M584" t="s">
        <v>61</v>
      </c>
      <c r="N584" t="s">
        <v>45</v>
      </c>
      <c r="O584">
        <v>8</v>
      </c>
      <c r="P584" t="s">
        <v>13</v>
      </c>
      <c r="Q584">
        <v>12.3</v>
      </c>
      <c r="R584" t="str">
        <f t="shared" si="19"/>
        <v>II</v>
      </c>
      <c r="S584">
        <f t="shared" si="20"/>
        <v>0.26343999999999995</v>
      </c>
    </row>
    <row r="585" spans="1:19">
      <c r="A585">
        <v>1242</v>
      </c>
      <c r="B585" t="s">
        <v>75</v>
      </c>
      <c r="C585">
        <v>0.38</v>
      </c>
      <c r="D585">
        <v>0.27</v>
      </c>
      <c r="E585">
        <v>0.08</v>
      </c>
      <c r="F585">
        <v>0.21049999999999999</v>
      </c>
      <c r="G585">
        <v>8.6499999999999994E-2</v>
      </c>
      <c r="H585">
        <v>4.2000000000000003E-2</v>
      </c>
      <c r="I585">
        <v>7.0000000000000007E-2</v>
      </c>
      <c r="J585">
        <v>8</v>
      </c>
      <c r="K585">
        <v>2</v>
      </c>
      <c r="L585" t="s">
        <v>49</v>
      </c>
      <c r="M585" t="s">
        <v>50</v>
      </c>
      <c r="N585" t="s">
        <v>51</v>
      </c>
      <c r="O585">
        <v>9</v>
      </c>
      <c r="P585" t="s">
        <v>9</v>
      </c>
      <c r="Q585">
        <v>1.9</v>
      </c>
      <c r="R585" t="str">
        <f t="shared" si="19"/>
        <v>II</v>
      </c>
      <c r="S585">
        <f t="shared" si="20"/>
        <v>6.8201999999999999E-2</v>
      </c>
    </row>
    <row r="586" spans="1:19">
      <c r="A586">
        <v>2137</v>
      </c>
      <c r="B586" t="s">
        <v>75</v>
      </c>
      <c r="C586">
        <v>0.56000000000000005</v>
      </c>
      <c r="D586">
        <v>0.42499999999999999</v>
      </c>
      <c r="E586">
        <v>0.125</v>
      </c>
      <c r="F586">
        <v>0.93200000000000005</v>
      </c>
      <c r="G586">
        <v>0.36099999999999999</v>
      </c>
      <c r="H586">
        <v>0.21299999999999999</v>
      </c>
      <c r="I586">
        <v>0.33500000000000002</v>
      </c>
      <c r="J586">
        <v>9</v>
      </c>
      <c r="K586">
        <v>12</v>
      </c>
      <c r="L586" t="s">
        <v>58</v>
      </c>
      <c r="M586" t="s">
        <v>59</v>
      </c>
      <c r="N586" t="s">
        <v>45</v>
      </c>
      <c r="O586">
        <v>9</v>
      </c>
      <c r="P586" t="s">
        <v>9</v>
      </c>
      <c r="Q586">
        <v>1.9</v>
      </c>
      <c r="R586" t="str">
        <f t="shared" si="19"/>
        <v>II</v>
      </c>
      <c r="S586">
        <f t="shared" si="20"/>
        <v>0.34918933333333335</v>
      </c>
    </row>
    <row r="587" spans="1:19">
      <c r="A587">
        <v>516</v>
      </c>
      <c r="B587" t="s">
        <v>75</v>
      </c>
      <c r="C587">
        <v>0.27</v>
      </c>
      <c r="D587">
        <v>0.19500000000000001</v>
      </c>
      <c r="E587">
        <v>0.08</v>
      </c>
      <c r="F587">
        <v>0.1</v>
      </c>
      <c r="G587">
        <v>3.85E-2</v>
      </c>
      <c r="H587">
        <v>1.95E-2</v>
      </c>
      <c r="I587">
        <v>0.03</v>
      </c>
      <c r="J587">
        <v>6</v>
      </c>
      <c r="K587">
        <v>9</v>
      </c>
      <c r="L587" t="s">
        <v>34</v>
      </c>
      <c r="M587" t="s">
        <v>35</v>
      </c>
      <c r="N587" t="s">
        <v>36</v>
      </c>
      <c r="O587">
        <v>3</v>
      </c>
      <c r="P587" t="s">
        <v>10</v>
      </c>
      <c r="Q587">
        <v>3.6</v>
      </c>
      <c r="R587" t="str">
        <f t="shared" si="19"/>
        <v>II</v>
      </c>
      <c r="S587">
        <f t="shared" si="20"/>
        <v>2.9933333333333336E-2</v>
      </c>
    </row>
    <row r="588" spans="1:19">
      <c r="A588">
        <v>3841</v>
      </c>
      <c r="B588" t="s">
        <v>75</v>
      </c>
      <c r="C588">
        <v>0.53</v>
      </c>
      <c r="D588">
        <v>0.41</v>
      </c>
      <c r="E588">
        <v>0.14499999999999999</v>
      </c>
      <c r="F588">
        <v>0.82550000000000001</v>
      </c>
      <c r="G588">
        <v>0.375</v>
      </c>
      <c r="H588">
        <v>0.20399999999999999</v>
      </c>
      <c r="I588">
        <v>0.245</v>
      </c>
      <c r="J588">
        <v>9</v>
      </c>
      <c r="K588">
        <v>3</v>
      </c>
      <c r="L588" t="s">
        <v>52</v>
      </c>
      <c r="M588" t="s">
        <v>53</v>
      </c>
      <c r="N588" t="s">
        <v>54</v>
      </c>
      <c r="O588">
        <v>1</v>
      </c>
      <c r="P588" t="s">
        <v>4</v>
      </c>
      <c r="Q588">
        <v>22.1</v>
      </c>
      <c r="R588" t="str">
        <f t="shared" si="19"/>
        <v>II</v>
      </c>
      <c r="S588">
        <f t="shared" si="20"/>
        <v>0.30653566666666676</v>
      </c>
    </row>
    <row r="589" spans="1:19">
      <c r="A589">
        <v>2358</v>
      </c>
      <c r="B589" t="s">
        <v>75</v>
      </c>
      <c r="C589">
        <v>0.58499999999999996</v>
      </c>
      <c r="D589">
        <v>0.45500000000000002</v>
      </c>
      <c r="E589">
        <v>0.125</v>
      </c>
      <c r="F589">
        <v>1.0269999999999999</v>
      </c>
      <c r="G589">
        <v>0.39100000000000001</v>
      </c>
      <c r="H589">
        <v>0.21199999999999999</v>
      </c>
      <c r="I589">
        <v>0.25</v>
      </c>
      <c r="J589">
        <v>17</v>
      </c>
      <c r="K589">
        <v>1</v>
      </c>
      <c r="L589" t="s">
        <v>70</v>
      </c>
      <c r="M589" t="s">
        <v>71</v>
      </c>
      <c r="N589" t="s">
        <v>45</v>
      </c>
      <c r="O589">
        <v>1</v>
      </c>
      <c r="P589" t="s">
        <v>4</v>
      </c>
      <c r="Q589">
        <v>22.1</v>
      </c>
      <c r="R589" t="str">
        <f t="shared" si="19"/>
        <v>II</v>
      </c>
      <c r="S589">
        <f t="shared" si="20"/>
        <v>0.392314</v>
      </c>
    </row>
    <row r="590" spans="1:19">
      <c r="A590">
        <v>3851</v>
      </c>
      <c r="B590" t="s">
        <v>75</v>
      </c>
      <c r="C590">
        <v>0.375</v>
      </c>
      <c r="D590">
        <v>0.29499999999999998</v>
      </c>
      <c r="E590">
        <v>0.11</v>
      </c>
      <c r="F590">
        <v>0.30049999999999999</v>
      </c>
      <c r="G590">
        <v>0.1255</v>
      </c>
      <c r="H590">
        <v>5.7500000000000002E-2</v>
      </c>
      <c r="I590">
        <v>0.10349999999999999</v>
      </c>
      <c r="J590">
        <v>7</v>
      </c>
      <c r="K590">
        <v>13</v>
      </c>
      <c r="L590" t="s">
        <v>43</v>
      </c>
      <c r="M590" t="s">
        <v>44</v>
      </c>
      <c r="N590" t="s">
        <v>45</v>
      </c>
      <c r="O590">
        <v>4</v>
      </c>
      <c r="P590" t="s">
        <v>8</v>
      </c>
      <c r="Q590">
        <v>6.1</v>
      </c>
      <c r="R590" t="str">
        <f t="shared" si="19"/>
        <v>II</v>
      </c>
      <c r="S590">
        <f t="shared" si="20"/>
        <v>9.9365333333333333E-2</v>
      </c>
    </row>
    <row r="591" spans="1:19">
      <c r="A591">
        <v>707</v>
      </c>
      <c r="B591" t="s">
        <v>75</v>
      </c>
      <c r="C591">
        <v>0.315</v>
      </c>
      <c r="D591">
        <v>0.25</v>
      </c>
      <c r="E591">
        <v>0.09</v>
      </c>
      <c r="F591">
        <v>0.20300000000000001</v>
      </c>
      <c r="G591">
        <v>6.1499999999999999E-2</v>
      </c>
      <c r="H591">
        <v>3.6999999999999998E-2</v>
      </c>
      <c r="I591">
        <v>7.9500000000000001E-2</v>
      </c>
      <c r="J591">
        <v>11</v>
      </c>
      <c r="K591">
        <v>9</v>
      </c>
      <c r="L591" t="s">
        <v>34</v>
      </c>
      <c r="M591" t="s">
        <v>35</v>
      </c>
      <c r="N591" t="s">
        <v>36</v>
      </c>
      <c r="O591">
        <v>8</v>
      </c>
      <c r="P591" t="s">
        <v>13</v>
      </c>
      <c r="Q591">
        <v>12.3</v>
      </c>
      <c r="R591" t="str">
        <f t="shared" si="19"/>
        <v>II</v>
      </c>
      <c r="S591">
        <f t="shared" si="20"/>
        <v>6.3742000000000007E-2</v>
      </c>
    </row>
    <row r="592" spans="1:19">
      <c r="A592">
        <v>3140</v>
      </c>
      <c r="B592" t="s">
        <v>75</v>
      </c>
      <c r="C592">
        <v>0.33500000000000002</v>
      </c>
      <c r="D592">
        <v>0.26</v>
      </c>
      <c r="E592">
        <v>0.09</v>
      </c>
      <c r="F592">
        <v>0.1835</v>
      </c>
      <c r="G592">
        <v>7.8E-2</v>
      </c>
      <c r="H592">
        <v>2.4E-2</v>
      </c>
      <c r="I592">
        <v>6.5000000000000002E-2</v>
      </c>
      <c r="J592">
        <v>11</v>
      </c>
      <c r="K592">
        <v>4</v>
      </c>
      <c r="L592" t="s">
        <v>40</v>
      </c>
      <c r="M592" t="s">
        <v>41</v>
      </c>
      <c r="N592" t="s">
        <v>42</v>
      </c>
      <c r="O592">
        <v>2</v>
      </c>
      <c r="P592" t="s">
        <v>5</v>
      </c>
      <c r="Q592">
        <v>18</v>
      </c>
      <c r="R592" t="str">
        <f t="shared" si="19"/>
        <v>II</v>
      </c>
      <c r="S592">
        <f t="shared" si="20"/>
        <v>5.8353000000000002E-2</v>
      </c>
    </row>
    <row r="593" spans="1:19">
      <c r="A593">
        <v>472</v>
      </c>
      <c r="B593" t="s">
        <v>75</v>
      </c>
      <c r="C593">
        <v>0.51500000000000001</v>
      </c>
      <c r="D593">
        <v>0.40500000000000003</v>
      </c>
      <c r="E593">
        <v>0.12</v>
      </c>
      <c r="F593">
        <v>0.64600000000000002</v>
      </c>
      <c r="G593">
        <v>0.28949999999999998</v>
      </c>
      <c r="H593">
        <v>0.14050000000000001</v>
      </c>
      <c r="I593">
        <v>0.17699999999999999</v>
      </c>
      <c r="J593">
        <v>10</v>
      </c>
      <c r="K593">
        <v>7</v>
      </c>
      <c r="L593" t="s">
        <v>62</v>
      </c>
      <c r="M593" t="s">
        <v>63</v>
      </c>
      <c r="N593" t="s">
        <v>64</v>
      </c>
      <c r="O593">
        <v>10</v>
      </c>
      <c r="P593" t="s">
        <v>11</v>
      </c>
      <c r="Q593">
        <v>24.1</v>
      </c>
      <c r="R593" t="str">
        <f t="shared" si="19"/>
        <v>II</v>
      </c>
      <c r="S593">
        <f t="shared" si="20"/>
        <v>0.23600533333333332</v>
      </c>
    </row>
    <row r="594" spans="1:19">
      <c r="A594">
        <v>2277</v>
      </c>
      <c r="B594" t="s">
        <v>75</v>
      </c>
      <c r="C594">
        <v>0.62</v>
      </c>
      <c r="D594">
        <v>0.48</v>
      </c>
      <c r="E594">
        <v>0.23</v>
      </c>
      <c r="F594">
        <v>1.0934999999999999</v>
      </c>
      <c r="G594">
        <v>0.40300000000000002</v>
      </c>
      <c r="H594">
        <v>0.245</v>
      </c>
      <c r="I594">
        <v>0.35499999999999998</v>
      </c>
      <c r="J594">
        <v>14</v>
      </c>
      <c r="K594">
        <v>12</v>
      </c>
      <c r="L594" t="s">
        <v>58</v>
      </c>
      <c r="M594" t="s">
        <v>59</v>
      </c>
      <c r="N594" t="s">
        <v>45</v>
      </c>
      <c r="O594">
        <v>1</v>
      </c>
      <c r="P594" t="s">
        <v>4</v>
      </c>
      <c r="Q594">
        <v>22.1</v>
      </c>
      <c r="R594" t="str">
        <f t="shared" si="19"/>
        <v>III</v>
      </c>
      <c r="S594">
        <f t="shared" si="20"/>
        <v>0.55221749999999992</v>
      </c>
    </row>
    <row r="595" spans="1:19">
      <c r="A595">
        <v>1159</v>
      </c>
      <c r="B595" t="s">
        <v>75</v>
      </c>
      <c r="C595">
        <v>0.60499999999999998</v>
      </c>
      <c r="D595">
        <v>0.47499999999999998</v>
      </c>
      <c r="E595">
        <v>0.14000000000000001</v>
      </c>
      <c r="F595">
        <v>1.1174999999999999</v>
      </c>
      <c r="G595">
        <v>0.55500000000000005</v>
      </c>
      <c r="H595">
        <v>0.25700000000000001</v>
      </c>
      <c r="I595">
        <v>0.27400000000000002</v>
      </c>
      <c r="J595">
        <v>9</v>
      </c>
      <c r="K595">
        <v>7</v>
      </c>
      <c r="L595" t="s">
        <v>62</v>
      </c>
      <c r="M595" t="s">
        <v>63</v>
      </c>
      <c r="N595" t="s">
        <v>64</v>
      </c>
      <c r="O595">
        <v>5</v>
      </c>
      <c r="P595" t="s">
        <v>12</v>
      </c>
      <c r="Q595">
        <v>12.8</v>
      </c>
      <c r="R595" t="str">
        <f t="shared" si="19"/>
        <v>I</v>
      </c>
      <c r="S595">
        <f t="shared" si="20"/>
        <v>0.81577499999999969</v>
      </c>
    </row>
    <row r="596" spans="1:19">
      <c r="A596">
        <v>2111</v>
      </c>
      <c r="B596" t="s">
        <v>75</v>
      </c>
      <c r="C596">
        <v>0.32500000000000001</v>
      </c>
      <c r="D596">
        <v>0.25</v>
      </c>
      <c r="E596">
        <v>5.5E-2</v>
      </c>
      <c r="F596">
        <v>0.16600000000000001</v>
      </c>
      <c r="G596">
        <v>7.5999999999999998E-2</v>
      </c>
      <c r="H596">
        <v>5.0999999999999997E-2</v>
      </c>
      <c r="I596">
        <v>4.4999999999999998E-2</v>
      </c>
      <c r="J596">
        <v>5</v>
      </c>
      <c r="K596">
        <v>13</v>
      </c>
      <c r="L596" t="s">
        <v>43</v>
      </c>
      <c r="M596" t="s">
        <v>44</v>
      </c>
      <c r="N596" t="s">
        <v>45</v>
      </c>
      <c r="O596">
        <v>2</v>
      </c>
      <c r="P596" t="s">
        <v>5</v>
      </c>
      <c r="Q596">
        <v>18</v>
      </c>
      <c r="R596" t="str">
        <f t="shared" si="19"/>
        <v>II</v>
      </c>
      <c r="S596">
        <f t="shared" si="20"/>
        <v>5.1570666666666667E-2</v>
      </c>
    </row>
    <row r="597" spans="1:19">
      <c r="A597">
        <v>3541</v>
      </c>
      <c r="B597" t="s">
        <v>75</v>
      </c>
      <c r="C597">
        <v>0.44500000000000001</v>
      </c>
      <c r="D597">
        <v>0.35499999999999998</v>
      </c>
      <c r="E597">
        <v>9.5000000000000001E-2</v>
      </c>
      <c r="F597">
        <v>0.36149999999999999</v>
      </c>
      <c r="G597">
        <v>0.14149999999999999</v>
      </c>
      <c r="H597">
        <v>7.85E-2</v>
      </c>
      <c r="I597">
        <v>0.12</v>
      </c>
      <c r="J597">
        <v>8</v>
      </c>
      <c r="K597">
        <v>5</v>
      </c>
      <c r="L597" t="s">
        <v>67</v>
      </c>
      <c r="M597" t="s">
        <v>68</v>
      </c>
      <c r="N597" t="s">
        <v>69</v>
      </c>
      <c r="O597">
        <v>10</v>
      </c>
      <c r="P597" t="s">
        <v>11</v>
      </c>
      <c r="Q597">
        <v>24.1</v>
      </c>
      <c r="R597" t="str">
        <f t="shared" si="19"/>
        <v>II</v>
      </c>
      <c r="S597">
        <f t="shared" si="20"/>
        <v>0.125079</v>
      </c>
    </row>
    <row r="598" spans="1:19">
      <c r="A598">
        <v>3354</v>
      </c>
      <c r="B598" t="s">
        <v>75</v>
      </c>
      <c r="C598">
        <v>0.47499999999999998</v>
      </c>
      <c r="D598">
        <v>0.36499999999999999</v>
      </c>
      <c r="E598">
        <v>0.14000000000000001</v>
      </c>
      <c r="F598">
        <v>0.45450000000000002</v>
      </c>
      <c r="G598">
        <v>0.17100000000000001</v>
      </c>
      <c r="H598">
        <v>0.11799999999999999</v>
      </c>
      <c r="I598">
        <v>0.158</v>
      </c>
      <c r="J598">
        <v>8</v>
      </c>
      <c r="K598">
        <v>14</v>
      </c>
      <c r="L598" t="s">
        <v>72</v>
      </c>
      <c r="M598" t="s">
        <v>73</v>
      </c>
      <c r="N598" t="s">
        <v>74</v>
      </c>
      <c r="O598">
        <v>6</v>
      </c>
      <c r="P598" t="s">
        <v>7</v>
      </c>
      <c r="Q598">
        <v>14.1</v>
      </c>
      <c r="R598" t="str">
        <f t="shared" si="19"/>
        <v>II</v>
      </c>
      <c r="S598">
        <f t="shared" si="20"/>
        <v>0.162408</v>
      </c>
    </row>
    <row r="599" spans="1:19">
      <c r="A599">
        <v>931</v>
      </c>
      <c r="B599" t="s">
        <v>75</v>
      </c>
      <c r="C599">
        <v>0.44</v>
      </c>
      <c r="D599">
        <v>0.32500000000000001</v>
      </c>
      <c r="E599">
        <v>0.09</v>
      </c>
      <c r="F599">
        <v>0.35</v>
      </c>
      <c r="G599">
        <v>0.14799999999999999</v>
      </c>
      <c r="H599">
        <v>6.7000000000000004E-2</v>
      </c>
      <c r="I599">
        <v>0.105</v>
      </c>
      <c r="J599">
        <v>7</v>
      </c>
      <c r="K599">
        <v>15</v>
      </c>
      <c r="L599" t="s">
        <v>60</v>
      </c>
      <c r="M599" t="s">
        <v>61</v>
      </c>
      <c r="N599" t="s">
        <v>45</v>
      </c>
      <c r="O599">
        <v>7</v>
      </c>
      <c r="P599" t="s">
        <v>6</v>
      </c>
      <c r="Q599">
        <v>2.5</v>
      </c>
      <c r="R599" t="str">
        <f t="shared" si="19"/>
        <v>II</v>
      </c>
      <c r="S599">
        <f t="shared" si="20"/>
        <v>0.1192333333333333</v>
      </c>
    </row>
    <row r="600" spans="1:19">
      <c r="A600">
        <v>2512</v>
      </c>
      <c r="B600" t="s">
        <v>75</v>
      </c>
      <c r="C600">
        <v>0.42499999999999999</v>
      </c>
      <c r="D600">
        <v>0.31</v>
      </c>
      <c r="E600">
        <v>0.105</v>
      </c>
      <c r="F600">
        <v>0.36499999999999999</v>
      </c>
      <c r="G600">
        <v>0.159</v>
      </c>
      <c r="H600">
        <v>8.2500000000000004E-2</v>
      </c>
      <c r="I600">
        <v>0.105</v>
      </c>
      <c r="J600">
        <v>6</v>
      </c>
      <c r="K600">
        <v>11</v>
      </c>
      <c r="L600" t="s">
        <v>65</v>
      </c>
      <c r="M600" t="s">
        <v>66</v>
      </c>
      <c r="N600" t="s">
        <v>45</v>
      </c>
      <c r="O600">
        <v>2</v>
      </c>
      <c r="P600" t="s">
        <v>5</v>
      </c>
      <c r="Q600">
        <v>18</v>
      </c>
      <c r="R600" t="str">
        <f t="shared" si="19"/>
        <v>II</v>
      </c>
      <c r="S600">
        <f t="shared" si="20"/>
        <v>0.12361333333333331</v>
      </c>
    </row>
    <row r="601" spans="1:19">
      <c r="A601">
        <v>225</v>
      </c>
      <c r="B601" t="s">
        <v>75</v>
      </c>
      <c r="C601">
        <v>0.42499999999999999</v>
      </c>
      <c r="D601">
        <v>0.38</v>
      </c>
      <c r="E601">
        <v>0.105</v>
      </c>
      <c r="F601">
        <v>0.32650000000000001</v>
      </c>
      <c r="G601">
        <v>0.1285</v>
      </c>
      <c r="H601">
        <v>7.85E-2</v>
      </c>
      <c r="I601">
        <v>0.1</v>
      </c>
      <c r="J601">
        <v>10</v>
      </c>
      <c r="K601">
        <v>15</v>
      </c>
      <c r="L601" t="s">
        <v>60</v>
      </c>
      <c r="M601" t="s">
        <v>61</v>
      </c>
      <c r="N601" t="s">
        <v>45</v>
      </c>
      <c r="O601">
        <v>6</v>
      </c>
      <c r="P601" t="s">
        <v>7</v>
      </c>
      <c r="Q601">
        <v>14.1</v>
      </c>
      <c r="R601" t="str">
        <f t="shared" si="19"/>
        <v>II</v>
      </c>
      <c r="S601">
        <f t="shared" si="20"/>
        <v>0.11362199999999999</v>
      </c>
    </row>
    <row r="602" spans="1:19">
      <c r="A602">
        <v>1541</v>
      </c>
      <c r="B602" t="s">
        <v>75</v>
      </c>
      <c r="C602">
        <v>0.36</v>
      </c>
      <c r="D602">
        <v>0.27</v>
      </c>
      <c r="E602">
        <v>9.5000000000000001E-2</v>
      </c>
      <c r="F602">
        <v>0.2</v>
      </c>
      <c r="G602">
        <v>7.2999999999999995E-2</v>
      </c>
      <c r="H602">
        <v>5.6000000000000001E-2</v>
      </c>
      <c r="I602">
        <v>6.0999999999999999E-2</v>
      </c>
      <c r="J602">
        <v>8</v>
      </c>
      <c r="K602">
        <v>14</v>
      </c>
      <c r="L602" t="s">
        <v>72</v>
      </c>
      <c r="M602" t="s">
        <v>73</v>
      </c>
      <c r="N602" t="s">
        <v>74</v>
      </c>
      <c r="O602">
        <v>3</v>
      </c>
      <c r="P602" t="s">
        <v>10</v>
      </c>
      <c r="Q602">
        <v>3.6</v>
      </c>
      <c r="R602" t="str">
        <f t="shared" si="19"/>
        <v>II</v>
      </c>
      <c r="S602">
        <f t="shared" si="20"/>
        <v>6.4666666666666678E-2</v>
      </c>
    </row>
    <row r="603" spans="1:19">
      <c r="A603">
        <v>3114</v>
      </c>
      <c r="B603" t="s">
        <v>75</v>
      </c>
      <c r="C603">
        <v>0.42499999999999999</v>
      </c>
      <c r="D603">
        <v>0.32500000000000001</v>
      </c>
      <c r="E603">
        <v>0.105</v>
      </c>
      <c r="F603">
        <v>0.39750000000000002</v>
      </c>
      <c r="G603">
        <v>0.18149999999999999</v>
      </c>
      <c r="H603">
        <v>8.1000000000000003E-2</v>
      </c>
      <c r="I603">
        <v>0.11749999999999999</v>
      </c>
      <c r="J603">
        <v>7</v>
      </c>
      <c r="K603">
        <v>12</v>
      </c>
      <c r="L603" t="s">
        <v>58</v>
      </c>
      <c r="M603" t="s">
        <v>59</v>
      </c>
      <c r="N603" t="s">
        <v>45</v>
      </c>
      <c r="O603">
        <v>5</v>
      </c>
      <c r="P603" t="s">
        <v>12</v>
      </c>
      <c r="Q603">
        <v>12.8</v>
      </c>
      <c r="R603" t="str">
        <f t="shared" si="19"/>
        <v>II</v>
      </c>
      <c r="S603">
        <f t="shared" si="20"/>
        <v>0.13541500000000001</v>
      </c>
    </row>
    <row r="604" spans="1:19">
      <c r="A604">
        <v>3973</v>
      </c>
      <c r="B604" t="s">
        <v>75</v>
      </c>
      <c r="C604">
        <v>0.41499999999999998</v>
      </c>
      <c r="D604">
        <v>0.315</v>
      </c>
      <c r="E604">
        <v>0.12</v>
      </c>
      <c r="F604">
        <v>0.40150000000000002</v>
      </c>
      <c r="G604">
        <v>0.19900000000000001</v>
      </c>
      <c r="H604">
        <v>8.6999999999999994E-2</v>
      </c>
      <c r="I604">
        <v>9.7000000000000003E-2</v>
      </c>
      <c r="J604">
        <v>8</v>
      </c>
      <c r="K604">
        <v>2</v>
      </c>
      <c r="L604" t="s">
        <v>49</v>
      </c>
      <c r="M604" t="s">
        <v>50</v>
      </c>
      <c r="N604" t="s">
        <v>51</v>
      </c>
      <c r="O604">
        <v>9</v>
      </c>
      <c r="P604" t="s">
        <v>9</v>
      </c>
      <c r="Q604">
        <v>1.9</v>
      </c>
      <c r="R604" t="str">
        <f t="shared" si="19"/>
        <v>II</v>
      </c>
      <c r="S604">
        <f t="shared" si="20"/>
        <v>0.13650999999999999</v>
      </c>
    </row>
    <row r="605" spans="1:19">
      <c r="A605">
        <v>348</v>
      </c>
      <c r="B605" t="s">
        <v>75</v>
      </c>
      <c r="C605">
        <v>0.34</v>
      </c>
      <c r="D605">
        <v>0.26</v>
      </c>
      <c r="E605">
        <v>0.08</v>
      </c>
      <c r="F605">
        <v>0.2</v>
      </c>
      <c r="G605">
        <v>0.08</v>
      </c>
      <c r="H605">
        <v>5.5500000000000001E-2</v>
      </c>
      <c r="I605">
        <v>5.5E-2</v>
      </c>
      <c r="J605">
        <v>6</v>
      </c>
      <c r="K605">
        <v>13</v>
      </c>
      <c r="L605" t="s">
        <v>43</v>
      </c>
      <c r="M605" t="s">
        <v>44</v>
      </c>
      <c r="N605" t="s">
        <v>45</v>
      </c>
      <c r="O605">
        <v>5</v>
      </c>
      <c r="P605" t="s">
        <v>12</v>
      </c>
      <c r="Q605">
        <v>12.8</v>
      </c>
      <c r="R605" t="str">
        <f t="shared" si="19"/>
        <v>II</v>
      </c>
      <c r="S605">
        <f t="shared" si="20"/>
        <v>6.3466666666666671E-2</v>
      </c>
    </row>
    <row r="606" spans="1:19">
      <c r="A606">
        <v>602</v>
      </c>
      <c r="B606" t="s">
        <v>75</v>
      </c>
      <c r="C606">
        <v>0.38500000000000001</v>
      </c>
      <c r="D606">
        <v>0.315</v>
      </c>
      <c r="E606">
        <v>0.11</v>
      </c>
      <c r="F606">
        <v>0.28599999999999998</v>
      </c>
      <c r="G606">
        <v>0.1225</v>
      </c>
      <c r="H606">
        <v>6.3500000000000001E-2</v>
      </c>
      <c r="I606">
        <v>8.3500000000000005E-2</v>
      </c>
      <c r="J606">
        <v>10</v>
      </c>
      <c r="K606">
        <v>15</v>
      </c>
      <c r="L606" t="s">
        <v>60</v>
      </c>
      <c r="M606" t="s">
        <v>61</v>
      </c>
      <c r="N606" t="s">
        <v>45</v>
      </c>
      <c r="O606">
        <v>8</v>
      </c>
      <c r="P606" t="s">
        <v>13</v>
      </c>
      <c r="Q606">
        <v>12.3</v>
      </c>
      <c r="R606" t="str">
        <f t="shared" si="19"/>
        <v>II</v>
      </c>
      <c r="S606">
        <f t="shared" si="20"/>
        <v>9.571466666666667E-2</v>
      </c>
    </row>
    <row r="607" spans="1:19">
      <c r="A607">
        <v>1359</v>
      </c>
      <c r="B607" t="s">
        <v>75</v>
      </c>
      <c r="C607">
        <v>0.60499999999999998</v>
      </c>
      <c r="D607">
        <v>0.48499999999999999</v>
      </c>
      <c r="E607">
        <v>0.15</v>
      </c>
      <c r="F607">
        <v>1.238</v>
      </c>
      <c r="G607">
        <v>0.63149999999999995</v>
      </c>
      <c r="H607">
        <v>0.22600000000000001</v>
      </c>
      <c r="I607">
        <v>0.33</v>
      </c>
      <c r="J607">
        <v>11</v>
      </c>
      <c r="K607">
        <v>15</v>
      </c>
      <c r="L607" t="s">
        <v>60</v>
      </c>
      <c r="M607" t="s">
        <v>61</v>
      </c>
      <c r="N607" t="s">
        <v>45</v>
      </c>
      <c r="O607">
        <v>7</v>
      </c>
      <c r="P607" t="s">
        <v>6</v>
      </c>
      <c r="Q607">
        <v>2.5</v>
      </c>
      <c r="R607" t="str">
        <f t="shared" si="19"/>
        <v>I</v>
      </c>
      <c r="S607">
        <f t="shared" si="20"/>
        <v>0.90992999999999991</v>
      </c>
    </row>
    <row r="608" spans="1:19">
      <c r="A608">
        <v>2564</v>
      </c>
      <c r="B608" t="s">
        <v>75</v>
      </c>
      <c r="C608">
        <v>0.44</v>
      </c>
      <c r="D608">
        <v>0.35499999999999998</v>
      </c>
      <c r="E608">
        <v>0.12</v>
      </c>
      <c r="F608">
        <v>0.495</v>
      </c>
      <c r="G608">
        <v>0.23100000000000001</v>
      </c>
      <c r="H608">
        <v>0.11</v>
      </c>
      <c r="I608">
        <v>0.125</v>
      </c>
      <c r="J608">
        <v>7</v>
      </c>
      <c r="K608">
        <v>4</v>
      </c>
      <c r="L608" t="s">
        <v>40</v>
      </c>
      <c r="M608" t="s">
        <v>41</v>
      </c>
      <c r="N608" t="s">
        <v>42</v>
      </c>
      <c r="O608">
        <v>9</v>
      </c>
      <c r="P608" t="s">
        <v>9</v>
      </c>
      <c r="Q608">
        <v>1.9</v>
      </c>
      <c r="R608" t="str">
        <f t="shared" si="19"/>
        <v>II</v>
      </c>
      <c r="S608">
        <f t="shared" si="20"/>
        <v>0.17258999999999999</v>
      </c>
    </row>
    <row r="609" spans="1:19">
      <c r="A609">
        <v>1865</v>
      </c>
      <c r="B609" t="s">
        <v>75</v>
      </c>
      <c r="C609">
        <v>0.52</v>
      </c>
      <c r="D609">
        <v>0.39500000000000002</v>
      </c>
      <c r="E609">
        <v>0.125</v>
      </c>
      <c r="F609">
        <v>0.58050000000000002</v>
      </c>
      <c r="G609">
        <v>0.2445</v>
      </c>
      <c r="H609">
        <v>0.14599999999999999</v>
      </c>
      <c r="I609">
        <v>0.16500000000000001</v>
      </c>
      <c r="J609">
        <v>9</v>
      </c>
      <c r="K609">
        <v>2</v>
      </c>
      <c r="L609" t="s">
        <v>49</v>
      </c>
      <c r="M609" t="s">
        <v>50</v>
      </c>
      <c r="N609" t="s">
        <v>51</v>
      </c>
      <c r="O609">
        <v>1</v>
      </c>
      <c r="P609" t="s">
        <v>4</v>
      </c>
      <c r="Q609">
        <v>22.1</v>
      </c>
      <c r="R609" t="str">
        <f t="shared" si="19"/>
        <v>II</v>
      </c>
      <c r="S609">
        <f t="shared" si="20"/>
        <v>0.21207599999999999</v>
      </c>
    </row>
    <row r="610" spans="1:19">
      <c r="A610">
        <v>2167</v>
      </c>
      <c r="B610" t="s">
        <v>75</v>
      </c>
      <c r="C610">
        <v>0.38</v>
      </c>
      <c r="D610">
        <v>0.28000000000000003</v>
      </c>
      <c r="E610">
        <v>8.5000000000000006E-2</v>
      </c>
      <c r="F610">
        <v>0.27350000000000002</v>
      </c>
      <c r="G610">
        <v>0.115</v>
      </c>
      <c r="H610">
        <v>6.0999999999999999E-2</v>
      </c>
      <c r="I610">
        <v>8.5000000000000006E-2</v>
      </c>
      <c r="J610">
        <v>6</v>
      </c>
      <c r="K610">
        <v>6</v>
      </c>
      <c r="L610" t="s">
        <v>46</v>
      </c>
      <c r="M610" t="s">
        <v>47</v>
      </c>
      <c r="N610" t="s">
        <v>48</v>
      </c>
      <c r="O610">
        <v>4</v>
      </c>
      <c r="P610" t="s">
        <v>8</v>
      </c>
      <c r="Q610">
        <v>6.1</v>
      </c>
      <c r="R610" t="str">
        <f t="shared" si="19"/>
        <v>II</v>
      </c>
      <c r="S610">
        <f t="shared" si="20"/>
        <v>8.9161000000000004E-2</v>
      </c>
    </row>
    <row r="611" spans="1:19">
      <c r="A611">
        <v>3636</v>
      </c>
      <c r="B611" t="s">
        <v>75</v>
      </c>
      <c r="C611">
        <v>0.37</v>
      </c>
      <c r="D611">
        <v>0.27500000000000002</v>
      </c>
      <c r="E611">
        <v>9.5000000000000001E-2</v>
      </c>
      <c r="F611">
        <v>0.25700000000000001</v>
      </c>
      <c r="G611">
        <v>0.10150000000000001</v>
      </c>
      <c r="H611">
        <v>5.5E-2</v>
      </c>
      <c r="I611">
        <v>8.2500000000000004E-2</v>
      </c>
      <c r="J611">
        <v>6</v>
      </c>
      <c r="K611">
        <v>12</v>
      </c>
      <c r="L611" t="s">
        <v>58</v>
      </c>
      <c r="M611" t="s">
        <v>59</v>
      </c>
      <c r="N611" t="s">
        <v>45</v>
      </c>
      <c r="O611">
        <v>2</v>
      </c>
      <c r="P611" t="s">
        <v>5</v>
      </c>
      <c r="Q611">
        <v>18</v>
      </c>
      <c r="R611" t="str">
        <f t="shared" si="19"/>
        <v>II</v>
      </c>
      <c r="S611">
        <f t="shared" si="20"/>
        <v>8.3610666666666666E-2</v>
      </c>
    </row>
    <row r="612" spans="1:19">
      <c r="A612">
        <v>3853</v>
      </c>
      <c r="B612" t="s">
        <v>75</v>
      </c>
      <c r="C612">
        <v>0.55000000000000004</v>
      </c>
      <c r="D612">
        <v>0.41</v>
      </c>
      <c r="E612">
        <v>0.15</v>
      </c>
      <c r="F612">
        <v>0.78500000000000003</v>
      </c>
      <c r="G612">
        <v>0.28199999999999997</v>
      </c>
      <c r="H612">
        <v>0.186</v>
      </c>
      <c r="I612">
        <v>0.27500000000000002</v>
      </c>
      <c r="J612">
        <v>12</v>
      </c>
      <c r="K612">
        <v>7</v>
      </c>
      <c r="L612" t="s">
        <v>62</v>
      </c>
      <c r="M612" t="s">
        <v>63</v>
      </c>
      <c r="N612" t="s">
        <v>64</v>
      </c>
      <c r="O612">
        <v>2</v>
      </c>
      <c r="P612" t="s">
        <v>5</v>
      </c>
      <c r="Q612">
        <v>18</v>
      </c>
      <c r="R612" t="str">
        <f t="shared" si="19"/>
        <v>II</v>
      </c>
      <c r="S612">
        <f t="shared" si="20"/>
        <v>0.29411333333333339</v>
      </c>
    </row>
    <row r="613" spans="1:19">
      <c r="A613">
        <v>1624</v>
      </c>
      <c r="B613" t="s">
        <v>75</v>
      </c>
      <c r="C613">
        <v>0.56499999999999995</v>
      </c>
      <c r="D613">
        <v>0.44</v>
      </c>
      <c r="E613">
        <v>0.15</v>
      </c>
      <c r="F613">
        <v>0.86299999999999999</v>
      </c>
      <c r="G613">
        <v>0.435</v>
      </c>
      <c r="H613">
        <v>0.14899999999999999</v>
      </c>
      <c r="I613">
        <v>0.27</v>
      </c>
      <c r="J613">
        <v>9</v>
      </c>
      <c r="K613">
        <v>5</v>
      </c>
      <c r="L613" t="s">
        <v>67</v>
      </c>
      <c r="M613" t="s">
        <v>68</v>
      </c>
      <c r="N613" t="s">
        <v>69</v>
      </c>
      <c r="O613">
        <v>8</v>
      </c>
      <c r="P613" t="s">
        <v>13</v>
      </c>
      <c r="Q613">
        <v>12.3</v>
      </c>
      <c r="R613" t="str">
        <f t="shared" si="19"/>
        <v>III</v>
      </c>
      <c r="S613">
        <f t="shared" si="20"/>
        <v>0.4106441666666667</v>
      </c>
    </row>
    <row r="614" spans="1:19">
      <c r="A614">
        <v>811</v>
      </c>
      <c r="B614" t="s">
        <v>75</v>
      </c>
      <c r="C614">
        <v>0.505</v>
      </c>
      <c r="D614">
        <v>0.40500000000000003</v>
      </c>
      <c r="E614">
        <v>0.14000000000000001</v>
      </c>
      <c r="F614">
        <v>0.875</v>
      </c>
      <c r="G614">
        <v>0.26650000000000001</v>
      </c>
      <c r="H614">
        <v>0.17399999999999999</v>
      </c>
      <c r="I614">
        <v>0.28499999999999998</v>
      </c>
      <c r="J614">
        <v>12</v>
      </c>
      <c r="K614">
        <v>4</v>
      </c>
      <c r="L614" t="s">
        <v>40</v>
      </c>
      <c r="M614" t="s">
        <v>41</v>
      </c>
      <c r="N614" t="s">
        <v>42</v>
      </c>
      <c r="O614">
        <v>3</v>
      </c>
      <c r="P614" t="s">
        <v>10</v>
      </c>
      <c r="Q614">
        <v>3.6</v>
      </c>
      <c r="R614" t="str">
        <f t="shared" si="19"/>
        <v>II</v>
      </c>
      <c r="S614">
        <f t="shared" si="20"/>
        <v>0.32083333333333336</v>
      </c>
    </row>
    <row r="615" spans="1:19">
      <c r="A615">
        <v>1964</v>
      </c>
      <c r="B615" t="s">
        <v>75</v>
      </c>
      <c r="C615">
        <v>0.65500000000000003</v>
      </c>
      <c r="D615">
        <v>0.52</v>
      </c>
      <c r="E615">
        <v>0.17</v>
      </c>
      <c r="F615">
        <v>1.1445000000000001</v>
      </c>
      <c r="G615">
        <v>0.53</v>
      </c>
      <c r="H615">
        <v>0.223</v>
      </c>
      <c r="I615">
        <v>0.34799999999999998</v>
      </c>
      <c r="J615">
        <v>9</v>
      </c>
      <c r="K615">
        <v>2</v>
      </c>
      <c r="L615" t="s">
        <v>49</v>
      </c>
      <c r="M615" t="s">
        <v>50</v>
      </c>
      <c r="N615" t="s">
        <v>51</v>
      </c>
      <c r="O615">
        <v>3</v>
      </c>
      <c r="P615" t="s">
        <v>10</v>
      </c>
      <c r="Q615">
        <v>3.6</v>
      </c>
      <c r="R615" t="str">
        <f t="shared" si="19"/>
        <v>I</v>
      </c>
      <c r="S615">
        <f t="shared" si="20"/>
        <v>0.87125062500000028</v>
      </c>
    </row>
    <row r="616" spans="1:19">
      <c r="A616">
        <v>3315</v>
      </c>
      <c r="B616" t="s">
        <v>75</v>
      </c>
      <c r="C616">
        <v>0.45</v>
      </c>
      <c r="D616">
        <v>0.35499999999999998</v>
      </c>
      <c r="E616">
        <v>0.115</v>
      </c>
      <c r="F616">
        <v>0.4385</v>
      </c>
      <c r="G616">
        <v>0.184</v>
      </c>
      <c r="H616">
        <v>0.108</v>
      </c>
      <c r="I616">
        <v>0.1125</v>
      </c>
      <c r="J616">
        <v>11</v>
      </c>
      <c r="K616">
        <v>4</v>
      </c>
      <c r="L616" t="s">
        <v>40</v>
      </c>
      <c r="M616" t="s">
        <v>41</v>
      </c>
      <c r="N616" t="s">
        <v>42</v>
      </c>
      <c r="O616">
        <v>9</v>
      </c>
      <c r="P616" t="s">
        <v>9</v>
      </c>
      <c r="Q616">
        <v>1.9</v>
      </c>
      <c r="R616" t="str">
        <f t="shared" si="19"/>
        <v>II</v>
      </c>
      <c r="S616">
        <f t="shared" si="20"/>
        <v>0.15318266666666669</v>
      </c>
    </row>
    <row r="617" spans="1:19">
      <c r="A617">
        <v>1482</v>
      </c>
      <c r="B617" t="s">
        <v>75</v>
      </c>
      <c r="C617">
        <v>0.57999999999999996</v>
      </c>
      <c r="D617">
        <v>0.435</v>
      </c>
      <c r="E617">
        <v>0.14000000000000001</v>
      </c>
      <c r="F617">
        <v>0.95299999999999996</v>
      </c>
      <c r="G617">
        <v>0.47499999999999998</v>
      </c>
      <c r="H617">
        <v>0.2165</v>
      </c>
      <c r="I617">
        <v>0.20949999999999999</v>
      </c>
      <c r="J617">
        <v>9</v>
      </c>
      <c r="K617">
        <v>12</v>
      </c>
      <c r="L617" t="s">
        <v>58</v>
      </c>
      <c r="M617" t="s">
        <v>59</v>
      </c>
      <c r="N617" t="s">
        <v>45</v>
      </c>
      <c r="O617">
        <v>5</v>
      </c>
      <c r="P617" t="s">
        <v>12</v>
      </c>
      <c r="Q617">
        <v>12.8</v>
      </c>
      <c r="R617" t="str">
        <f t="shared" si="19"/>
        <v>III</v>
      </c>
      <c r="S617">
        <f t="shared" si="20"/>
        <v>0.45346916666666665</v>
      </c>
    </row>
    <row r="618" spans="1:19">
      <c r="A618">
        <v>754</v>
      </c>
      <c r="B618" t="s">
        <v>75</v>
      </c>
      <c r="C618">
        <v>0.57999999999999996</v>
      </c>
      <c r="D618">
        <v>0.45500000000000002</v>
      </c>
      <c r="E618">
        <v>0.16500000000000001</v>
      </c>
      <c r="F618">
        <v>1.1365000000000001</v>
      </c>
      <c r="G618">
        <v>0.36899999999999999</v>
      </c>
      <c r="H618">
        <v>0.30049999999999999</v>
      </c>
      <c r="I618">
        <v>0.27500000000000002</v>
      </c>
      <c r="J618">
        <v>13</v>
      </c>
      <c r="K618">
        <v>9</v>
      </c>
      <c r="L618" t="s">
        <v>34</v>
      </c>
      <c r="M618" t="s">
        <v>35</v>
      </c>
      <c r="N618" t="s">
        <v>36</v>
      </c>
      <c r="O618">
        <v>6</v>
      </c>
      <c r="P618" t="s">
        <v>7</v>
      </c>
      <c r="Q618">
        <v>14.1</v>
      </c>
      <c r="R618" t="str">
        <f t="shared" si="19"/>
        <v>II</v>
      </c>
      <c r="S618">
        <f t="shared" si="20"/>
        <v>0.43944666666666665</v>
      </c>
    </row>
    <row r="619" spans="1:19">
      <c r="A619">
        <v>1066</v>
      </c>
      <c r="B619" t="s">
        <v>75</v>
      </c>
      <c r="C619">
        <v>0.315</v>
      </c>
      <c r="D619">
        <v>0.23499999999999999</v>
      </c>
      <c r="E619">
        <v>5.5E-2</v>
      </c>
      <c r="F619">
        <v>0.151</v>
      </c>
      <c r="G619">
        <v>6.5000000000000002E-2</v>
      </c>
      <c r="H619">
        <v>2.7E-2</v>
      </c>
      <c r="I619">
        <v>3.9E-2</v>
      </c>
      <c r="J619">
        <v>6</v>
      </c>
      <c r="K619">
        <v>6</v>
      </c>
      <c r="L619" t="s">
        <v>46</v>
      </c>
      <c r="M619" t="s">
        <v>47</v>
      </c>
      <c r="N619" t="s">
        <v>48</v>
      </c>
      <c r="O619">
        <v>2</v>
      </c>
      <c r="P619" t="s">
        <v>5</v>
      </c>
      <c r="Q619">
        <v>18</v>
      </c>
      <c r="R619" t="str">
        <f t="shared" si="19"/>
        <v>II</v>
      </c>
      <c r="S619">
        <f t="shared" si="20"/>
        <v>4.6407333333333328E-2</v>
      </c>
    </row>
    <row r="620" spans="1:19">
      <c r="A620">
        <v>239</v>
      </c>
      <c r="B620" t="s">
        <v>75</v>
      </c>
      <c r="C620">
        <v>0.11</v>
      </c>
      <c r="D620">
        <v>0.09</v>
      </c>
      <c r="E620">
        <v>0.03</v>
      </c>
      <c r="F620">
        <v>8.0000000000000002E-3</v>
      </c>
      <c r="G620">
        <v>2.5000000000000001E-3</v>
      </c>
      <c r="H620">
        <v>2E-3</v>
      </c>
      <c r="I620">
        <v>3.0000000000000001E-3</v>
      </c>
      <c r="J620">
        <v>3</v>
      </c>
      <c r="K620">
        <v>4</v>
      </c>
      <c r="L620" t="s">
        <v>40</v>
      </c>
      <c r="M620" t="s">
        <v>41</v>
      </c>
      <c r="N620" t="s">
        <v>42</v>
      </c>
      <c r="O620">
        <v>6</v>
      </c>
      <c r="P620" t="s">
        <v>7</v>
      </c>
      <c r="Q620">
        <v>14.1</v>
      </c>
      <c r="R620" t="str">
        <f t="shared" si="19"/>
        <v>II</v>
      </c>
      <c r="S620">
        <f t="shared" si="20"/>
        <v>2.0586666666666665E-3</v>
      </c>
    </row>
    <row r="621" spans="1:19">
      <c r="A621">
        <v>3932</v>
      </c>
      <c r="B621" t="s">
        <v>75</v>
      </c>
      <c r="C621">
        <v>0.55000000000000004</v>
      </c>
      <c r="D621">
        <v>0.44</v>
      </c>
      <c r="E621">
        <v>0.16500000000000001</v>
      </c>
      <c r="F621">
        <v>0.86050000000000004</v>
      </c>
      <c r="G621">
        <v>0.312</v>
      </c>
      <c r="H621">
        <v>0.16900000000000001</v>
      </c>
      <c r="I621">
        <v>0.3</v>
      </c>
      <c r="J621">
        <v>17</v>
      </c>
      <c r="K621">
        <v>13</v>
      </c>
      <c r="L621" t="s">
        <v>43</v>
      </c>
      <c r="M621" t="s">
        <v>44</v>
      </c>
      <c r="N621" t="s">
        <v>45</v>
      </c>
      <c r="O621">
        <v>8</v>
      </c>
      <c r="P621" t="s">
        <v>13</v>
      </c>
      <c r="Q621">
        <v>12.3</v>
      </c>
      <c r="R621" t="str">
        <f t="shared" si="19"/>
        <v>II</v>
      </c>
      <c r="S621">
        <f t="shared" si="20"/>
        <v>0.3275636666666667</v>
      </c>
    </row>
    <row r="622" spans="1:19">
      <c r="A622">
        <v>900</v>
      </c>
      <c r="B622" t="s">
        <v>75</v>
      </c>
      <c r="C622">
        <v>0.29499999999999998</v>
      </c>
      <c r="D622">
        <v>0.23</v>
      </c>
      <c r="E622">
        <v>0.08</v>
      </c>
      <c r="F622">
        <v>0.16250000000000001</v>
      </c>
      <c r="G622">
        <v>6.5000000000000002E-2</v>
      </c>
      <c r="H622">
        <v>0.05</v>
      </c>
      <c r="I622">
        <v>3.85E-2</v>
      </c>
      <c r="J622">
        <v>5</v>
      </c>
      <c r="K622">
        <v>3</v>
      </c>
      <c r="L622" t="s">
        <v>52</v>
      </c>
      <c r="M622" t="s">
        <v>53</v>
      </c>
      <c r="N622" t="s">
        <v>54</v>
      </c>
      <c r="O622">
        <v>2</v>
      </c>
      <c r="P622" t="s">
        <v>5</v>
      </c>
      <c r="Q622">
        <v>18</v>
      </c>
      <c r="R622" t="str">
        <f t="shared" si="19"/>
        <v>II</v>
      </c>
      <c r="S622">
        <f t="shared" si="20"/>
        <v>4.9941666666666669E-2</v>
      </c>
    </row>
    <row r="623" spans="1:19">
      <c r="A623">
        <v>711</v>
      </c>
      <c r="B623" t="s">
        <v>75</v>
      </c>
      <c r="C623">
        <v>0.32500000000000001</v>
      </c>
      <c r="D623">
        <v>0.25</v>
      </c>
      <c r="E623">
        <v>0.08</v>
      </c>
      <c r="F623">
        <v>0.17599999999999999</v>
      </c>
      <c r="G623">
        <v>5.9499999999999997E-2</v>
      </c>
      <c r="H623">
        <v>3.5499999999999997E-2</v>
      </c>
      <c r="I623">
        <v>6.3E-2</v>
      </c>
      <c r="J623">
        <v>7</v>
      </c>
      <c r="K623">
        <v>4</v>
      </c>
      <c r="L623" t="s">
        <v>40</v>
      </c>
      <c r="M623" t="s">
        <v>41</v>
      </c>
      <c r="N623" t="s">
        <v>42</v>
      </c>
      <c r="O623">
        <v>8</v>
      </c>
      <c r="P623" t="s">
        <v>13</v>
      </c>
      <c r="Q623">
        <v>12.3</v>
      </c>
      <c r="R623" t="str">
        <f t="shared" si="19"/>
        <v>II</v>
      </c>
      <c r="S623">
        <f t="shared" si="20"/>
        <v>5.5263999999999994E-2</v>
      </c>
    </row>
    <row r="624" spans="1:19">
      <c r="A624">
        <v>3100</v>
      </c>
      <c r="B624" t="s">
        <v>75</v>
      </c>
      <c r="C624">
        <v>0.57499999999999996</v>
      </c>
      <c r="D624">
        <v>0.48</v>
      </c>
      <c r="E624">
        <v>0.15</v>
      </c>
      <c r="F624">
        <v>0.94650000000000001</v>
      </c>
      <c r="G624">
        <v>0.4355</v>
      </c>
      <c r="H624">
        <v>0.26050000000000001</v>
      </c>
      <c r="I624">
        <v>0.2505</v>
      </c>
      <c r="J624">
        <v>9</v>
      </c>
      <c r="K624">
        <v>12</v>
      </c>
      <c r="L624" t="s">
        <v>58</v>
      </c>
      <c r="M624" t="s">
        <v>59</v>
      </c>
      <c r="N624" t="s">
        <v>45</v>
      </c>
      <c r="O624">
        <v>4</v>
      </c>
      <c r="P624" t="s">
        <v>8</v>
      </c>
      <c r="Q624">
        <v>6.1</v>
      </c>
      <c r="R624" t="str">
        <f t="shared" si="19"/>
        <v>III</v>
      </c>
      <c r="S624">
        <f t="shared" si="20"/>
        <v>0.45826374999999991</v>
      </c>
    </row>
    <row r="625" spans="1:19">
      <c r="A625">
        <v>1918</v>
      </c>
      <c r="B625" t="s">
        <v>75</v>
      </c>
      <c r="C625">
        <v>0.6</v>
      </c>
      <c r="D625">
        <v>0.47499999999999998</v>
      </c>
      <c r="E625">
        <v>0.15</v>
      </c>
      <c r="F625">
        <v>0.99</v>
      </c>
      <c r="G625">
        <v>0.38600000000000001</v>
      </c>
      <c r="H625">
        <v>0.2195</v>
      </c>
      <c r="I625">
        <v>0.3105</v>
      </c>
      <c r="J625">
        <v>10</v>
      </c>
      <c r="K625">
        <v>9</v>
      </c>
      <c r="L625" t="s">
        <v>34</v>
      </c>
      <c r="M625" t="s">
        <v>35</v>
      </c>
      <c r="N625" t="s">
        <v>36</v>
      </c>
      <c r="O625">
        <v>5</v>
      </c>
      <c r="P625" t="s">
        <v>12</v>
      </c>
      <c r="Q625">
        <v>12.8</v>
      </c>
      <c r="R625" t="str">
        <f t="shared" si="19"/>
        <v>II</v>
      </c>
      <c r="S625">
        <f t="shared" si="20"/>
        <v>0.38609999999999989</v>
      </c>
    </row>
    <row r="626" spans="1:19">
      <c r="A626">
        <v>781</v>
      </c>
      <c r="B626" t="s">
        <v>75</v>
      </c>
      <c r="C626">
        <v>0.56000000000000005</v>
      </c>
      <c r="D626">
        <v>0.41</v>
      </c>
      <c r="E626">
        <v>0.16500000000000001</v>
      </c>
      <c r="F626">
        <v>0.93</v>
      </c>
      <c r="G626">
        <v>0.35049999999999998</v>
      </c>
      <c r="H626">
        <v>0.23699999999999999</v>
      </c>
      <c r="I626">
        <v>0.3</v>
      </c>
      <c r="J626">
        <v>13</v>
      </c>
      <c r="K626">
        <v>12</v>
      </c>
      <c r="L626" t="s">
        <v>58</v>
      </c>
      <c r="M626" t="s">
        <v>59</v>
      </c>
      <c r="N626" t="s">
        <v>45</v>
      </c>
      <c r="O626">
        <v>1</v>
      </c>
      <c r="P626" t="s">
        <v>4</v>
      </c>
      <c r="Q626">
        <v>22.1</v>
      </c>
      <c r="R626" t="str">
        <f t="shared" si="19"/>
        <v>II</v>
      </c>
      <c r="S626">
        <f t="shared" si="20"/>
        <v>0.35154000000000007</v>
      </c>
    </row>
    <row r="627" spans="1:19">
      <c r="A627">
        <v>2025</v>
      </c>
      <c r="B627" t="s">
        <v>75</v>
      </c>
      <c r="C627">
        <v>0.54500000000000004</v>
      </c>
      <c r="D627">
        <v>0.44</v>
      </c>
      <c r="E627">
        <v>0.14000000000000001</v>
      </c>
      <c r="F627">
        <v>0.83950000000000002</v>
      </c>
      <c r="G627">
        <v>0.35599999999999998</v>
      </c>
      <c r="H627">
        <v>0.1905</v>
      </c>
      <c r="I627">
        <v>0.23849999999999999</v>
      </c>
      <c r="J627">
        <v>11</v>
      </c>
      <c r="K627">
        <v>13</v>
      </c>
      <c r="L627" t="s">
        <v>43</v>
      </c>
      <c r="M627" t="s">
        <v>44</v>
      </c>
      <c r="N627" t="s">
        <v>45</v>
      </c>
      <c r="O627">
        <v>6</v>
      </c>
      <c r="P627" t="s">
        <v>7</v>
      </c>
      <c r="Q627">
        <v>14.1</v>
      </c>
      <c r="R627" t="str">
        <f t="shared" si="19"/>
        <v>II</v>
      </c>
      <c r="S627">
        <f t="shared" si="20"/>
        <v>0.31621166666666678</v>
      </c>
    </row>
    <row r="628" spans="1:19">
      <c r="A628">
        <v>1173</v>
      </c>
      <c r="B628" t="s">
        <v>75</v>
      </c>
      <c r="C628">
        <v>0.63</v>
      </c>
      <c r="D628">
        <v>0.47</v>
      </c>
      <c r="E628">
        <v>0.155</v>
      </c>
      <c r="F628">
        <v>1.1325000000000001</v>
      </c>
      <c r="G628">
        <v>0.58899999999999997</v>
      </c>
      <c r="H628">
        <v>0.21099999999999999</v>
      </c>
      <c r="I628">
        <v>0.28699999999999998</v>
      </c>
      <c r="J628">
        <v>8</v>
      </c>
      <c r="K628">
        <v>3</v>
      </c>
      <c r="L628" t="s">
        <v>52</v>
      </c>
      <c r="M628" t="s">
        <v>53</v>
      </c>
      <c r="N628" t="s">
        <v>54</v>
      </c>
      <c r="O628">
        <v>7</v>
      </c>
      <c r="P628" t="s">
        <v>6</v>
      </c>
      <c r="Q628">
        <v>2.5</v>
      </c>
      <c r="R628" t="str">
        <f t="shared" si="19"/>
        <v>I</v>
      </c>
      <c r="S628">
        <f t="shared" si="20"/>
        <v>0.83663437500000026</v>
      </c>
    </row>
    <row r="629" spans="1:19">
      <c r="A629">
        <v>1109</v>
      </c>
      <c r="B629" t="s">
        <v>75</v>
      </c>
      <c r="C629">
        <v>0.51500000000000001</v>
      </c>
      <c r="D629">
        <v>0.38500000000000001</v>
      </c>
      <c r="E629">
        <v>0.125</v>
      </c>
      <c r="F629">
        <v>0.61150000000000004</v>
      </c>
      <c r="G629">
        <v>0.3175</v>
      </c>
      <c r="H629">
        <v>0.1265</v>
      </c>
      <c r="I629">
        <v>0.15</v>
      </c>
      <c r="J629">
        <v>8</v>
      </c>
      <c r="K629">
        <v>12</v>
      </c>
      <c r="L629" t="s">
        <v>58</v>
      </c>
      <c r="M629" t="s">
        <v>59</v>
      </c>
      <c r="N629" t="s">
        <v>45</v>
      </c>
      <c r="O629">
        <v>9</v>
      </c>
      <c r="P629" t="s">
        <v>9</v>
      </c>
      <c r="Q629">
        <v>1.9</v>
      </c>
      <c r="R629" t="str">
        <f t="shared" si="19"/>
        <v>II</v>
      </c>
      <c r="S629">
        <f t="shared" si="20"/>
        <v>0.22217833333333334</v>
      </c>
    </row>
    <row r="630" spans="1:19">
      <c r="A630">
        <v>655</v>
      </c>
      <c r="B630" t="s">
        <v>75</v>
      </c>
      <c r="C630">
        <v>0.37</v>
      </c>
      <c r="D630">
        <v>0.28000000000000003</v>
      </c>
      <c r="E630">
        <v>0.11</v>
      </c>
      <c r="F630">
        <v>0.23050000000000001</v>
      </c>
      <c r="G630">
        <v>9.4500000000000001E-2</v>
      </c>
      <c r="H630">
        <v>4.65E-2</v>
      </c>
      <c r="I630">
        <v>7.4999999999999997E-2</v>
      </c>
      <c r="J630">
        <v>10</v>
      </c>
      <c r="K630">
        <v>5</v>
      </c>
      <c r="L630" t="s">
        <v>67</v>
      </c>
      <c r="M630" t="s">
        <v>68</v>
      </c>
      <c r="N630" t="s">
        <v>69</v>
      </c>
      <c r="O630">
        <v>1</v>
      </c>
      <c r="P630" t="s">
        <v>4</v>
      </c>
      <c r="Q630">
        <v>22.1</v>
      </c>
      <c r="R630" t="str">
        <f t="shared" si="19"/>
        <v>II</v>
      </c>
      <c r="S630">
        <f t="shared" si="20"/>
        <v>7.5604000000000005E-2</v>
      </c>
    </row>
    <row r="631" spans="1:19">
      <c r="A631">
        <v>1240</v>
      </c>
      <c r="B631" t="s">
        <v>75</v>
      </c>
      <c r="C631">
        <v>0.375</v>
      </c>
      <c r="D631">
        <v>0.27</v>
      </c>
      <c r="E631">
        <v>8.5000000000000006E-2</v>
      </c>
      <c r="F631">
        <v>0.218</v>
      </c>
      <c r="G631">
        <v>9.4500000000000001E-2</v>
      </c>
      <c r="H631">
        <v>3.9E-2</v>
      </c>
      <c r="I631">
        <v>7.0000000000000007E-2</v>
      </c>
      <c r="J631">
        <v>7</v>
      </c>
      <c r="K631">
        <v>5</v>
      </c>
      <c r="L631" t="s">
        <v>67</v>
      </c>
      <c r="M631" t="s">
        <v>68</v>
      </c>
      <c r="N631" t="s">
        <v>69</v>
      </c>
      <c r="O631">
        <v>1</v>
      </c>
      <c r="P631" t="s">
        <v>4</v>
      </c>
      <c r="Q631">
        <v>22.1</v>
      </c>
      <c r="R631" t="str">
        <f t="shared" si="19"/>
        <v>II</v>
      </c>
      <c r="S631">
        <f t="shared" si="20"/>
        <v>7.0632000000000014E-2</v>
      </c>
    </row>
    <row r="632" spans="1:19">
      <c r="A632">
        <v>2479</v>
      </c>
      <c r="B632" t="s">
        <v>75</v>
      </c>
      <c r="C632">
        <v>0.47</v>
      </c>
      <c r="D632">
        <v>0.35499999999999998</v>
      </c>
      <c r="E632">
        <v>0.18</v>
      </c>
      <c r="F632">
        <v>0.441</v>
      </c>
      <c r="G632">
        <v>0.1525</v>
      </c>
      <c r="H632">
        <v>0.11650000000000001</v>
      </c>
      <c r="I632">
        <v>0.13500000000000001</v>
      </c>
      <c r="J632">
        <v>8</v>
      </c>
      <c r="K632">
        <v>9</v>
      </c>
      <c r="L632" t="s">
        <v>34</v>
      </c>
      <c r="M632" t="s">
        <v>35</v>
      </c>
      <c r="N632" t="s">
        <v>36</v>
      </c>
      <c r="O632">
        <v>10</v>
      </c>
      <c r="P632" t="s">
        <v>11</v>
      </c>
      <c r="Q632">
        <v>24.1</v>
      </c>
      <c r="R632" t="str">
        <f t="shared" si="19"/>
        <v>II</v>
      </c>
      <c r="S632">
        <f t="shared" si="20"/>
        <v>0.159054</v>
      </c>
    </row>
    <row r="633" spans="1:19">
      <c r="A633">
        <v>1685</v>
      </c>
      <c r="B633" t="s">
        <v>75</v>
      </c>
      <c r="C633">
        <v>0.62</v>
      </c>
      <c r="D633">
        <v>0.47</v>
      </c>
      <c r="E633">
        <v>0.14000000000000001</v>
      </c>
      <c r="F633">
        <v>0.85650000000000004</v>
      </c>
      <c r="G633">
        <v>0.35949999999999999</v>
      </c>
      <c r="H633">
        <v>0.16</v>
      </c>
      <c r="I633">
        <v>0.29499999999999998</v>
      </c>
      <c r="J633">
        <v>9</v>
      </c>
      <c r="K633">
        <v>8</v>
      </c>
      <c r="L633" t="s">
        <v>55</v>
      </c>
      <c r="M633" t="s">
        <v>56</v>
      </c>
      <c r="N633" t="s">
        <v>57</v>
      </c>
      <c r="O633">
        <v>6</v>
      </c>
      <c r="P633" t="s">
        <v>7</v>
      </c>
      <c r="Q633">
        <v>14.1</v>
      </c>
      <c r="R633" t="str">
        <f t="shared" si="19"/>
        <v>II</v>
      </c>
      <c r="S633">
        <f t="shared" si="20"/>
        <v>0.33460600000000007</v>
      </c>
    </row>
    <row r="634" spans="1:19">
      <c r="A634">
        <v>675</v>
      </c>
      <c r="B634" t="s">
        <v>75</v>
      </c>
      <c r="C634">
        <v>0.49</v>
      </c>
      <c r="D634">
        <v>0.38500000000000001</v>
      </c>
      <c r="E634">
        <v>0.15</v>
      </c>
      <c r="F634">
        <v>0.78649999999999998</v>
      </c>
      <c r="G634">
        <v>0.24099999999999999</v>
      </c>
      <c r="H634">
        <v>0.14000000000000001</v>
      </c>
      <c r="I634">
        <v>0.24</v>
      </c>
      <c r="J634">
        <v>23</v>
      </c>
      <c r="K634">
        <v>13</v>
      </c>
      <c r="L634" t="s">
        <v>43</v>
      </c>
      <c r="M634" t="s">
        <v>44</v>
      </c>
      <c r="N634" t="s">
        <v>45</v>
      </c>
      <c r="O634">
        <v>10</v>
      </c>
      <c r="P634" t="s">
        <v>11</v>
      </c>
      <c r="Q634">
        <v>24.1</v>
      </c>
      <c r="R634" t="str">
        <f t="shared" si="19"/>
        <v>II</v>
      </c>
      <c r="S634">
        <f t="shared" si="20"/>
        <v>0.28576166666666664</v>
      </c>
    </row>
    <row r="635" spans="1:19">
      <c r="A635">
        <v>156</v>
      </c>
      <c r="B635" t="s">
        <v>75</v>
      </c>
      <c r="C635">
        <v>0.51500000000000001</v>
      </c>
      <c r="D635">
        <v>0.40500000000000003</v>
      </c>
      <c r="E635">
        <v>0.13</v>
      </c>
      <c r="F635">
        <v>0.72199999999999998</v>
      </c>
      <c r="G635">
        <v>0.32</v>
      </c>
      <c r="H635">
        <v>0.13100000000000001</v>
      </c>
      <c r="I635">
        <v>0.21</v>
      </c>
      <c r="J635">
        <v>10</v>
      </c>
      <c r="K635">
        <v>15</v>
      </c>
      <c r="L635" t="s">
        <v>60</v>
      </c>
      <c r="M635" t="s">
        <v>61</v>
      </c>
      <c r="N635" t="s">
        <v>45</v>
      </c>
      <c r="O635">
        <v>2</v>
      </c>
      <c r="P635" t="s">
        <v>5</v>
      </c>
      <c r="Q635">
        <v>18</v>
      </c>
      <c r="R635" t="str">
        <f t="shared" si="19"/>
        <v>II</v>
      </c>
      <c r="S635">
        <f t="shared" si="20"/>
        <v>0.26473333333333332</v>
      </c>
    </row>
    <row r="636" spans="1:19">
      <c r="A636">
        <v>1153</v>
      </c>
      <c r="B636" t="s">
        <v>75</v>
      </c>
      <c r="C636">
        <v>0.59</v>
      </c>
      <c r="D636">
        <v>0.47</v>
      </c>
      <c r="E636">
        <v>0.15</v>
      </c>
      <c r="F636">
        <v>0.99550000000000005</v>
      </c>
      <c r="G636">
        <v>0.48099999999999998</v>
      </c>
      <c r="H636">
        <v>0.23200000000000001</v>
      </c>
      <c r="I636">
        <v>0.24</v>
      </c>
      <c r="J636">
        <v>8</v>
      </c>
      <c r="K636">
        <v>14</v>
      </c>
      <c r="L636" t="s">
        <v>72</v>
      </c>
      <c r="M636" t="s">
        <v>73</v>
      </c>
      <c r="N636" t="s">
        <v>74</v>
      </c>
      <c r="O636">
        <v>10</v>
      </c>
      <c r="P636" t="s">
        <v>11</v>
      </c>
      <c r="Q636">
        <v>24.1</v>
      </c>
      <c r="R636" t="str">
        <f t="shared" si="19"/>
        <v>III</v>
      </c>
      <c r="S636">
        <f t="shared" si="20"/>
        <v>0.48281749999999996</v>
      </c>
    </row>
    <row r="637" spans="1:19">
      <c r="A637">
        <v>2519</v>
      </c>
      <c r="B637" t="s">
        <v>75</v>
      </c>
      <c r="C637">
        <v>0.5</v>
      </c>
      <c r="D637">
        <v>0.4</v>
      </c>
      <c r="E637">
        <v>0.13</v>
      </c>
      <c r="F637">
        <v>0.77149999999999996</v>
      </c>
      <c r="G637">
        <v>0.37</v>
      </c>
      <c r="H637">
        <v>0.16</v>
      </c>
      <c r="I637">
        <v>0.21099999999999999</v>
      </c>
      <c r="J637">
        <v>8</v>
      </c>
      <c r="K637">
        <v>10</v>
      </c>
      <c r="L637" t="s">
        <v>37</v>
      </c>
      <c r="M637" t="s">
        <v>38</v>
      </c>
      <c r="N637" t="s">
        <v>39</v>
      </c>
      <c r="O637">
        <v>7</v>
      </c>
      <c r="P637" t="s">
        <v>6</v>
      </c>
      <c r="Q637">
        <v>2.5</v>
      </c>
      <c r="R637" t="str">
        <f t="shared" si="19"/>
        <v>II</v>
      </c>
      <c r="S637">
        <f t="shared" si="20"/>
        <v>0.28082599999999996</v>
      </c>
    </row>
    <row r="638" spans="1:19">
      <c r="A638">
        <v>3580</v>
      </c>
      <c r="B638" t="s">
        <v>75</v>
      </c>
      <c r="C638">
        <v>0.6</v>
      </c>
      <c r="D638">
        <v>0.48499999999999999</v>
      </c>
      <c r="E638">
        <v>0.14499999999999999</v>
      </c>
      <c r="F638">
        <v>0.77600000000000002</v>
      </c>
      <c r="G638">
        <v>0.35449999999999998</v>
      </c>
      <c r="H638">
        <v>0.1585</v>
      </c>
      <c r="I638">
        <v>0.23899999999999999</v>
      </c>
      <c r="J638">
        <v>9</v>
      </c>
      <c r="K638">
        <v>13</v>
      </c>
      <c r="L638" t="s">
        <v>43</v>
      </c>
      <c r="M638" t="s">
        <v>44</v>
      </c>
      <c r="N638" t="s">
        <v>45</v>
      </c>
      <c r="O638">
        <v>3</v>
      </c>
      <c r="P638" t="s">
        <v>10</v>
      </c>
      <c r="Q638">
        <v>3.6</v>
      </c>
      <c r="R638" t="str">
        <f t="shared" si="19"/>
        <v>II</v>
      </c>
      <c r="S638">
        <f t="shared" si="20"/>
        <v>0.30315733333333333</v>
      </c>
    </row>
    <row r="639" spans="1:19">
      <c r="A639">
        <v>2898</v>
      </c>
      <c r="B639" t="s">
        <v>75</v>
      </c>
      <c r="C639">
        <v>0.54500000000000004</v>
      </c>
      <c r="D639">
        <v>0.43</v>
      </c>
      <c r="E639">
        <v>0.15</v>
      </c>
      <c r="F639">
        <v>0.74199999999999999</v>
      </c>
      <c r="G639">
        <v>0.35249999999999998</v>
      </c>
      <c r="H639">
        <v>0.158</v>
      </c>
      <c r="I639">
        <v>0.20799999999999999</v>
      </c>
      <c r="J639">
        <v>10</v>
      </c>
      <c r="K639">
        <v>12</v>
      </c>
      <c r="L639" t="s">
        <v>58</v>
      </c>
      <c r="M639" t="s">
        <v>59</v>
      </c>
      <c r="N639" t="s">
        <v>45</v>
      </c>
      <c r="O639">
        <v>7</v>
      </c>
      <c r="P639" t="s">
        <v>6</v>
      </c>
      <c r="Q639">
        <v>2.5</v>
      </c>
      <c r="R639" t="str">
        <f t="shared" si="19"/>
        <v>II</v>
      </c>
      <c r="S639">
        <f t="shared" si="20"/>
        <v>0.27948666666666672</v>
      </c>
    </row>
    <row r="640" spans="1:19">
      <c r="A640">
        <v>1772</v>
      </c>
      <c r="B640" t="s">
        <v>75</v>
      </c>
      <c r="C640">
        <v>0.45500000000000002</v>
      </c>
      <c r="D640">
        <v>0.32500000000000001</v>
      </c>
      <c r="E640">
        <v>0.13500000000000001</v>
      </c>
      <c r="F640">
        <v>0.82</v>
      </c>
      <c r="G640">
        <v>0.40050000000000002</v>
      </c>
      <c r="H640">
        <v>0.17150000000000001</v>
      </c>
      <c r="I640">
        <v>0.21099999999999999</v>
      </c>
      <c r="J640">
        <v>8</v>
      </c>
      <c r="K640">
        <v>12</v>
      </c>
      <c r="L640" t="s">
        <v>58</v>
      </c>
      <c r="M640" t="s">
        <v>59</v>
      </c>
      <c r="N640" t="s">
        <v>45</v>
      </c>
      <c r="O640">
        <v>3</v>
      </c>
      <c r="P640" t="s">
        <v>10</v>
      </c>
      <c r="Q640">
        <v>3.6</v>
      </c>
      <c r="R640" t="str">
        <f t="shared" si="19"/>
        <v>III</v>
      </c>
      <c r="S640">
        <f t="shared" si="20"/>
        <v>0.35738333333333328</v>
      </c>
    </row>
    <row r="641" spans="1:19">
      <c r="A641">
        <v>3899</v>
      </c>
      <c r="B641" t="s">
        <v>75</v>
      </c>
      <c r="C641">
        <v>0.56499999999999995</v>
      </c>
      <c r="D641">
        <v>0.46</v>
      </c>
      <c r="E641">
        <v>0.15</v>
      </c>
      <c r="F641">
        <v>0.87649999999999995</v>
      </c>
      <c r="G641">
        <v>0.34549999999999997</v>
      </c>
      <c r="H641">
        <v>0.1925</v>
      </c>
      <c r="I641">
        <v>0.27500000000000002</v>
      </c>
      <c r="J641">
        <v>10</v>
      </c>
      <c r="K641">
        <v>7</v>
      </c>
      <c r="L641" t="s">
        <v>62</v>
      </c>
      <c r="M641" t="s">
        <v>63</v>
      </c>
      <c r="N641" t="s">
        <v>64</v>
      </c>
      <c r="O641">
        <v>9</v>
      </c>
      <c r="P641" t="s">
        <v>9</v>
      </c>
      <c r="Q641">
        <v>1.9</v>
      </c>
      <c r="R641" t="str">
        <f t="shared" si="19"/>
        <v>II</v>
      </c>
      <c r="S641">
        <f t="shared" si="20"/>
        <v>0.33599166666666669</v>
      </c>
    </row>
    <row r="642" spans="1:19">
      <c r="A642">
        <v>686</v>
      </c>
      <c r="B642" t="s">
        <v>75</v>
      </c>
      <c r="C642">
        <v>0.56499999999999995</v>
      </c>
      <c r="D642">
        <v>0.44</v>
      </c>
      <c r="E642">
        <v>0.185</v>
      </c>
      <c r="F642">
        <v>0.90900000000000003</v>
      </c>
      <c r="G642">
        <v>0.34399999999999997</v>
      </c>
      <c r="H642">
        <v>0.23250000000000001</v>
      </c>
      <c r="I642">
        <v>0.255</v>
      </c>
      <c r="J642">
        <v>15</v>
      </c>
      <c r="K642">
        <v>9</v>
      </c>
      <c r="L642" t="s">
        <v>34</v>
      </c>
      <c r="M642" t="s">
        <v>35</v>
      </c>
      <c r="N642" t="s">
        <v>36</v>
      </c>
      <c r="O642">
        <v>7</v>
      </c>
      <c r="P642" t="s">
        <v>6</v>
      </c>
      <c r="Q642">
        <v>2.5</v>
      </c>
      <c r="R642" t="str">
        <f t="shared" si="19"/>
        <v>II</v>
      </c>
      <c r="S642">
        <f t="shared" si="20"/>
        <v>0.35026800000000008</v>
      </c>
    </row>
    <row r="643" spans="1:19">
      <c r="A643">
        <v>1316</v>
      </c>
      <c r="B643" t="s">
        <v>75</v>
      </c>
      <c r="C643">
        <v>0.55000000000000004</v>
      </c>
      <c r="D643">
        <v>0.42499999999999999</v>
      </c>
      <c r="E643">
        <v>0.13500000000000001</v>
      </c>
      <c r="F643">
        <v>0.73050000000000004</v>
      </c>
      <c r="G643">
        <v>0.33250000000000002</v>
      </c>
      <c r="H643">
        <v>0.1545</v>
      </c>
      <c r="I643">
        <v>0.215</v>
      </c>
      <c r="J643">
        <v>9</v>
      </c>
      <c r="K643">
        <v>4</v>
      </c>
      <c r="L643" t="s">
        <v>40</v>
      </c>
      <c r="M643" t="s">
        <v>41</v>
      </c>
      <c r="N643" t="s">
        <v>42</v>
      </c>
      <c r="O643">
        <v>8</v>
      </c>
      <c r="P643" t="s">
        <v>13</v>
      </c>
      <c r="Q643">
        <v>12.3</v>
      </c>
      <c r="R643" t="str">
        <f t="shared" ref="R643:R706" si="21">IF(OR(AND(J643 &gt; 15, B643 = "Infant"), AND(D643 = "Male", C643 &gt; 0.75),
    OR(I643 &gt; 0.8, G643 &gt; 0.5), G643 &gt; 1.2),
    "I",
    IF(OR(AND(I643 &lt; 0.4, G643 &lt; 0.4), AND(J643 &gt; 15, D643 = "Male"), AND(J643 &gt; 18, D643 = "Female"), C643 &lt; 0.36),
    "II",
    "III"))</f>
        <v>II</v>
      </c>
      <c r="S643">
        <f t="shared" ref="S643:S706" si="22">IF(OR(AND(J643 &gt; 15, B643 = "Infant"), AND(D643 = "Male", C643 &gt; 0.75), OR(I643 &gt; 0.8, G643 &gt; 0.5), G643 &gt; 1.2), (1 + (1/3)*(C643 - 0.5) + (1/3)*(D643 - 0.4) + (1/3)*(E643 - 0.4)) * F643 * 0.5 * 1.5, IF(OR(AND(I643 &lt; 0.4, G643 &lt; 0.4), AND(J643 &gt; 15, D643 = "Male"), AND(J643 &gt; 18, D643 = "Female"), C643 &lt; 0.36), (1 + (1/3)*(C643 - 0.5) + (1/3)*(D643 - 0.4) + (1/3)*(E643 - 0.4)) * F643 * 0.5 * 0.8, (1 + (1/3)*(C643 - 0.5) + (1/3)*(D643 - 0.4) + (1/3)*(E643 - 0.4)) * F643 * 0.5))</f>
        <v>0.27369399999999999</v>
      </c>
    </row>
    <row r="644" spans="1:19">
      <c r="A644">
        <v>3900</v>
      </c>
      <c r="B644" t="s">
        <v>75</v>
      </c>
      <c r="C644">
        <v>0.14000000000000001</v>
      </c>
      <c r="D644">
        <v>0.105</v>
      </c>
      <c r="E644">
        <v>3.5000000000000003E-2</v>
      </c>
      <c r="F644">
        <v>1.4500000000000001E-2</v>
      </c>
      <c r="G644">
        <v>5.0000000000000001E-3</v>
      </c>
      <c r="H644">
        <v>3.5000000000000001E-3</v>
      </c>
      <c r="I644">
        <v>5.0000000000000001E-3</v>
      </c>
      <c r="J644">
        <v>4</v>
      </c>
      <c r="K644">
        <v>12</v>
      </c>
      <c r="L644" t="s">
        <v>58</v>
      </c>
      <c r="M644" t="s">
        <v>59</v>
      </c>
      <c r="N644" t="s">
        <v>45</v>
      </c>
      <c r="O644">
        <v>5</v>
      </c>
      <c r="P644" t="s">
        <v>12</v>
      </c>
      <c r="Q644">
        <v>12.8</v>
      </c>
      <c r="R644" t="str">
        <f t="shared" si="21"/>
        <v>II</v>
      </c>
      <c r="S644">
        <f t="shared" si="22"/>
        <v>3.8279999999999998E-3</v>
      </c>
    </row>
    <row r="645" spans="1:19">
      <c r="A645">
        <v>2550</v>
      </c>
      <c r="B645" t="s">
        <v>75</v>
      </c>
      <c r="C645">
        <v>0.28000000000000003</v>
      </c>
      <c r="D645">
        <v>0.21</v>
      </c>
      <c r="E645">
        <v>5.5E-2</v>
      </c>
      <c r="F645">
        <v>0.106</v>
      </c>
      <c r="G645">
        <v>4.1500000000000002E-2</v>
      </c>
      <c r="H645">
        <v>2.6499999999999999E-2</v>
      </c>
      <c r="I645">
        <v>3.1E-2</v>
      </c>
      <c r="J645">
        <v>5</v>
      </c>
      <c r="K645">
        <v>6</v>
      </c>
      <c r="L645" t="s">
        <v>46</v>
      </c>
      <c r="M645" t="s">
        <v>47</v>
      </c>
      <c r="N645" t="s">
        <v>48</v>
      </c>
      <c r="O645">
        <v>6</v>
      </c>
      <c r="P645" t="s">
        <v>7</v>
      </c>
      <c r="Q645">
        <v>14.1</v>
      </c>
      <c r="R645" t="str">
        <f t="shared" si="21"/>
        <v>II</v>
      </c>
      <c r="S645">
        <f t="shared" si="22"/>
        <v>3.1729333333333332E-2</v>
      </c>
    </row>
    <row r="646" spans="1:19">
      <c r="A646">
        <v>1128</v>
      </c>
      <c r="B646" t="s">
        <v>75</v>
      </c>
      <c r="C646">
        <v>0.56000000000000005</v>
      </c>
      <c r="D646">
        <v>0.44500000000000001</v>
      </c>
      <c r="E646">
        <v>0.16</v>
      </c>
      <c r="F646">
        <v>0.89649999999999996</v>
      </c>
      <c r="G646">
        <v>0.42</v>
      </c>
      <c r="H646">
        <v>0.2175</v>
      </c>
      <c r="I646">
        <v>0.2215</v>
      </c>
      <c r="J646">
        <v>8</v>
      </c>
      <c r="K646">
        <v>11</v>
      </c>
      <c r="L646" t="s">
        <v>65</v>
      </c>
      <c r="M646" t="s">
        <v>66</v>
      </c>
      <c r="N646" t="s">
        <v>45</v>
      </c>
      <c r="O646">
        <v>3</v>
      </c>
      <c r="P646" t="s">
        <v>10</v>
      </c>
      <c r="Q646">
        <v>3.6</v>
      </c>
      <c r="R646" t="str">
        <f t="shared" si="21"/>
        <v>III</v>
      </c>
      <c r="S646">
        <f t="shared" si="22"/>
        <v>0.42807874999999995</v>
      </c>
    </row>
    <row r="647" spans="1:19">
      <c r="A647">
        <v>1264</v>
      </c>
      <c r="B647" t="s">
        <v>75</v>
      </c>
      <c r="C647">
        <v>0.45500000000000002</v>
      </c>
      <c r="D647">
        <v>0.36499999999999999</v>
      </c>
      <c r="E647">
        <v>0.115</v>
      </c>
      <c r="F647">
        <v>0.43049999999999999</v>
      </c>
      <c r="G647">
        <v>0.184</v>
      </c>
      <c r="H647">
        <v>0.108</v>
      </c>
      <c r="I647">
        <v>0.1245</v>
      </c>
      <c r="J647">
        <v>8</v>
      </c>
      <c r="K647">
        <v>3</v>
      </c>
      <c r="L647" t="s">
        <v>52</v>
      </c>
      <c r="M647" t="s">
        <v>53</v>
      </c>
      <c r="N647" t="s">
        <v>54</v>
      </c>
      <c r="O647">
        <v>1</v>
      </c>
      <c r="P647" t="s">
        <v>4</v>
      </c>
      <c r="Q647">
        <v>22.1</v>
      </c>
      <c r="R647" t="str">
        <f t="shared" si="21"/>
        <v>II</v>
      </c>
      <c r="S647">
        <f t="shared" si="22"/>
        <v>0.15124899999999999</v>
      </c>
    </row>
    <row r="648" spans="1:19">
      <c r="A648">
        <v>506</v>
      </c>
      <c r="B648" t="s">
        <v>75</v>
      </c>
      <c r="C648">
        <v>0.6</v>
      </c>
      <c r="D648">
        <v>0.47</v>
      </c>
      <c r="E648">
        <v>0.17499999999999999</v>
      </c>
      <c r="F648">
        <v>1.105</v>
      </c>
      <c r="G648">
        <v>0.48649999999999999</v>
      </c>
      <c r="H648">
        <v>0.247</v>
      </c>
      <c r="I648">
        <v>0.315</v>
      </c>
      <c r="J648">
        <v>15</v>
      </c>
      <c r="K648">
        <v>2</v>
      </c>
      <c r="L648" t="s">
        <v>49</v>
      </c>
      <c r="M648" t="s">
        <v>50</v>
      </c>
      <c r="N648" t="s">
        <v>51</v>
      </c>
      <c r="O648">
        <v>1</v>
      </c>
      <c r="P648" t="s">
        <v>4</v>
      </c>
      <c r="Q648">
        <v>22.1</v>
      </c>
      <c r="R648" t="str">
        <f t="shared" si="21"/>
        <v>III</v>
      </c>
      <c r="S648">
        <f t="shared" si="22"/>
        <v>0.54237083333333336</v>
      </c>
    </row>
    <row r="649" spans="1:19">
      <c r="A649">
        <v>2174</v>
      </c>
      <c r="B649" t="s">
        <v>75</v>
      </c>
      <c r="C649">
        <v>0.59499999999999997</v>
      </c>
      <c r="D649">
        <v>0.46500000000000002</v>
      </c>
      <c r="E649">
        <v>0.125</v>
      </c>
      <c r="F649">
        <v>0.79900000000000004</v>
      </c>
      <c r="G649">
        <v>0.32450000000000001</v>
      </c>
      <c r="H649">
        <v>0.2</v>
      </c>
      <c r="I649">
        <v>0.23</v>
      </c>
      <c r="J649">
        <v>10</v>
      </c>
      <c r="K649">
        <v>8</v>
      </c>
      <c r="L649" t="s">
        <v>55</v>
      </c>
      <c r="M649" t="s">
        <v>56</v>
      </c>
      <c r="N649" t="s">
        <v>57</v>
      </c>
      <c r="O649">
        <v>9</v>
      </c>
      <c r="P649" t="s">
        <v>9</v>
      </c>
      <c r="Q649">
        <v>1.9</v>
      </c>
      <c r="R649" t="str">
        <f t="shared" si="21"/>
        <v>II</v>
      </c>
      <c r="S649">
        <f t="shared" si="22"/>
        <v>0.30734866666666671</v>
      </c>
    </row>
    <row r="650" spans="1:19">
      <c r="A650">
        <v>438</v>
      </c>
      <c r="B650" t="s">
        <v>75</v>
      </c>
      <c r="C650">
        <v>0.38500000000000001</v>
      </c>
      <c r="D650">
        <v>0.30499999999999999</v>
      </c>
      <c r="E650">
        <v>9.5000000000000001E-2</v>
      </c>
      <c r="F650">
        <v>0.252</v>
      </c>
      <c r="G650">
        <v>9.1499999999999998E-2</v>
      </c>
      <c r="H650">
        <v>5.5E-2</v>
      </c>
      <c r="I650">
        <v>0.09</v>
      </c>
      <c r="J650">
        <v>14</v>
      </c>
      <c r="K650">
        <v>2</v>
      </c>
      <c r="L650" t="s">
        <v>49</v>
      </c>
      <c r="M650" t="s">
        <v>50</v>
      </c>
      <c r="N650" t="s">
        <v>51</v>
      </c>
      <c r="O650">
        <v>6</v>
      </c>
      <c r="P650" t="s">
        <v>7</v>
      </c>
      <c r="Q650">
        <v>14.1</v>
      </c>
      <c r="R650" t="str">
        <f t="shared" si="21"/>
        <v>II</v>
      </c>
      <c r="S650">
        <f t="shared" si="22"/>
        <v>8.3496000000000001E-2</v>
      </c>
    </row>
    <row r="651" spans="1:19">
      <c r="A651">
        <v>3321</v>
      </c>
      <c r="B651" t="s">
        <v>75</v>
      </c>
      <c r="C651">
        <v>0.53500000000000003</v>
      </c>
      <c r="D651">
        <v>0.42499999999999999</v>
      </c>
      <c r="E651">
        <v>0.155</v>
      </c>
      <c r="F651">
        <v>0.77649999999999997</v>
      </c>
      <c r="G651">
        <v>0.30199999999999999</v>
      </c>
      <c r="H651">
        <v>0.1565</v>
      </c>
      <c r="I651">
        <v>0.25</v>
      </c>
      <c r="J651">
        <v>16</v>
      </c>
      <c r="K651">
        <v>7</v>
      </c>
      <c r="L651" t="s">
        <v>62</v>
      </c>
      <c r="M651" t="s">
        <v>63</v>
      </c>
      <c r="N651" t="s">
        <v>64</v>
      </c>
      <c r="O651">
        <v>9</v>
      </c>
      <c r="P651" t="s">
        <v>9</v>
      </c>
      <c r="Q651">
        <v>1.9</v>
      </c>
      <c r="R651" t="str">
        <f t="shared" si="21"/>
        <v>II</v>
      </c>
      <c r="S651">
        <f t="shared" si="22"/>
        <v>0.29144633333333336</v>
      </c>
    </row>
    <row r="652" spans="1:19">
      <c r="A652">
        <v>2005</v>
      </c>
      <c r="B652" t="s">
        <v>75</v>
      </c>
      <c r="C652">
        <v>0.375</v>
      </c>
      <c r="D652">
        <v>0.27500000000000002</v>
      </c>
      <c r="E652">
        <v>8.5000000000000006E-2</v>
      </c>
      <c r="F652">
        <v>0.22</v>
      </c>
      <c r="G652">
        <v>0.109</v>
      </c>
      <c r="H652">
        <v>0.05</v>
      </c>
      <c r="I652">
        <v>6.0499999999999998E-2</v>
      </c>
      <c r="J652">
        <v>7</v>
      </c>
      <c r="K652">
        <v>15</v>
      </c>
      <c r="L652" t="s">
        <v>60</v>
      </c>
      <c r="M652" t="s">
        <v>61</v>
      </c>
      <c r="N652" t="s">
        <v>45</v>
      </c>
      <c r="O652">
        <v>9</v>
      </c>
      <c r="P652" t="s">
        <v>9</v>
      </c>
      <c r="Q652">
        <v>1.9</v>
      </c>
      <c r="R652" t="str">
        <f t="shared" si="21"/>
        <v>II</v>
      </c>
      <c r="S652">
        <f t="shared" si="22"/>
        <v>7.142666666666668E-2</v>
      </c>
    </row>
    <row r="653" spans="1:19">
      <c r="A653">
        <v>1288</v>
      </c>
      <c r="B653" t="s">
        <v>75</v>
      </c>
      <c r="C653">
        <v>0.505</v>
      </c>
      <c r="D653">
        <v>0.40500000000000003</v>
      </c>
      <c r="E653">
        <v>0.13</v>
      </c>
      <c r="F653">
        <v>0.60150000000000003</v>
      </c>
      <c r="G653">
        <v>0.30149999999999999</v>
      </c>
      <c r="H653">
        <v>0.11</v>
      </c>
      <c r="I653">
        <v>0.18</v>
      </c>
      <c r="J653">
        <v>8</v>
      </c>
      <c r="K653">
        <v>4</v>
      </c>
      <c r="L653" t="s">
        <v>40</v>
      </c>
      <c r="M653" t="s">
        <v>41</v>
      </c>
      <c r="N653" t="s">
        <v>42</v>
      </c>
      <c r="O653">
        <v>5</v>
      </c>
      <c r="P653" t="s">
        <v>12</v>
      </c>
      <c r="Q653">
        <v>12.8</v>
      </c>
      <c r="R653" t="str">
        <f t="shared" si="21"/>
        <v>II</v>
      </c>
      <c r="S653">
        <f t="shared" si="22"/>
        <v>0.21974800000000005</v>
      </c>
    </row>
    <row r="654" spans="1:19">
      <c r="A654">
        <v>1224</v>
      </c>
      <c r="B654" t="s">
        <v>75</v>
      </c>
      <c r="C654">
        <v>0.34</v>
      </c>
      <c r="D654">
        <v>0.25</v>
      </c>
      <c r="E654">
        <v>0.09</v>
      </c>
      <c r="F654">
        <v>0.17899999999999999</v>
      </c>
      <c r="G654">
        <v>7.7499999999999999E-2</v>
      </c>
      <c r="H654">
        <v>3.3000000000000002E-2</v>
      </c>
      <c r="I654">
        <v>5.5E-2</v>
      </c>
      <c r="J654">
        <v>6</v>
      </c>
      <c r="K654">
        <v>14</v>
      </c>
      <c r="L654" t="s">
        <v>72</v>
      </c>
      <c r="M654" t="s">
        <v>73</v>
      </c>
      <c r="N654" t="s">
        <v>74</v>
      </c>
      <c r="O654">
        <v>8</v>
      </c>
      <c r="P654" t="s">
        <v>13</v>
      </c>
      <c r="Q654">
        <v>12.3</v>
      </c>
      <c r="R654" t="str">
        <f t="shared" si="21"/>
        <v>II</v>
      </c>
      <c r="S654">
        <f t="shared" si="22"/>
        <v>5.6802666666666661E-2</v>
      </c>
    </row>
    <row r="655" spans="1:19">
      <c r="A655">
        <v>3868</v>
      </c>
      <c r="B655" t="s">
        <v>75</v>
      </c>
      <c r="C655">
        <v>0.5</v>
      </c>
      <c r="D655">
        <v>0.39</v>
      </c>
      <c r="E655">
        <v>0.13</v>
      </c>
      <c r="F655">
        <v>0.63549999999999995</v>
      </c>
      <c r="G655">
        <v>0.2505</v>
      </c>
      <c r="H655">
        <v>0.16350000000000001</v>
      </c>
      <c r="I655">
        <v>0.19500000000000001</v>
      </c>
      <c r="J655">
        <v>15</v>
      </c>
      <c r="K655">
        <v>6</v>
      </c>
      <c r="L655" t="s">
        <v>46</v>
      </c>
      <c r="M655" t="s">
        <v>47</v>
      </c>
      <c r="N655" t="s">
        <v>48</v>
      </c>
      <c r="O655">
        <v>10</v>
      </c>
      <c r="P655" t="s">
        <v>11</v>
      </c>
      <c r="Q655">
        <v>24.1</v>
      </c>
      <c r="R655" t="str">
        <f t="shared" si="21"/>
        <v>II</v>
      </c>
      <c r="S655">
        <f t="shared" si="22"/>
        <v>0.23047466666666666</v>
      </c>
    </row>
    <row r="656" spans="1:19">
      <c r="A656">
        <v>301</v>
      </c>
      <c r="B656" t="s">
        <v>75</v>
      </c>
      <c r="C656">
        <v>0.40500000000000003</v>
      </c>
      <c r="D656">
        <v>0.30499999999999999</v>
      </c>
      <c r="E656">
        <v>9.5000000000000001E-2</v>
      </c>
      <c r="F656">
        <v>0.34849999999999998</v>
      </c>
      <c r="G656">
        <v>0.14549999999999999</v>
      </c>
      <c r="H656">
        <v>8.9499999999999996E-2</v>
      </c>
      <c r="I656">
        <v>0.1</v>
      </c>
      <c r="J656">
        <v>9</v>
      </c>
      <c r="K656">
        <v>1</v>
      </c>
      <c r="L656" t="s">
        <v>70</v>
      </c>
      <c r="M656" t="s">
        <v>71</v>
      </c>
      <c r="N656" t="s">
        <v>45</v>
      </c>
      <c r="O656">
        <v>5</v>
      </c>
      <c r="P656" t="s">
        <v>12</v>
      </c>
      <c r="Q656">
        <v>12.8</v>
      </c>
      <c r="R656" t="str">
        <f t="shared" si="21"/>
        <v>II</v>
      </c>
      <c r="S656">
        <f t="shared" si="22"/>
        <v>0.11639900000000002</v>
      </c>
    </row>
    <row r="657" spans="1:19">
      <c r="A657">
        <v>3038</v>
      </c>
      <c r="B657" t="s">
        <v>75</v>
      </c>
      <c r="C657">
        <v>0.56000000000000005</v>
      </c>
      <c r="D657">
        <v>0.45</v>
      </c>
      <c r="E657">
        <v>0.14499999999999999</v>
      </c>
      <c r="F657">
        <v>0.89400000000000002</v>
      </c>
      <c r="G657">
        <v>0.38850000000000001</v>
      </c>
      <c r="H657">
        <v>0.20949999999999999</v>
      </c>
      <c r="I657">
        <v>0.26400000000000001</v>
      </c>
      <c r="J657">
        <v>9</v>
      </c>
      <c r="K657">
        <v>8</v>
      </c>
      <c r="L657" t="s">
        <v>55</v>
      </c>
      <c r="M657" t="s">
        <v>56</v>
      </c>
      <c r="N657" t="s">
        <v>57</v>
      </c>
      <c r="O657">
        <v>4</v>
      </c>
      <c r="P657" t="s">
        <v>8</v>
      </c>
      <c r="Q657">
        <v>6.1</v>
      </c>
      <c r="R657" t="str">
        <f t="shared" si="21"/>
        <v>II</v>
      </c>
      <c r="S657">
        <f t="shared" si="22"/>
        <v>0.34031600000000006</v>
      </c>
    </row>
    <row r="658" spans="1:19">
      <c r="A658">
        <v>38</v>
      </c>
      <c r="B658" t="s">
        <v>75</v>
      </c>
      <c r="C658">
        <v>0.45</v>
      </c>
      <c r="D658">
        <v>0.35499999999999998</v>
      </c>
      <c r="E658">
        <v>0.105</v>
      </c>
      <c r="F658">
        <v>0.52249999999999996</v>
      </c>
      <c r="G658">
        <v>0.23699999999999999</v>
      </c>
      <c r="H658">
        <v>0.11650000000000001</v>
      </c>
      <c r="I658">
        <v>0.14499999999999999</v>
      </c>
      <c r="J658">
        <v>8</v>
      </c>
      <c r="K658">
        <v>13</v>
      </c>
      <c r="L658" t="s">
        <v>43</v>
      </c>
      <c r="M658" t="s">
        <v>44</v>
      </c>
      <c r="N658" t="s">
        <v>45</v>
      </c>
      <c r="O658">
        <v>5</v>
      </c>
      <c r="P658" t="s">
        <v>12</v>
      </c>
      <c r="Q658">
        <v>12.8</v>
      </c>
      <c r="R658" t="str">
        <f t="shared" si="21"/>
        <v>II</v>
      </c>
      <c r="S658">
        <f t="shared" si="22"/>
        <v>0.18182999999999999</v>
      </c>
    </row>
    <row r="659" spans="1:19">
      <c r="A659">
        <v>80</v>
      </c>
      <c r="B659" t="s">
        <v>75</v>
      </c>
      <c r="C659">
        <v>0.61499999999999999</v>
      </c>
      <c r="D659">
        <v>0.47499999999999998</v>
      </c>
      <c r="E659">
        <v>0.17</v>
      </c>
      <c r="F659">
        <v>1.1025</v>
      </c>
      <c r="G659">
        <v>0.46949999999999997</v>
      </c>
      <c r="H659">
        <v>0.23549999999999999</v>
      </c>
      <c r="I659">
        <v>0.34499999999999997</v>
      </c>
      <c r="J659">
        <v>14</v>
      </c>
      <c r="K659">
        <v>15</v>
      </c>
      <c r="L659" t="s">
        <v>60</v>
      </c>
      <c r="M659" t="s">
        <v>61</v>
      </c>
      <c r="N659" t="s">
        <v>45</v>
      </c>
      <c r="O659">
        <v>8</v>
      </c>
      <c r="P659" t="s">
        <v>13</v>
      </c>
      <c r="Q659">
        <v>12.3</v>
      </c>
      <c r="R659" t="str">
        <f t="shared" si="21"/>
        <v>III</v>
      </c>
      <c r="S659">
        <f t="shared" si="22"/>
        <v>0.54389999999999994</v>
      </c>
    </row>
    <row r="660" spans="1:19">
      <c r="A660">
        <v>3811</v>
      </c>
      <c r="B660" t="s">
        <v>75</v>
      </c>
      <c r="C660">
        <v>0.52500000000000002</v>
      </c>
      <c r="D660">
        <v>0.4</v>
      </c>
      <c r="E660">
        <v>0.125</v>
      </c>
      <c r="F660">
        <v>0.5655</v>
      </c>
      <c r="G660">
        <v>0.24349999999999999</v>
      </c>
      <c r="H660">
        <v>0.11899999999999999</v>
      </c>
      <c r="I660">
        <v>0.17499999999999999</v>
      </c>
      <c r="J660">
        <v>8</v>
      </c>
      <c r="K660">
        <v>1</v>
      </c>
      <c r="L660" t="s">
        <v>70</v>
      </c>
      <c r="M660" t="s">
        <v>71</v>
      </c>
      <c r="N660" t="s">
        <v>45</v>
      </c>
      <c r="O660">
        <v>8</v>
      </c>
      <c r="P660" t="s">
        <v>13</v>
      </c>
      <c r="Q660">
        <v>12.3</v>
      </c>
      <c r="R660" t="str">
        <f t="shared" si="21"/>
        <v>II</v>
      </c>
      <c r="S660">
        <f t="shared" si="22"/>
        <v>0.20735000000000003</v>
      </c>
    </row>
    <row r="661" spans="1:19">
      <c r="A661">
        <v>1582</v>
      </c>
      <c r="B661" t="s">
        <v>75</v>
      </c>
      <c r="C661">
        <v>0.5</v>
      </c>
      <c r="D661">
        <v>0.39</v>
      </c>
      <c r="E661">
        <v>0.12</v>
      </c>
      <c r="F661">
        <v>0.59550000000000003</v>
      </c>
      <c r="G661">
        <v>0.2455</v>
      </c>
      <c r="H661">
        <v>0.14699999999999999</v>
      </c>
      <c r="I661">
        <v>0.17299999999999999</v>
      </c>
      <c r="J661">
        <v>8</v>
      </c>
      <c r="K661">
        <v>2</v>
      </c>
      <c r="L661" t="s">
        <v>49</v>
      </c>
      <c r="M661" t="s">
        <v>50</v>
      </c>
      <c r="N661" t="s">
        <v>51</v>
      </c>
      <c r="O661">
        <v>9</v>
      </c>
      <c r="P661" t="s">
        <v>9</v>
      </c>
      <c r="Q661">
        <v>1.9</v>
      </c>
      <c r="R661" t="str">
        <f t="shared" si="21"/>
        <v>II</v>
      </c>
      <c r="S661">
        <f t="shared" si="22"/>
        <v>0.21517400000000003</v>
      </c>
    </row>
    <row r="662" spans="1:19">
      <c r="A662">
        <v>1092</v>
      </c>
      <c r="B662" t="s">
        <v>75</v>
      </c>
      <c r="C662">
        <v>0.45</v>
      </c>
      <c r="D662">
        <v>0.33</v>
      </c>
      <c r="E662">
        <v>0.11</v>
      </c>
      <c r="F662">
        <v>0.36849999999999999</v>
      </c>
      <c r="G662">
        <v>0.16</v>
      </c>
      <c r="H662">
        <v>8.8499999999999995E-2</v>
      </c>
      <c r="I662">
        <v>0.10199999999999999</v>
      </c>
      <c r="J662">
        <v>6</v>
      </c>
      <c r="K662">
        <v>2</v>
      </c>
      <c r="L662" t="s">
        <v>49</v>
      </c>
      <c r="M662" t="s">
        <v>50</v>
      </c>
      <c r="N662" t="s">
        <v>51</v>
      </c>
      <c r="O662">
        <v>3</v>
      </c>
      <c r="P662" t="s">
        <v>10</v>
      </c>
      <c r="Q662">
        <v>3.6</v>
      </c>
      <c r="R662" t="str">
        <f t="shared" si="21"/>
        <v>II</v>
      </c>
      <c r="S662">
        <f t="shared" si="22"/>
        <v>0.12725533333333336</v>
      </c>
    </row>
    <row r="663" spans="1:19">
      <c r="A663">
        <v>4130</v>
      </c>
      <c r="B663" t="s">
        <v>75</v>
      </c>
      <c r="C663">
        <v>0.56999999999999995</v>
      </c>
      <c r="D663">
        <v>0.42499999999999999</v>
      </c>
      <c r="E663">
        <v>0.14000000000000001</v>
      </c>
      <c r="F663">
        <v>0.76549999999999996</v>
      </c>
      <c r="G663">
        <v>0.33100000000000002</v>
      </c>
      <c r="H663">
        <v>0.14000000000000001</v>
      </c>
      <c r="I663">
        <v>0.24</v>
      </c>
      <c r="J663">
        <v>10</v>
      </c>
      <c r="K663">
        <v>5</v>
      </c>
      <c r="L663" t="s">
        <v>67</v>
      </c>
      <c r="M663" t="s">
        <v>68</v>
      </c>
      <c r="N663" t="s">
        <v>69</v>
      </c>
      <c r="O663">
        <v>3</v>
      </c>
      <c r="P663" t="s">
        <v>10</v>
      </c>
      <c r="Q663">
        <v>3.6</v>
      </c>
      <c r="R663" t="str">
        <f t="shared" si="21"/>
        <v>II</v>
      </c>
      <c r="S663">
        <f t="shared" si="22"/>
        <v>0.28935900000000003</v>
      </c>
    </row>
    <row r="664" spans="1:19">
      <c r="A664">
        <v>2237</v>
      </c>
      <c r="B664" t="s">
        <v>75</v>
      </c>
      <c r="C664">
        <v>0.56000000000000005</v>
      </c>
      <c r="D664">
        <v>0.435</v>
      </c>
      <c r="E664">
        <v>0.185</v>
      </c>
      <c r="F664">
        <v>1.1060000000000001</v>
      </c>
      <c r="G664">
        <v>0.42199999999999999</v>
      </c>
      <c r="H664">
        <v>0.24349999999999999</v>
      </c>
      <c r="I664">
        <v>0.33</v>
      </c>
      <c r="J664">
        <v>15</v>
      </c>
      <c r="K664">
        <v>6</v>
      </c>
      <c r="L664" t="s">
        <v>46</v>
      </c>
      <c r="M664" t="s">
        <v>47</v>
      </c>
      <c r="N664" t="s">
        <v>48</v>
      </c>
      <c r="O664">
        <v>6</v>
      </c>
      <c r="P664" t="s">
        <v>7</v>
      </c>
      <c r="Q664">
        <v>14.1</v>
      </c>
      <c r="R664" t="str">
        <f t="shared" si="21"/>
        <v>III</v>
      </c>
      <c r="S664">
        <f t="shared" si="22"/>
        <v>0.53088000000000013</v>
      </c>
    </row>
    <row r="665" spans="1:19">
      <c r="A665">
        <v>2135</v>
      </c>
      <c r="B665" t="s">
        <v>75</v>
      </c>
      <c r="C665">
        <v>0.44</v>
      </c>
      <c r="D665">
        <v>0.33</v>
      </c>
      <c r="E665">
        <v>0.115</v>
      </c>
      <c r="F665">
        <v>0.40050000000000002</v>
      </c>
      <c r="G665">
        <v>0.14299999999999999</v>
      </c>
      <c r="H665">
        <v>0.113</v>
      </c>
      <c r="I665">
        <v>0.12</v>
      </c>
      <c r="J665">
        <v>8</v>
      </c>
      <c r="K665">
        <v>2</v>
      </c>
      <c r="L665" t="s">
        <v>49</v>
      </c>
      <c r="M665" t="s">
        <v>50</v>
      </c>
      <c r="N665" t="s">
        <v>51</v>
      </c>
      <c r="O665">
        <v>1</v>
      </c>
      <c r="P665" t="s">
        <v>4</v>
      </c>
      <c r="Q665">
        <v>22.1</v>
      </c>
      <c r="R665" t="str">
        <f t="shared" si="21"/>
        <v>II</v>
      </c>
      <c r="S665">
        <f t="shared" si="22"/>
        <v>0.13803900000000002</v>
      </c>
    </row>
    <row r="666" spans="1:19">
      <c r="A666">
        <v>3439</v>
      </c>
      <c r="B666" t="s">
        <v>75</v>
      </c>
      <c r="C666">
        <v>0.43</v>
      </c>
      <c r="D666">
        <v>0.33500000000000002</v>
      </c>
      <c r="E666">
        <v>0.105</v>
      </c>
      <c r="F666">
        <v>0.378</v>
      </c>
      <c r="G666">
        <v>0.188</v>
      </c>
      <c r="H666">
        <v>7.85E-2</v>
      </c>
      <c r="I666">
        <v>0.09</v>
      </c>
      <c r="J666">
        <v>6</v>
      </c>
      <c r="K666">
        <v>4</v>
      </c>
      <c r="L666" t="s">
        <v>40</v>
      </c>
      <c r="M666" t="s">
        <v>41</v>
      </c>
      <c r="N666" t="s">
        <v>42</v>
      </c>
      <c r="O666">
        <v>8</v>
      </c>
      <c r="P666" t="s">
        <v>13</v>
      </c>
      <c r="Q666">
        <v>12.3</v>
      </c>
      <c r="R666" t="str">
        <f t="shared" si="21"/>
        <v>II</v>
      </c>
      <c r="S666">
        <f t="shared" si="22"/>
        <v>0.129528</v>
      </c>
    </row>
    <row r="667" spans="1:19">
      <c r="A667">
        <v>703</v>
      </c>
      <c r="B667" t="s">
        <v>75</v>
      </c>
      <c r="C667">
        <v>0.44500000000000001</v>
      </c>
      <c r="D667">
        <v>0.33</v>
      </c>
      <c r="E667">
        <v>0.105</v>
      </c>
      <c r="F667">
        <v>0.45250000000000001</v>
      </c>
      <c r="G667">
        <v>0.18</v>
      </c>
      <c r="H667">
        <v>0.10299999999999999</v>
      </c>
      <c r="I667">
        <v>0.123</v>
      </c>
      <c r="J667">
        <v>9</v>
      </c>
      <c r="K667">
        <v>9</v>
      </c>
      <c r="L667" t="s">
        <v>34</v>
      </c>
      <c r="M667" t="s">
        <v>35</v>
      </c>
      <c r="N667" t="s">
        <v>36</v>
      </c>
      <c r="O667">
        <v>7</v>
      </c>
      <c r="P667" t="s">
        <v>6</v>
      </c>
      <c r="Q667">
        <v>2.5</v>
      </c>
      <c r="R667" t="str">
        <f t="shared" si="21"/>
        <v>II</v>
      </c>
      <c r="S667">
        <f t="shared" si="22"/>
        <v>0.15566000000000002</v>
      </c>
    </row>
    <row r="668" spans="1:19">
      <c r="A668">
        <v>2362</v>
      </c>
      <c r="B668" t="s">
        <v>75</v>
      </c>
      <c r="C668">
        <v>0.55000000000000004</v>
      </c>
      <c r="D668">
        <v>0.45</v>
      </c>
      <c r="E668">
        <v>0.155</v>
      </c>
      <c r="F668">
        <v>0.78949999999999998</v>
      </c>
      <c r="G668">
        <v>0.34300000000000003</v>
      </c>
      <c r="H668">
        <v>0.159</v>
      </c>
      <c r="I668">
        <v>0.25</v>
      </c>
      <c r="J668">
        <v>12</v>
      </c>
      <c r="K668">
        <v>4</v>
      </c>
      <c r="L668" t="s">
        <v>40</v>
      </c>
      <c r="M668" t="s">
        <v>41</v>
      </c>
      <c r="N668" t="s">
        <v>42</v>
      </c>
      <c r="O668">
        <v>8</v>
      </c>
      <c r="P668" t="s">
        <v>13</v>
      </c>
      <c r="Q668">
        <v>12.3</v>
      </c>
      <c r="R668" t="str">
        <f t="shared" si="21"/>
        <v>II</v>
      </c>
      <c r="S668">
        <f t="shared" si="22"/>
        <v>0.30053633333333329</v>
      </c>
    </row>
    <row r="669" spans="1:19">
      <c r="A669">
        <v>337</v>
      </c>
      <c r="B669" t="s">
        <v>75</v>
      </c>
      <c r="C669">
        <v>0.6</v>
      </c>
      <c r="D669">
        <v>0.47499999999999998</v>
      </c>
      <c r="E669">
        <v>0.19</v>
      </c>
      <c r="F669">
        <v>1.0874999999999999</v>
      </c>
      <c r="G669">
        <v>0.40300000000000002</v>
      </c>
      <c r="H669">
        <v>0.26550000000000001</v>
      </c>
      <c r="I669">
        <v>0.32500000000000001</v>
      </c>
      <c r="J669">
        <v>14</v>
      </c>
      <c r="K669">
        <v>3</v>
      </c>
      <c r="L669" t="s">
        <v>52</v>
      </c>
      <c r="M669" t="s">
        <v>53</v>
      </c>
      <c r="N669" t="s">
        <v>54</v>
      </c>
      <c r="O669">
        <v>3</v>
      </c>
      <c r="P669" t="s">
        <v>10</v>
      </c>
      <c r="Q669">
        <v>3.6</v>
      </c>
      <c r="R669" t="str">
        <f t="shared" si="21"/>
        <v>III</v>
      </c>
      <c r="S669">
        <f t="shared" si="22"/>
        <v>0.53740624999999986</v>
      </c>
    </row>
    <row r="670" spans="1:19">
      <c r="A670">
        <v>2000</v>
      </c>
      <c r="B670" t="s">
        <v>76</v>
      </c>
      <c r="C670">
        <v>0.35</v>
      </c>
      <c r="D670">
        <v>0.25</v>
      </c>
      <c r="E670">
        <v>7.0000000000000007E-2</v>
      </c>
      <c r="F670">
        <v>0.1605</v>
      </c>
      <c r="G670">
        <v>7.1499999999999994E-2</v>
      </c>
      <c r="H670">
        <v>3.3500000000000002E-2</v>
      </c>
      <c r="I670">
        <v>4.5999999999999999E-2</v>
      </c>
      <c r="J670">
        <v>6</v>
      </c>
      <c r="K670">
        <v>1</v>
      </c>
      <c r="L670" t="s">
        <v>70</v>
      </c>
      <c r="M670" t="s">
        <v>71</v>
      </c>
      <c r="N670" t="s">
        <v>45</v>
      </c>
      <c r="O670">
        <v>5</v>
      </c>
      <c r="P670" t="s">
        <v>12</v>
      </c>
      <c r="Q670">
        <v>12.8</v>
      </c>
      <c r="R670" t="str">
        <f t="shared" si="21"/>
        <v>II</v>
      </c>
      <c r="S670">
        <f t="shared" si="22"/>
        <v>5.0717999999999999E-2</v>
      </c>
    </row>
    <row r="671" spans="1:19">
      <c r="A671">
        <v>419</v>
      </c>
      <c r="B671" t="s">
        <v>76</v>
      </c>
      <c r="C671">
        <v>0.63</v>
      </c>
      <c r="D671">
        <v>0.5</v>
      </c>
      <c r="E671">
        <v>0.155</v>
      </c>
      <c r="F671">
        <v>1.0049999999999999</v>
      </c>
      <c r="G671">
        <v>0.36699999999999999</v>
      </c>
      <c r="H671">
        <v>0.19900000000000001</v>
      </c>
      <c r="I671">
        <v>0.36</v>
      </c>
      <c r="J671">
        <v>16</v>
      </c>
      <c r="K671">
        <v>1</v>
      </c>
      <c r="L671" t="s">
        <v>70</v>
      </c>
      <c r="M671" t="s">
        <v>71</v>
      </c>
      <c r="N671" t="s">
        <v>45</v>
      </c>
      <c r="O671">
        <v>10</v>
      </c>
      <c r="P671" t="s">
        <v>11</v>
      </c>
      <c r="Q671">
        <v>24.1</v>
      </c>
      <c r="R671" t="str">
        <f t="shared" si="21"/>
        <v>II</v>
      </c>
      <c r="S671">
        <f t="shared" si="22"/>
        <v>0.39998999999999996</v>
      </c>
    </row>
    <row r="672" spans="1:19">
      <c r="A672">
        <v>176</v>
      </c>
      <c r="B672" t="s">
        <v>76</v>
      </c>
      <c r="C672">
        <v>0.36</v>
      </c>
      <c r="D672">
        <v>0.26</v>
      </c>
      <c r="E672">
        <v>0.09</v>
      </c>
      <c r="F672">
        <v>0.17849999999999999</v>
      </c>
      <c r="G672">
        <v>6.4500000000000002E-2</v>
      </c>
      <c r="H672">
        <v>3.6999999999999998E-2</v>
      </c>
      <c r="I672">
        <v>7.4999999999999997E-2</v>
      </c>
      <c r="J672">
        <v>7</v>
      </c>
      <c r="K672">
        <v>9</v>
      </c>
      <c r="L672" t="s">
        <v>34</v>
      </c>
      <c r="M672" t="s">
        <v>35</v>
      </c>
      <c r="N672" t="s">
        <v>36</v>
      </c>
      <c r="O672">
        <v>5</v>
      </c>
      <c r="P672" t="s">
        <v>12</v>
      </c>
      <c r="Q672">
        <v>12.8</v>
      </c>
      <c r="R672" t="str">
        <f t="shared" si="21"/>
        <v>II</v>
      </c>
      <c r="S672">
        <f t="shared" si="22"/>
        <v>5.7357999999999999E-2</v>
      </c>
    </row>
    <row r="673" spans="1:19">
      <c r="A673">
        <v>3207</v>
      </c>
      <c r="B673" t="s">
        <v>76</v>
      </c>
      <c r="C673">
        <v>0.29499999999999998</v>
      </c>
      <c r="D673">
        <v>0.215</v>
      </c>
      <c r="E673">
        <v>7.4999999999999997E-2</v>
      </c>
      <c r="F673">
        <v>0.11600000000000001</v>
      </c>
      <c r="G673">
        <v>3.6999999999999998E-2</v>
      </c>
      <c r="H673">
        <v>2.9499999999999998E-2</v>
      </c>
      <c r="I673">
        <v>0.04</v>
      </c>
      <c r="J673">
        <v>8</v>
      </c>
      <c r="K673">
        <v>14</v>
      </c>
      <c r="L673" t="s">
        <v>72</v>
      </c>
      <c r="M673" t="s">
        <v>73</v>
      </c>
      <c r="N673" t="s">
        <v>74</v>
      </c>
      <c r="O673">
        <v>3</v>
      </c>
      <c r="P673" t="s">
        <v>10</v>
      </c>
      <c r="Q673">
        <v>3.6</v>
      </c>
      <c r="R673" t="str">
        <f t="shared" si="21"/>
        <v>II</v>
      </c>
      <c r="S673">
        <f t="shared" si="22"/>
        <v>3.5341333333333336E-2</v>
      </c>
    </row>
    <row r="674" spans="1:19">
      <c r="A674">
        <v>2421</v>
      </c>
      <c r="B674" t="s">
        <v>76</v>
      </c>
      <c r="C674">
        <v>0.35</v>
      </c>
      <c r="D674">
        <v>0.255</v>
      </c>
      <c r="E674">
        <v>8.5000000000000006E-2</v>
      </c>
      <c r="F674">
        <v>0.2145</v>
      </c>
      <c r="G674">
        <v>0.1</v>
      </c>
      <c r="H674">
        <v>4.65E-2</v>
      </c>
      <c r="I674">
        <v>0.06</v>
      </c>
      <c r="J674">
        <v>13</v>
      </c>
      <c r="K674">
        <v>12</v>
      </c>
      <c r="L674" t="s">
        <v>58</v>
      </c>
      <c r="M674" t="s">
        <v>59</v>
      </c>
      <c r="N674" t="s">
        <v>45</v>
      </c>
      <c r="O674">
        <v>6</v>
      </c>
      <c r="P674" t="s">
        <v>7</v>
      </c>
      <c r="Q674">
        <v>14.1</v>
      </c>
      <c r="R674" t="str">
        <f t="shared" si="21"/>
        <v>II</v>
      </c>
      <c r="S674">
        <f t="shared" si="22"/>
        <v>6.8353999999999998E-2</v>
      </c>
    </row>
    <row r="675" spans="1:19">
      <c r="A675">
        <v>29</v>
      </c>
      <c r="B675" t="s">
        <v>76</v>
      </c>
      <c r="C675">
        <v>0.60499999999999998</v>
      </c>
      <c r="D675">
        <v>0.47499999999999998</v>
      </c>
      <c r="E675">
        <v>0.18</v>
      </c>
      <c r="F675">
        <v>0.9365</v>
      </c>
      <c r="G675">
        <v>0.39400000000000002</v>
      </c>
      <c r="H675">
        <v>0.219</v>
      </c>
      <c r="I675">
        <v>0.29499999999999998</v>
      </c>
      <c r="J675">
        <v>15</v>
      </c>
      <c r="K675">
        <v>5</v>
      </c>
      <c r="L675" t="s">
        <v>67</v>
      </c>
      <c r="M675" t="s">
        <v>68</v>
      </c>
      <c r="N675" t="s">
        <v>69</v>
      </c>
      <c r="O675">
        <v>3</v>
      </c>
      <c r="P675" t="s">
        <v>10</v>
      </c>
      <c r="Q675">
        <v>3.6</v>
      </c>
      <c r="R675" t="str">
        <f t="shared" si="21"/>
        <v>II</v>
      </c>
      <c r="S675">
        <f t="shared" si="22"/>
        <v>0.36960533333333329</v>
      </c>
    </row>
    <row r="676" spans="1:19">
      <c r="A676">
        <v>474</v>
      </c>
      <c r="B676" t="s">
        <v>76</v>
      </c>
      <c r="C676">
        <v>0.52</v>
      </c>
      <c r="D676">
        <v>0.40500000000000003</v>
      </c>
      <c r="E676">
        <v>0.12</v>
      </c>
      <c r="F676">
        <v>0.627</v>
      </c>
      <c r="G676">
        <v>0.26450000000000001</v>
      </c>
      <c r="H676">
        <v>0.14149999999999999</v>
      </c>
      <c r="I676">
        <v>0.18099999999999999</v>
      </c>
      <c r="J676">
        <v>11</v>
      </c>
      <c r="K676">
        <v>4</v>
      </c>
      <c r="L676" t="s">
        <v>40</v>
      </c>
      <c r="M676" t="s">
        <v>41</v>
      </c>
      <c r="N676" t="s">
        <v>42</v>
      </c>
      <c r="O676">
        <v>9</v>
      </c>
      <c r="P676" t="s">
        <v>9</v>
      </c>
      <c r="Q676">
        <v>1.9</v>
      </c>
      <c r="R676" t="str">
        <f t="shared" si="21"/>
        <v>II</v>
      </c>
      <c r="S676">
        <f t="shared" si="22"/>
        <v>0.22948199999999996</v>
      </c>
    </row>
    <row r="677" spans="1:19">
      <c r="A677">
        <v>1175</v>
      </c>
      <c r="B677" t="s">
        <v>76</v>
      </c>
      <c r="C677">
        <v>0.63500000000000001</v>
      </c>
      <c r="D677">
        <v>0.495</v>
      </c>
      <c r="E677">
        <v>1.4999999999999999E-2</v>
      </c>
      <c r="F677">
        <v>1.1565000000000001</v>
      </c>
      <c r="G677">
        <v>0.51149999999999995</v>
      </c>
      <c r="H677">
        <v>0.308</v>
      </c>
      <c r="I677">
        <v>0.28849999999999998</v>
      </c>
      <c r="J677">
        <v>9</v>
      </c>
      <c r="K677">
        <v>12</v>
      </c>
      <c r="L677" t="s">
        <v>58</v>
      </c>
      <c r="M677" t="s">
        <v>59</v>
      </c>
      <c r="N677" t="s">
        <v>45</v>
      </c>
      <c r="O677">
        <v>10</v>
      </c>
      <c r="P677" t="s">
        <v>11</v>
      </c>
      <c r="Q677">
        <v>24.1</v>
      </c>
      <c r="R677" t="str">
        <f t="shared" si="21"/>
        <v>I</v>
      </c>
      <c r="S677">
        <f t="shared" si="22"/>
        <v>0.82256062500000016</v>
      </c>
    </row>
    <row r="678" spans="1:19">
      <c r="A678">
        <v>490</v>
      </c>
      <c r="B678" t="s">
        <v>76</v>
      </c>
      <c r="C678">
        <v>0.56999999999999995</v>
      </c>
      <c r="D678">
        <v>0.45500000000000002</v>
      </c>
      <c r="E678">
        <v>0.16500000000000001</v>
      </c>
      <c r="F678">
        <v>1.0595000000000001</v>
      </c>
      <c r="G678">
        <v>0.44</v>
      </c>
      <c r="H678">
        <v>0.2195</v>
      </c>
      <c r="I678">
        <v>0.28499999999999998</v>
      </c>
      <c r="J678">
        <v>14</v>
      </c>
      <c r="K678">
        <v>8</v>
      </c>
      <c r="L678" t="s">
        <v>55</v>
      </c>
      <c r="M678" t="s">
        <v>56</v>
      </c>
      <c r="N678" t="s">
        <v>57</v>
      </c>
      <c r="O678">
        <v>6</v>
      </c>
      <c r="P678" t="s">
        <v>7</v>
      </c>
      <c r="Q678">
        <v>14.1</v>
      </c>
      <c r="R678" t="str">
        <f t="shared" si="21"/>
        <v>III</v>
      </c>
      <c r="S678">
        <f t="shared" si="22"/>
        <v>0.51032583333333337</v>
      </c>
    </row>
    <row r="679" spans="1:19">
      <c r="A679">
        <v>1442</v>
      </c>
      <c r="B679" t="s">
        <v>76</v>
      </c>
      <c r="C679">
        <v>0.40500000000000003</v>
      </c>
      <c r="D679">
        <v>0.3</v>
      </c>
      <c r="E679">
        <v>0.105</v>
      </c>
      <c r="F679">
        <v>0.30399999999999999</v>
      </c>
      <c r="G679">
        <v>0.14549999999999999</v>
      </c>
      <c r="H679">
        <v>6.0999999999999999E-2</v>
      </c>
      <c r="I679">
        <v>8.0500000000000002E-2</v>
      </c>
      <c r="J679">
        <v>6</v>
      </c>
      <c r="K679">
        <v>1</v>
      </c>
      <c r="L679" t="s">
        <v>70</v>
      </c>
      <c r="M679" t="s">
        <v>71</v>
      </c>
      <c r="N679" t="s">
        <v>45</v>
      </c>
      <c r="O679">
        <v>6</v>
      </c>
      <c r="P679" t="s">
        <v>7</v>
      </c>
      <c r="Q679">
        <v>14.1</v>
      </c>
      <c r="R679" t="str">
        <f t="shared" si="21"/>
        <v>II</v>
      </c>
      <c r="S679">
        <f t="shared" si="22"/>
        <v>0.10173866666666667</v>
      </c>
    </row>
    <row r="680" spans="1:19">
      <c r="A680">
        <v>3610</v>
      </c>
      <c r="B680" t="s">
        <v>76</v>
      </c>
      <c r="C680">
        <v>0.55500000000000005</v>
      </c>
      <c r="D680">
        <v>0.40500000000000003</v>
      </c>
      <c r="E680">
        <v>0.12</v>
      </c>
      <c r="F680">
        <v>0.91300000000000003</v>
      </c>
      <c r="G680">
        <v>0.45850000000000002</v>
      </c>
      <c r="H680">
        <v>0.19600000000000001</v>
      </c>
      <c r="I680">
        <v>0.20649999999999999</v>
      </c>
      <c r="J680">
        <v>9</v>
      </c>
      <c r="K680">
        <v>15</v>
      </c>
      <c r="L680" t="s">
        <v>60</v>
      </c>
      <c r="M680" t="s">
        <v>61</v>
      </c>
      <c r="N680" t="s">
        <v>45</v>
      </c>
      <c r="O680">
        <v>6</v>
      </c>
      <c r="P680" t="s">
        <v>7</v>
      </c>
      <c r="Q680">
        <v>14.1</v>
      </c>
      <c r="R680" t="str">
        <f t="shared" si="21"/>
        <v>III</v>
      </c>
      <c r="S680">
        <f t="shared" si="22"/>
        <v>0.42302333333333336</v>
      </c>
    </row>
    <row r="681" spans="1:19">
      <c r="A681">
        <v>826</v>
      </c>
      <c r="B681" t="s">
        <v>76</v>
      </c>
      <c r="C681">
        <v>0.39500000000000002</v>
      </c>
      <c r="D681">
        <v>0.28999999999999998</v>
      </c>
      <c r="E681">
        <v>9.5000000000000001E-2</v>
      </c>
      <c r="F681">
        <v>0.31900000000000001</v>
      </c>
      <c r="G681">
        <v>0.13800000000000001</v>
      </c>
      <c r="H681">
        <v>0.08</v>
      </c>
      <c r="I681">
        <v>8.2000000000000003E-2</v>
      </c>
      <c r="J681">
        <v>7</v>
      </c>
      <c r="K681">
        <v>13</v>
      </c>
      <c r="L681" t="s">
        <v>43</v>
      </c>
      <c r="M681" t="s">
        <v>44</v>
      </c>
      <c r="N681" t="s">
        <v>45</v>
      </c>
      <c r="O681">
        <v>3</v>
      </c>
      <c r="P681" t="s">
        <v>10</v>
      </c>
      <c r="Q681">
        <v>3.6</v>
      </c>
      <c r="R681" t="str">
        <f t="shared" si="21"/>
        <v>II</v>
      </c>
      <c r="S681">
        <f t="shared" si="22"/>
        <v>0.10548266666666667</v>
      </c>
    </row>
    <row r="682" spans="1:19">
      <c r="A682">
        <v>11</v>
      </c>
      <c r="B682" t="s">
        <v>76</v>
      </c>
      <c r="C682">
        <v>0.52500000000000002</v>
      </c>
      <c r="D682">
        <v>0.38</v>
      </c>
      <c r="E682">
        <v>0.14000000000000001</v>
      </c>
      <c r="F682">
        <v>0.60650000000000004</v>
      </c>
      <c r="G682">
        <v>0.19400000000000001</v>
      </c>
      <c r="H682">
        <v>0.14749999999999999</v>
      </c>
      <c r="I682">
        <v>0.21</v>
      </c>
      <c r="J682">
        <v>14</v>
      </c>
      <c r="K682">
        <v>5</v>
      </c>
      <c r="L682" t="s">
        <v>67</v>
      </c>
      <c r="M682" t="s">
        <v>68</v>
      </c>
      <c r="N682" t="s">
        <v>69</v>
      </c>
      <c r="O682">
        <v>9</v>
      </c>
      <c r="P682" t="s">
        <v>9</v>
      </c>
      <c r="Q682">
        <v>1.9</v>
      </c>
      <c r="R682" t="str">
        <f t="shared" si="21"/>
        <v>II</v>
      </c>
      <c r="S682">
        <f t="shared" si="22"/>
        <v>0.22197900000000004</v>
      </c>
    </row>
    <row r="683" spans="1:19">
      <c r="A683">
        <v>3525</v>
      </c>
      <c r="B683" t="s">
        <v>76</v>
      </c>
      <c r="C683">
        <v>0.32</v>
      </c>
      <c r="D683">
        <v>0.24</v>
      </c>
      <c r="E683">
        <v>8.5000000000000006E-2</v>
      </c>
      <c r="F683">
        <v>0.13100000000000001</v>
      </c>
      <c r="G683">
        <v>6.1499999999999999E-2</v>
      </c>
      <c r="H683">
        <v>2.6499999999999999E-2</v>
      </c>
      <c r="I683">
        <v>3.7999999999999999E-2</v>
      </c>
      <c r="J683">
        <v>6</v>
      </c>
      <c r="K683">
        <v>10</v>
      </c>
      <c r="L683" t="s">
        <v>37</v>
      </c>
      <c r="M683" t="s">
        <v>38</v>
      </c>
      <c r="N683" t="s">
        <v>39</v>
      </c>
      <c r="O683">
        <v>8</v>
      </c>
      <c r="P683" t="s">
        <v>13</v>
      </c>
      <c r="Q683">
        <v>12.3</v>
      </c>
      <c r="R683" t="str">
        <f t="shared" si="21"/>
        <v>II</v>
      </c>
      <c r="S683">
        <f t="shared" si="22"/>
        <v>4.0959333333333334E-2</v>
      </c>
    </row>
    <row r="684" spans="1:19">
      <c r="A684">
        <v>690</v>
      </c>
      <c r="B684" t="s">
        <v>76</v>
      </c>
      <c r="C684">
        <v>0.59</v>
      </c>
      <c r="D684">
        <v>0.44</v>
      </c>
      <c r="E684">
        <v>0.15</v>
      </c>
      <c r="F684">
        <v>0.95550000000000002</v>
      </c>
      <c r="G684">
        <v>0.36599999999999999</v>
      </c>
      <c r="H684">
        <v>0.24249999999999999</v>
      </c>
      <c r="I684">
        <v>0.29499999999999998</v>
      </c>
      <c r="J684">
        <v>11</v>
      </c>
      <c r="K684">
        <v>1</v>
      </c>
      <c r="L684" t="s">
        <v>70</v>
      </c>
      <c r="M684" t="s">
        <v>71</v>
      </c>
      <c r="N684" t="s">
        <v>45</v>
      </c>
      <c r="O684">
        <v>6</v>
      </c>
      <c r="P684" t="s">
        <v>7</v>
      </c>
      <c r="Q684">
        <v>14.1</v>
      </c>
      <c r="R684" t="str">
        <f t="shared" si="21"/>
        <v>II</v>
      </c>
      <c r="S684">
        <f t="shared" si="22"/>
        <v>0.36691200000000007</v>
      </c>
    </row>
    <row r="685" spans="1:19">
      <c r="A685">
        <v>1787</v>
      </c>
      <c r="B685" t="s">
        <v>76</v>
      </c>
      <c r="C685">
        <v>0.53500000000000003</v>
      </c>
      <c r="D685">
        <v>0.38500000000000001</v>
      </c>
      <c r="E685">
        <v>0.18</v>
      </c>
      <c r="F685">
        <v>1.0834999999999999</v>
      </c>
      <c r="G685">
        <v>0.4955</v>
      </c>
      <c r="H685">
        <v>0.22950000000000001</v>
      </c>
      <c r="I685">
        <v>0.30399999999999999</v>
      </c>
      <c r="J685">
        <v>8</v>
      </c>
      <c r="K685">
        <v>7</v>
      </c>
      <c r="L685" t="s">
        <v>62</v>
      </c>
      <c r="M685" t="s">
        <v>63</v>
      </c>
      <c r="N685" t="s">
        <v>64</v>
      </c>
      <c r="O685">
        <v>5</v>
      </c>
      <c r="P685" t="s">
        <v>12</v>
      </c>
      <c r="Q685">
        <v>12.8</v>
      </c>
      <c r="R685" t="str">
        <f t="shared" si="21"/>
        <v>III</v>
      </c>
      <c r="S685">
        <f t="shared" si="22"/>
        <v>0.50563333333333338</v>
      </c>
    </row>
    <row r="686" spans="1:19">
      <c r="A686">
        <v>87</v>
      </c>
      <c r="B686" t="s">
        <v>76</v>
      </c>
      <c r="C686">
        <v>0.625</v>
      </c>
      <c r="D686">
        <v>0.46500000000000002</v>
      </c>
      <c r="E686">
        <v>0.14000000000000001</v>
      </c>
      <c r="F686">
        <v>1.1950000000000001</v>
      </c>
      <c r="G686">
        <v>0.48249999999999998</v>
      </c>
      <c r="H686">
        <v>0.20499999999999999</v>
      </c>
      <c r="I686">
        <v>0.4</v>
      </c>
      <c r="J686">
        <v>13</v>
      </c>
      <c r="K686">
        <v>7</v>
      </c>
      <c r="L686" t="s">
        <v>62</v>
      </c>
      <c r="M686" t="s">
        <v>63</v>
      </c>
      <c r="N686" t="s">
        <v>64</v>
      </c>
      <c r="O686">
        <v>3</v>
      </c>
      <c r="P686" t="s">
        <v>10</v>
      </c>
      <c r="Q686">
        <v>3.6</v>
      </c>
      <c r="R686" t="str">
        <f t="shared" si="21"/>
        <v>III</v>
      </c>
      <c r="S686">
        <f t="shared" si="22"/>
        <v>0.5835583333333334</v>
      </c>
    </row>
    <row r="687" spans="1:19">
      <c r="A687">
        <v>3601</v>
      </c>
      <c r="B687" t="s">
        <v>76</v>
      </c>
      <c r="C687">
        <v>0.17499999999999999</v>
      </c>
      <c r="D687">
        <v>0.125</v>
      </c>
      <c r="E687">
        <v>0.04</v>
      </c>
      <c r="F687">
        <v>2.8000000000000001E-2</v>
      </c>
      <c r="G687">
        <v>9.4999999999999998E-3</v>
      </c>
      <c r="H687">
        <v>8.0000000000000002E-3</v>
      </c>
      <c r="I687">
        <v>8.9999999999999993E-3</v>
      </c>
      <c r="J687">
        <v>4</v>
      </c>
      <c r="K687">
        <v>7</v>
      </c>
      <c r="L687" t="s">
        <v>62</v>
      </c>
      <c r="M687" t="s">
        <v>63</v>
      </c>
      <c r="N687" t="s">
        <v>64</v>
      </c>
      <c r="O687">
        <v>2</v>
      </c>
      <c r="P687" t="s">
        <v>5</v>
      </c>
      <c r="Q687">
        <v>18</v>
      </c>
      <c r="R687" t="str">
        <f t="shared" si="21"/>
        <v>II</v>
      </c>
      <c r="S687">
        <f t="shared" si="22"/>
        <v>7.6159999999999995E-3</v>
      </c>
    </row>
    <row r="688" spans="1:19">
      <c r="A688">
        <v>1279</v>
      </c>
      <c r="B688" t="s">
        <v>76</v>
      </c>
      <c r="C688">
        <v>0.495</v>
      </c>
      <c r="D688">
        <v>0.35499999999999998</v>
      </c>
      <c r="E688">
        <v>0.12</v>
      </c>
      <c r="F688">
        <v>0.4965</v>
      </c>
      <c r="G688">
        <v>0.214</v>
      </c>
      <c r="H688">
        <v>0.1045</v>
      </c>
      <c r="I688">
        <v>0.14949999999999999</v>
      </c>
      <c r="J688">
        <v>8</v>
      </c>
      <c r="K688">
        <v>8</v>
      </c>
      <c r="L688" t="s">
        <v>55</v>
      </c>
      <c r="M688" t="s">
        <v>56</v>
      </c>
      <c r="N688" t="s">
        <v>57</v>
      </c>
      <c r="O688">
        <v>3</v>
      </c>
      <c r="P688" t="s">
        <v>10</v>
      </c>
      <c r="Q688">
        <v>3.6</v>
      </c>
      <c r="R688" t="str">
        <f t="shared" si="21"/>
        <v>II</v>
      </c>
      <c r="S688">
        <f t="shared" si="22"/>
        <v>0.17675399999999999</v>
      </c>
    </row>
    <row r="689" spans="1:19">
      <c r="A689">
        <v>2933</v>
      </c>
      <c r="B689" t="s">
        <v>76</v>
      </c>
      <c r="C689">
        <v>0.61499999999999999</v>
      </c>
      <c r="D689">
        <v>0.45500000000000002</v>
      </c>
      <c r="E689">
        <v>0.15</v>
      </c>
      <c r="F689">
        <v>0.9335</v>
      </c>
      <c r="G689">
        <v>0.38200000000000001</v>
      </c>
      <c r="H689">
        <v>0.247</v>
      </c>
      <c r="I689">
        <v>0.26150000000000001</v>
      </c>
      <c r="J689">
        <v>10</v>
      </c>
      <c r="K689">
        <v>8</v>
      </c>
      <c r="L689" t="s">
        <v>55</v>
      </c>
      <c r="M689" t="s">
        <v>56</v>
      </c>
      <c r="N689" t="s">
        <v>57</v>
      </c>
      <c r="O689">
        <v>10</v>
      </c>
      <c r="P689" t="s">
        <v>11</v>
      </c>
      <c r="Q689">
        <v>24.1</v>
      </c>
      <c r="R689" t="str">
        <f t="shared" si="21"/>
        <v>II</v>
      </c>
      <c r="S689">
        <f t="shared" si="22"/>
        <v>0.36344266666666664</v>
      </c>
    </row>
    <row r="690" spans="1:19">
      <c r="A690">
        <v>2995</v>
      </c>
      <c r="B690" t="s">
        <v>76</v>
      </c>
      <c r="C690">
        <v>0.61</v>
      </c>
      <c r="D690">
        <v>0.47499999999999998</v>
      </c>
      <c r="E690">
        <v>0.17499999999999999</v>
      </c>
      <c r="F690">
        <v>1.024</v>
      </c>
      <c r="G690">
        <v>0.40899999999999997</v>
      </c>
      <c r="H690">
        <v>0.26100000000000001</v>
      </c>
      <c r="I690">
        <v>0.32200000000000001</v>
      </c>
      <c r="J690">
        <v>9</v>
      </c>
      <c r="K690">
        <v>8</v>
      </c>
      <c r="L690" t="s">
        <v>55</v>
      </c>
      <c r="M690" t="s">
        <v>56</v>
      </c>
      <c r="N690" t="s">
        <v>57</v>
      </c>
      <c r="O690">
        <v>10</v>
      </c>
      <c r="P690" t="s">
        <v>11</v>
      </c>
      <c r="Q690">
        <v>24.1</v>
      </c>
      <c r="R690" t="str">
        <f t="shared" si="21"/>
        <v>III</v>
      </c>
      <c r="S690">
        <f t="shared" si="22"/>
        <v>0.50517333333333325</v>
      </c>
    </row>
    <row r="691" spans="1:19">
      <c r="A691">
        <v>929</v>
      </c>
      <c r="B691" t="s">
        <v>76</v>
      </c>
      <c r="C691">
        <v>0.435</v>
      </c>
      <c r="D691">
        <v>0.34</v>
      </c>
      <c r="E691">
        <v>0.115</v>
      </c>
      <c r="F691">
        <v>0.39250000000000002</v>
      </c>
      <c r="G691">
        <v>0.1825</v>
      </c>
      <c r="H691">
        <v>7.8E-2</v>
      </c>
      <c r="I691">
        <v>0.1145</v>
      </c>
      <c r="J691">
        <v>6</v>
      </c>
      <c r="K691">
        <v>9</v>
      </c>
      <c r="L691" t="s">
        <v>34</v>
      </c>
      <c r="M691" t="s">
        <v>35</v>
      </c>
      <c r="N691" t="s">
        <v>36</v>
      </c>
      <c r="O691">
        <v>6</v>
      </c>
      <c r="P691" t="s">
        <v>7</v>
      </c>
      <c r="Q691">
        <v>14.1</v>
      </c>
      <c r="R691" t="str">
        <f t="shared" si="21"/>
        <v>II</v>
      </c>
      <c r="S691">
        <f t="shared" si="22"/>
        <v>0.13554333333333332</v>
      </c>
    </row>
    <row r="692" spans="1:19">
      <c r="A692">
        <v>2690</v>
      </c>
      <c r="B692" t="s">
        <v>76</v>
      </c>
      <c r="C692">
        <v>0.64500000000000002</v>
      </c>
      <c r="D692">
        <v>0.51500000000000001</v>
      </c>
      <c r="E692">
        <v>0.16</v>
      </c>
      <c r="F692">
        <v>1.1845000000000001</v>
      </c>
      <c r="G692">
        <v>0.50600000000000001</v>
      </c>
      <c r="H692">
        <v>0.311</v>
      </c>
      <c r="I692">
        <v>0.33500000000000002</v>
      </c>
      <c r="J692">
        <v>9</v>
      </c>
      <c r="K692">
        <v>2</v>
      </c>
      <c r="L692" t="s">
        <v>49</v>
      </c>
      <c r="M692" t="s">
        <v>50</v>
      </c>
      <c r="N692" t="s">
        <v>51</v>
      </c>
      <c r="O692">
        <v>3</v>
      </c>
      <c r="P692" t="s">
        <v>10</v>
      </c>
      <c r="Q692">
        <v>3.6</v>
      </c>
      <c r="R692" t="str">
        <f t="shared" si="21"/>
        <v>I</v>
      </c>
      <c r="S692">
        <f t="shared" si="22"/>
        <v>0.89429750000000008</v>
      </c>
    </row>
    <row r="693" spans="1:19">
      <c r="A693">
        <v>3199</v>
      </c>
      <c r="B693" t="s">
        <v>76</v>
      </c>
      <c r="C693">
        <v>0.45</v>
      </c>
      <c r="D693">
        <v>0.33500000000000002</v>
      </c>
      <c r="E693">
        <v>0.14000000000000001</v>
      </c>
      <c r="F693">
        <v>0.47799999999999998</v>
      </c>
      <c r="G693">
        <v>0.1865</v>
      </c>
      <c r="H693">
        <v>0.115</v>
      </c>
      <c r="I693">
        <v>0.16</v>
      </c>
      <c r="J693">
        <v>11</v>
      </c>
      <c r="K693">
        <v>13</v>
      </c>
      <c r="L693" t="s">
        <v>43</v>
      </c>
      <c r="M693" t="s">
        <v>44</v>
      </c>
      <c r="N693" t="s">
        <v>45</v>
      </c>
      <c r="O693">
        <v>9</v>
      </c>
      <c r="P693" t="s">
        <v>9</v>
      </c>
      <c r="Q693">
        <v>1.9</v>
      </c>
      <c r="R693" t="str">
        <f t="shared" si="21"/>
        <v>II</v>
      </c>
      <c r="S693">
        <f t="shared" si="22"/>
        <v>0.1673</v>
      </c>
    </row>
    <row r="694" spans="1:19">
      <c r="A694">
        <v>3978</v>
      </c>
      <c r="B694" t="s">
        <v>76</v>
      </c>
      <c r="C694">
        <v>0.47499999999999998</v>
      </c>
      <c r="D694">
        <v>0.35</v>
      </c>
      <c r="E694">
        <v>0.12</v>
      </c>
      <c r="F694">
        <v>0.49049999999999999</v>
      </c>
      <c r="G694">
        <v>0.20349999999999999</v>
      </c>
      <c r="H694">
        <v>0.13</v>
      </c>
      <c r="I694">
        <v>0.13500000000000001</v>
      </c>
      <c r="J694">
        <v>7</v>
      </c>
      <c r="K694">
        <v>15</v>
      </c>
      <c r="L694" t="s">
        <v>60</v>
      </c>
      <c r="M694" t="s">
        <v>61</v>
      </c>
      <c r="N694" t="s">
        <v>45</v>
      </c>
      <c r="O694">
        <v>2</v>
      </c>
      <c r="P694" t="s">
        <v>5</v>
      </c>
      <c r="Q694">
        <v>18</v>
      </c>
      <c r="R694" t="str">
        <f t="shared" si="21"/>
        <v>II</v>
      </c>
      <c r="S694">
        <f t="shared" si="22"/>
        <v>0.172983</v>
      </c>
    </row>
    <row r="695" spans="1:19">
      <c r="A695">
        <v>1261</v>
      </c>
      <c r="B695" t="s">
        <v>76</v>
      </c>
      <c r="C695">
        <v>0.44</v>
      </c>
      <c r="D695">
        <v>0.34</v>
      </c>
      <c r="E695">
        <v>0.12</v>
      </c>
      <c r="F695">
        <v>0.438</v>
      </c>
      <c r="G695">
        <v>0.21149999999999999</v>
      </c>
      <c r="H695">
        <v>8.3000000000000004E-2</v>
      </c>
      <c r="I695">
        <v>0.12</v>
      </c>
      <c r="J695">
        <v>9</v>
      </c>
      <c r="K695">
        <v>1</v>
      </c>
      <c r="L695" t="s">
        <v>70</v>
      </c>
      <c r="M695" t="s">
        <v>71</v>
      </c>
      <c r="N695" t="s">
        <v>45</v>
      </c>
      <c r="O695">
        <v>6</v>
      </c>
      <c r="P695" t="s">
        <v>7</v>
      </c>
      <c r="Q695">
        <v>14.1</v>
      </c>
      <c r="R695" t="str">
        <f t="shared" si="21"/>
        <v>II</v>
      </c>
      <c r="S695">
        <f t="shared" si="22"/>
        <v>0.15183999999999997</v>
      </c>
    </row>
    <row r="696" spans="1:19">
      <c r="A696">
        <v>1912</v>
      </c>
      <c r="B696" t="s">
        <v>76</v>
      </c>
      <c r="C696">
        <v>0.57999999999999996</v>
      </c>
      <c r="D696">
        <v>0.44</v>
      </c>
      <c r="E696">
        <v>0.15</v>
      </c>
      <c r="F696">
        <v>1.0465</v>
      </c>
      <c r="G696">
        <v>0.51800000000000002</v>
      </c>
      <c r="H696">
        <v>0.2185</v>
      </c>
      <c r="I696">
        <v>0.27950000000000003</v>
      </c>
      <c r="J696">
        <v>10</v>
      </c>
      <c r="K696">
        <v>13</v>
      </c>
      <c r="L696" t="s">
        <v>43</v>
      </c>
      <c r="M696" t="s">
        <v>44</v>
      </c>
      <c r="N696" t="s">
        <v>45</v>
      </c>
      <c r="O696">
        <v>1</v>
      </c>
      <c r="P696" t="s">
        <v>4</v>
      </c>
      <c r="Q696">
        <v>22.1</v>
      </c>
      <c r="R696" t="str">
        <f t="shared" si="21"/>
        <v>I</v>
      </c>
      <c r="S696">
        <f t="shared" si="22"/>
        <v>0.75086374999999994</v>
      </c>
    </row>
    <row r="697" spans="1:19">
      <c r="A697">
        <v>674</v>
      </c>
      <c r="B697" t="s">
        <v>76</v>
      </c>
      <c r="C697">
        <v>0.49</v>
      </c>
      <c r="D697">
        <v>0.39</v>
      </c>
      <c r="E697">
        <v>0.15</v>
      </c>
      <c r="F697">
        <v>0.57299999999999995</v>
      </c>
      <c r="G697">
        <v>0.22500000000000001</v>
      </c>
      <c r="H697">
        <v>0.124</v>
      </c>
      <c r="I697">
        <v>0.17</v>
      </c>
      <c r="J697">
        <v>21</v>
      </c>
      <c r="K697">
        <v>10</v>
      </c>
      <c r="L697" t="s">
        <v>37</v>
      </c>
      <c r="M697" t="s">
        <v>38</v>
      </c>
      <c r="N697" t="s">
        <v>39</v>
      </c>
      <c r="O697">
        <v>7</v>
      </c>
      <c r="P697" t="s">
        <v>6</v>
      </c>
      <c r="Q697">
        <v>2.5</v>
      </c>
      <c r="R697" t="str">
        <f t="shared" si="21"/>
        <v>II</v>
      </c>
      <c r="S697">
        <f t="shared" si="22"/>
        <v>0.20857199999999998</v>
      </c>
    </row>
    <row r="698" spans="1:19">
      <c r="A698">
        <v>968</v>
      </c>
      <c r="B698" t="s">
        <v>76</v>
      </c>
      <c r="C698">
        <v>0.51</v>
      </c>
      <c r="D698">
        <v>0.40500000000000003</v>
      </c>
      <c r="E698">
        <v>0.13500000000000001</v>
      </c>
      <c r="F698">
        <v>0.76900000000000002</v>
      </c>
      <c r="G698">
        <v>0.36549999999999999</v>
      </c>
      <c r="H698">
        <v>0.1585</v>
      </c>
      <c r="I698">
        <v>0.18</v>
      </c>
      <c r="J698">
        <v>7</v>
      </c>
      <c r="K698">
        <v>15</v>
      </c>
      <c r="L698" t="s">
        <v>60</v>
      </c>
      <c r="M698" t="s">
        <v>61</v>
      </c>
      <c r="N698" t="s">
        <v>45</v>
      </c>
      <c r="O698">
        <v>7</v>
      </c>
      <c r="P698" t="s">
        <v>6</v>
      </c>
      <c r="Q698">
        <v>2.5</v>
      </c>
      <c r="R698" t="str">
        <f t="shared" si="21"/>
        <v>II</v>
      </c>
      <c r="S698">
        <f t="shared" si="22"/>
        <v>0.2819666666666667</v>
      </c>
    </row>
    <row r="699" spans="1:19">
      <c r="A699">
        <v>533</v>
      </c>
      <c r="B699" t="s">
        <v>76</v>
      </c>
      <c r="C699">
        <v>0.47</v>
      </c>
      <c r="D699">
        <v>0.37</v>
      </c>
      <c r="E699">
        <v>0.12</v>
      </c>
      <c r="F699">
        <v>0.47049999999999997</v>
      </c>
      <c r="G699">
        <v>0.1845</v>
      </c>
      <c r="H699">
        <v>0.1055</v>
      </c>
      <c r="I699">
        <v>0.155</v>
      </c>
      <c r="J699">
        <v>12</v>
      </c>
      <c r="K699">
        <v>12</v>
      </c>
      <c r="L699" t="s">
        <v>58</v>
      </c>
      <c r="M699" t="s">
        <v>59</v>
      </c>
      <c r="N699" t="s">
        <v>45</v>
      </c>
      <c r="O699">
        <v>3</v>
      </c>
      <c r="P699" t="s">
        <v>10</v>
      </c>
      <c r="Q699">
        <v>3.6</v>
      </c>
      <c r="R699" t="str">
        <f t="shared" si="21"/>
        <v>II</v>
      </c>
      <c r="S699">
        <f t="shared" si="22"/>
        <v>0.16687066666666667</v>
      </c>
    </row>
    <row r="700" spans="1:19">
      <c r="A700">
        <v>898</v>
      </c>
      <c r="B700" t="s">
        <v>76</v>
      </c>
      <c r="C700">
        <v>0.26500000000000001</v>
      </c>
      <c r="D700">
        <v>0.19500000000000001</v>
      </c>
      <c r="E700">
        <v>0.06</v>
      </c>
      <c r="F700">
        <v>9.1999999999999998E-2</v>
      </c>
      <c r="G700">
        <v>3.4500000000000003E-2</v>
      </c>
      <c r="H700">
        <v>2.5000000000000001E-2</v>
      </c>
      <c r="I700">
        <v>2.4500000000000001E-2</v>
      </c>
      <c r="J700">
        <v>6</v>
      </c>
      <c r="K700">
        <v>6</v>
      </c>
      <c r="L700" t="s">
        <v>46</v>
      </c>
      <c r="M700" t="s">
        <v>47</v>
      </c>
      <c r="N700" t="s">
        <v>48</v>
      </c>
      <c r="O700">
        <v>10</v>
      </c>
      <c r="P700" t="s">
        <v>11</v>
      </c>
      <c r="Q700">
        <v>24.1</v>
      </c>
      <c r="R700" t="str">
        <f t="shared" si="21"/>
        <v>II</v>
      </c>
      <c r="S700">
        <f t="shared" si="22"/>
        <v>2.7232000000000003E-2</v>
      </c>
    </row>
    <row r="701" spans="1:19">
      <c r="A701">
        <v>1884</v>
      </c>
      <c r="B701" t="s">
        <v>76</v>
      </c>
      <c r="C701">
        <v>0.55500000000000005</v>
      </c>
      <c r="D701">
        <v>0.41</v>
      </c>
      <c r="E701">
        <v>0.125</v>
      </c>
      <c r="F701">
        <v>0.59899999999999998</v>
      </c>
      <c r="G701">
        <v>0.23449999999999999</v>
      </c>
      <c r="H701">
        <v>0.14649999999999999</v>
      </c>
      <c r="I701">
        <v>0.19400000000000001</v>
      </c>
      <c r="J701">
        <v>8</v>
      </c>
      <c r="K701">
        <v>12</v>
      </c>
      <c r="L701" t="s">
        <v>58</v>
      </c>
      <c r="M701" t="s">
        <v>59</v>
      </c>
      <c r="N701" t="s">
        <v>45</v>
      </c>
      <c r="O701">
        <v>5</v>
      </c>
      <c r="P701" t="s">
        <v>12</v>
      </c>
      <c r="Q701">
        <v>12.8</v>
      </c>
      <c r="R701" t="str">
        <f t="shared" si="21"/>
        <v>II</v>
      </c>
      <c r="S701">
        <f t="shared" si="22"/>
        <v>0.222828</v>
      </c>
    </row>
    <row r="702" spans="1:19">
      <c r="A702">
        <v>687</v>
      </c>
      <c r="B702" t="s">
        <v>76</v>
      </c>
      <c r="C702">
        <v>0.53500000000000003</v>
      </c>
      <c r="D702">
        <v>0.4</v>
      </c>
      <c r="E702">
        <v>0.15</v>
      </c>
      <c r="F702">
        <v>0.80449999999999999</v>
      </c>
      <c r="G702">
        <v>0.33450000000000002</v>
      </c>
      <c r="H702">
        <v>0.21249999999999999</v>
      </c>
      <c r="I702">
        <v>0.21</v>
      </c>
      <c r="J702">
        <v>13</v>
      </c>
      <c r="K702">
        <v>13</v>
      </c>
      <c r="L702" t="s">
        <v>43</v>
      </c>
      <c r="M702" t="s">
        <v>44</v>
      </c>
      <c r="N702" t="s">
        <v>45</v>
      </c>
      <c r="O702">
        <v>7</v>
      </c>
      <c r="P702" t="s">
        <v>6</v>
      </c>
      <c r="Q702">
        <v>2.5</v>
      </c>
      <c r="R702" t="str">
        <f t="shared" si="21"/>
        <v>II</v>
      </c>
      <c r="S702">
        <f t="shared" si="22"/>
        <v>0.29873766666666668</v>
      </c>
    </row>
    <row r="703" spans="1:19">
      <c r="A703">
        <v>83</v>
      </c>
      <c r="B703" t="s">
        <v>76</v>
      </c>
      <c r="C703">
        <v>0.52</v>
      </c>
      <c r="D703">
        <v>0.42499999999999999</v>
      </c>
      <c r="E703">
        <v>0.16500000000000001</v>
      </c>
      <c r="F703">
        <v>0.98850000000000005</v>
      </c>
      <c r="G703">
        <v>0.39600000000000002</v>
      </c>
      <c r="H703">
        <v>0.22500000000000001</v>
      </c>
      <c r="I703">
        <v>0.32</v>
      </c>
      <c r="J703">
        <v>16</v>
      </c>
      <c r="K703">
        <v>6</v>
      </c>
      <c r="L703" t="s">
        <v>46</v>
      </c>
      <c r="M703" t="s">
        <v>47</v>
      </c>
      <c r="N703" t="s">
        <v>48</v>
      </c>
      <c r="O703">
        <v>2</v>
      </c>
      <c r="P703" t="s">
        <v>5</v>
      </c>
      <c r="Q703">
        <v>18</v>
      </c>
      <c r="R703" t="str">
        <f t="shared" si="21"/>
        <v>II</v>
      </c>
      <c r="S703">
        <f t="shared" si="22"/>
        <v>0.37035799999999997</v>
      </c>
    </row>
    <row r="704" spans="1:19">
      <c r="A704">
        <v>648</v>
      </c>
      <c r="B704" t="s">
        <v>76</v>
      </c>
      <c r="C704">
        <v>0.48</v>
      </c>
      <c r="D704">
        <v>0.375</v>
      </c>
      <c r="E704">
        <v>0.14499999999999999</v>
      </c>
      <c r="F704">
        <v>0.77700000000000002</v>
      </c>
      <c r="G704">
        <v>0.216</v>
      </c>
      <c r="H704">
        <v>0.13</v>
      </c>
      <c r="I704">
        <v>0.17</v>
      </c>
      <c r="J704">
        <v>9</v>
      </c>
      <c r="K704">
        <v>13</v>
      </c>
      <c r="L704" t="s">
        <v>43</v>
      </c>
      <c r="M704" t="s">
        <v>44</v>
      </c>
      <c r="N704" t="s">
        <v>45</v>
      </c>
      <c r="O704">
        <v>1</v>
      </c>
      <c r="P704" t="s">
        <v>4</v>
      </c>
      <c r="Q704">
        <v>22.1</v>
      </c>
      <c r="R704" t="str">
        <f t="shared" si="21"/>
        <v>II</v>
      </c>
      <c r="S704">
        <f t="shared" si="22"/>
        <v>0.27972000000000002</v>
      </c>
    </row>
    <row r="705" spans="1:19">
      <c r="A705">
        <v>2287</v>
      </c>
      <c r="B705" t="s">
        <v>76</v>
      </c>
      <c r="C705">
        <v>0.5</v>
      </c>
      <c r="D705">
        <v>0.39500000000000002</v>
      </c>
      <c r="E705">
        <v>0.15</v>
      </c>
      <c r="F705">
        <v>0.71450000000000002</v>
      </c>
      <c r="G705">
        <v>0.32350000000000001</v>
      </c>
      <c r="H705">
        <v>0.17299999999999999</v>
      </c>
      <c r="I705">
        <v>0.19500000000000001</v>
      </c>
      <c r="J705">
        <v>9</v>
      </c>
      <c r="K705">
        <v>9</v>
      </c>
      <c r="L705" t="s">
        <v>34</v>
      </c>
      <c r="M705" t="s">
        <v>35</v>
      </c>
      <c r="N705" t="s">
        <v>36</v>
      </c>
      <c r="O705">
        <v>4</v>
      </c>
      <c r="P705" t="s">
        <v>8</v>
      </c>
      <c r="Q705">
        <v>6.1</v>
      </c>
      <c r="R705" t="str">
        <f t="shared" si="21"/>
        <v>II</v>
      </c>
      <c r="S705">
        <f t="shared" si="22"/>
        <v>0.26150699999999999</v>
      </c>
    </row>
    <row r="706" spans="1:19">
      <c r="A706">
        <v>2489</v>
      </c>
      <c r="B706" t="s">
        <v>76</v>
      </c>
      <c r="C706">
        <v>0.5</v>
      </c>
      <c r="D706">
        <v>0.38500000000000001</v>
      </c>
      <c r="E706">
        <v>0.14499999999999999</v>
      </c>
      <c r="F706">
        <v>0.76149999999999995</v>
      </c>
      <c r="G706">
        <v>0.246</v>
      </c>
      <c r="H706">
        <v>0.19500000000000001</v>
      </c>
      <c r="I706">
        <v>0.20399999999999999</v>
      </c>
      <c r="J706">
        <v>14</v>
      </c>
      <c r="K706">
        <v>11</v>
      </c>
      <c r="L706" t="s">
        <v>65</v>
      </c>
      <c r="M706" t="s">
        <v>66</v>
      </c>
      <c r="N706" t="s">
        <v>45</v>
      </c>
      <c r="O706">
        <v>10</v>
      </c>
      <c r="P706" t="s">
        <v>11</v>
      </c>
      <c r="Q706">
        <v>24.1</v>
      </c>
      <c r="R706" t="str">
        <f t="shared" si="21"/>
        <v>II</v>
      </c>
      <c r="S706">
        <f t="shared" si="22"/>
        <v>0.27718599999999999</v>
      </c>
    </row>
    <row r="707" spans="1:19">
      <c r="A707">
        <v>2985</v>
      </c>
      <c r="B707" t="s">
        <v>76</v>
      </c>
      <c r="C707">
        <v>0.53500000000000003</v>
      </c>
      <c r="D707">
        <v>0.4</v>
      </c>
      <c r="E707">
        <v>0.15</v>
      </c>
      <c r="F707">
        <v>1.224</v>
      </c>
      <c r="G707">
        <v>0.61799999999999999</v>
      </c>
      <c r="H707">
        <v>0.27500000000000002</v>
      </c>
      <c r="I707">
        <v>0.28749999999999998</v>
      </c>
      <c r="J707">
        <v>10</v>
      </c>
      <c r="K707">
        <v>11</v>
      </c>
      <c r="L707" t="s">
        <v>65</v>
      </c>
      <c r="M707" t="s">
        <v>66</v>
      </c>
      <c r="N707" t="s">
        <v>45</v>
      </c>
      <c r="O707">
        <v>2</v>
      </c>
      <c r="P707" t="s">
        <v>5</v>
      </c>
      <c r="Q707">
        <v>18</v>
      </c>
      <c r="R707" t="str">
        <f t="shared" ref="R707:R770" si="23">IF(OR(AND(J707 &gt; 15, B707 = "Infant"), AND(D707 = "Male", C707 &gt; 0.75),
    OR(I707 &gt; 0.8, G707 &gt; 0.5), G707 &gt; 1.2),
    "I",
    IF(OR(AND(I707 &lt; 0.4, G707 &lt; 0.4), AND(J707 &gt; 15, D707 = "Male"), AND(J707 &gt; 18, D707 = "Female"), C707 &lt; 0.36),
    "II",
    "III"))</f>
        <v>I</v>
      </c>
      <c r="S707">
        <f t="shared" ref="S707:S770" si="24">IF(OR(AND(J707 &gt; 15, B707 = "Infant"), AND(D707 = "Male", C707 &gt; 0.75), OR(I707 &gt; 0.8, G707 &gt; 0.5), G707 &gt; 1.2), (1 + (1/3)*(C707 - 0.5) + (1/3)*(D707 - 0.4) + (1/3)*(E707 - 0.4)) * F707 * 0.5 * 1.5, IF(OR(AND(I707 &lt; 0.4, G707 &lt; 0.4), AND(J707 &gt; 15, D707 = "Male"), AND(J707 &gt; 18, D707 = "Female"), C707 &lt; 0.36), (1 + (1/3)*(C707 - 0.5) + (1/3)*(D707 - 0.4) + (1/3)*(E707 - 0.4)) * F707 * 0.5 * 0.8, (1 + (1/3)*(C707 - 0.5) + (1/3)*(D707 - 0.4) + (1/3)*(E707 - 0.4)) * F707 * 0.5))</f>
        <v>0.85220999999999991</v>
      </c>
    </row>
    <row r="708" spans="1:19">
      <c r="A708">
        <v>1368</v>
      </c>
      <c r="B708" t="s">
        <v>76</v>
      </c>
      <c r="C708">
        <v>0.61</v>
      </c>
      <c r="D708">
        <v>0.48</v>
      </c>
      <c r="E708">
        <v>0.17</v>
      </c>
      <c r="F708">
        <v>1.137</v>
      </c>
      <c r="G708">
        <v>0.45650000000000002</v>
      </c>
      <c r="H708">
        <v>0.28999999999999998</v>
      </c>
      <c r="I708">
        <v>0.34699999999999998</v>
      </c>
      <c r="J708">
        <v>10</v>
      </c>
      <c r="K708">
        <v>6</v>
      </c>
      <c r="L708" t="s">
        <v>46</v>
      </c>
      <c r="M708" t="s">
        <v>47</v>
      </c>
      <c r="N708" t="s">
        <v>48</v>
      </c>
      <c r="O708">
        <v>10</v>
      </c>
      <c r="P708" t="s">
        <v>11</v>
      </c>
      <c r="Q708">
        <v>24.1</v>
      </c>
      <c r="R708" t="str">
        <f t="shared" si="23"/>
        <v>III</v>
      </c>
      <c r="S708">
        <f t="shared" si="24"/>
        <v>0.56091999999999997</v>
      </c>
    </row>
    <row r="709" spans="1:19">
      <c r="A709">
        <v>1925</v>
      </c>
      <c r="B709" t="s">
        <v>76</v>
      </c>
      <c r="C709">
        <v>0.61</v>
      </c>
      <c r="D709">
        <v>0.46</v>
      </c>
      <c r="E709">
        <v>0.155</v>
      </c>
      <c r="F709">
        <v>0.95699999999999996</v>
      </c>
      <c r="G709">
        <v>0.42549999999999999</v>
      </c>
      <c r="H709">
        <v>0.19750000000000001</v>
      </c>
      <c r="I709">
        <v>0.26500000000000001</v>
      </c>
      <c r="J709">
        <v>8</v>
      </c>
      <c r="K709">
        <v>2</v>
      </c>
      <c r="L709" t="s">
        <v>49</v>
      </c>
      <c r="M709" t="s">
        <v>50</v>
      </c>
      <c r="N709" t="s">
        <v>51</v>
      </c>
      <c r="O709">
        <v>1</v>
      </c>
      <c r="P709" t="s">
        <v>4</v>
      </c>
      <c r="Q709">
        <v>22.1</v>
      </c>
      <c r="R709" t="str">
        <f t="shared" si="23"/>
        <v>III</v>
      </c>
      <c r="S709">
        <f t="shared" si="24"/>
        <v>0.46653749999999999</v>
      </c>
    </row>
    <row r="710" spans="1:19">
      <c r="A710">
        <v>3445</v>
      </c>
      <c r="B710" t="s">
        <v>76</v>
      </c>
      <c r="C710">
        <v>0.49</v>
      </c>
      <c r="D710">
        <v>0.4</v>
      </c>
      <c r="E710">
        <v>0.115</v>
      </c>
      <c r="F710">
        <v>0.56899999999999995</v>
      </c>
      <c r="G710">
        <v>0.25600000000000001</v>
      </c>
      <c r="H710">
        <v>0.13250000000000001</v>
      </c>
      <c r="I710">
        <v>0.14499999999999999</v>
      </c>
      <c r="J710">
        <v>9</v>
      </c>
      <c r="K710">
        <v>10</v>
      </c>
      <c r="L710" t="s">
        <v>37</v>
      </c>
      <c r="M710" t="s">
        <v>38</v>
      </c>
      <c r="N710" t="s">
        <v>39</v>
      </c>
      <c r="O710">
        <v>9</v>
      </c>
      <c r="P710" t="s">
        <v>9</v>
      </c>
      <c r="Q710">
        <v>1.9</v>
      </c>
      <c r="R710" t="str">
        <f t="shared" si="23"/>
        <v>II</v>
      </c>
      <c r="S710">
        <f t="shared" si="24"/>
        <v>0.20521933333333334</v>
      </c>
    </row>
    <row r="711" spans="1:19">
      <c r="A711">
        <v>923</v>
      </c>
      <c r="B711" t="s">
        <v>76</v>
      </c>
      <c r="C711">
        <v>0.42</v>
      </c>
      <c r="D711">
        <v>0.315</v>
      </c>
      <c r="E711">
        <v>0.1</v>
      </c>
      <c r="F711">
        <v>0.34350000000000003</v>
      </c>
      <c r="G711">
        <v>0.157</v>
      </c>
      <c r="H711">
        <v>7.9500000000000001E-2</v>
      </c>
      <c r="I711">
        <v>0.09</v>
      </c>
      <c r="J711">
        <v>6</v>
      </c>
      <c r="K711">
        <v>3</v>
      </c>
      <c r="L711" t="s">
        <v>52</v>
      </c>
      <c r="M711" t="s">
        <v>53</v>
      </c>
      <c r="N711" t="s">
        <v>54</v>
      </c>
      <c r="O711">
        <v>8</v>
      </c>
      <c r="P711" t="s">
        <v>13</v>
      </c>
      <c r="Q711">
        <v>12.3</v>
      </c>
      <c r="R711" t="str">
        <f t="shared" si="23"/>
        <v>II</v>
      </c>
      <c r="S711">
        <f t="shared" si="24"/>
        <v>0.11610300000000003</v>
      </c>
    </row>
    <row r="712" spans="1:19">
      <c r="A712">
        <v>3213</v>
      </c>
      <c r="B712" t="s">
        <v>76</v>
      </c>
      <c r="C712">
        <v>0.58499999999999996</v>
      </c>
      <c r="D712">
        <v>0.46</v>
      </c>
      <c r="E712">
        <v>0.17</v>
      </c>
      <c r="F712">
        <v>1.0834999999999999</v>
      </c>
      <c r="G712">
        <v>0.3745</v>
      </c>
      <c r="H712">
        <v>0.32600000000000001</v>
      </c>
      <c r="I712">
        <v>0.32500000000000001</v>
      </c>
      <c r="J712">
        <v>14</v>
      </c>
      <c r="K712">
        <v>3</v>
      </c>
      <c r="L712" t="s">
        <v>52</v>
      </c>
      <c r="M712" t="s">
        <v>53</v>
      </c>
      <c r="N712" t="s">
        <v>54</v>
      </c>
      <c r="O712">
        <v>1</v>
      </c>
      <c r="P712" t="s">
        <v>4</v>
      </c>
      <c r="Q712">
        <v>22.1</v>
      </c>
      <c r="R712" t="str">
        <f t="shared" si="23"/>
        <v>II</v>
      </c>
      <c r="S712">
        <f t="shared" si="24"/>
        <v>0.42112033333333332</v>
      </c>
    </row>
    <row r="713" spans="1:19">
      <c r="A713">
        <v>2062</v>
      </c>
      <c r="B713" t="s">
        <v>76</v>
      </c>
      <c r="C713">
        <v>0.5</v>
      </c>
      <c r="D713">
        <v>0.38</v>
      </c>
      <c r="E713">
        <v>0.14000000000000001</v>
      </c>
      <c r="F713">
        <v>0.63549999999999995</v>
      </c>
      <c r="G713">
        <v>0.27700000000000002</v>
      </c>
      <c r="H713">
        <v>0.14299999999999999</v>
      </c>
      <c r="I713">
        <v>0.17849999999999999</v>
      </c>
      <c r="J713">
        <v>8</v>
      </c>
      <c r="K713">
        <v>13</v>
      </c>
      <c r="L713" t="s">
        <v>43</v>
      </c>
      <c r="M713" t="s">
        <v>44</v>
      </c>
      <c r="N713" t="s">
        <v>45</v>
      </c>
      <c r="O713">
        <v>1</v>
      </c>
      <c r="P713" t="s">
        <v>4</v>
      </c>
      <c r="Q713">
        <v>22.1</v>
      </c>
      <c r="R713" t="str">
        <f t="shared" si="23"/>
        <v>II</v>
      </c>
      <c r="S713">
        <f t="shared" si="24"/>
        <v>0.23047466666666666</v>
      </c>
    </row>
    <row r="714" spans="1:19">
      <c r="A714">
        <v>2194</v>
      </c>
      <c r="B714" t="s">
        <v>76</v>
      </c>
      <c r="C714">
        <v>0.215</v>
      </c>
      <c r="D714">
        <v>0.17</v>
      </c>
      <c r="E714">
        <v>5.5E-2</v>
      </c>
      <c r="F714">
        <v>6.0499999999999998E-2</v>
      </c>
      <c r="G714">
        <v>2.0500000000000001E-2</v>
      </c>
      <c r="H714">
        <v>1.4E-2</v>
      </c>
      <c r="I714">
        <v>0.02</v>
      </c>
      <c r="J714">
        <v>6</v>
      </c>
      <c r="K714">
        <v>3</v>
      </c>
      <c r="L714" t="s">
        <v>52</v>
      </c>
      <c r="M714" t="s">
        <v>53</v>
      </c>
      <c r="N714" t="s">
        <v>54</v>
      </c>
      <c r="O714">
        <v>9</v>
      </c>
      <c r="P714" t="s">
        <v>9</v>
      </c>
      <c r="Q714">
        <v>1.9</v>
      </c>
      <c r="R714" t="str">
        <f t="shared" si="23"/>
        <v>II</v>
      </c>
      <c r="S714">
        <f t="shared" si="24"/>
        <v>1.7262666666666669E-2</v>
      </c>
    </row>
    <row r="715" spans="1:19">
      <c r="A715">
        <v>1860</v>
      </c>
      <c r="B715" t="s">
        <v>76</v>
      </c>
      <c r="C715">
        <v>0.51500000000000001</v>
      </c>
      <c r="D715">
        <v>0.41499999999999998</v>
      </c>
      <c r="E715">
        <v>0.13500000000000001</v>
      </c>
      <c r="F715">
        <v>0.71250000000000002</v>
      </c>
      <c r="G715">
        <v>0.28499999999999998</v>
      </c>
      <c r="H715">
        <v>0.152</v>
      </c>
      <c r="I715">
        <v>0.245</v>
      </c>
      <c r="J715">
        <v>10</v>
      </c>
      <c r="K715">
        <v>11</v>
      </c>
      <c r="L715" t="s">
        <v>65</v>
      </c>
      <c r="M715" t="s">
        <v>66</v>
      </c>
      <c r="N715" t="s">
        <v>45</v>
      </c>
      <c r="O715">
        <v>5</v>
      </c>
      <c r="P715" t="s">
        <v>12</v>
      </c>
      <c r="Q715">
        <v>12.8</v>
      </c>
      <c r="R715" t="str">
        <f t="shared" si="23"/>
        <v>II</v>
      </c>
      <c r="S715">
        <f t="shared" si="24"/>
        <v>0.26267499999999994</v>
      </c>
    </row>
    <row r="716" spans="1:19">
      <c r="A716">
        <v>938</v>
      </c>
      <c r="B716" t="s">
        <v>76</v>
      </c>
      <c r="C716">
        <v>0.45500000000000002</v>
      </c>
      <c r="D716">
        <v>0.35499999999999998</v>
      </c>
      <c r="E716">
        <v>0.125</v>
      </c>
      <c r="F716">
        <v>0.53249999999999997</v>
      </c>
      <c r="G716">
        <v>0.22500000000000001</v>
      </c>
      <c r="H716">
        <v>0.126</v>
      </c>
      <c r="I716">
        <v>0.14649999999999999</v>
      </c>
      <c r="J716">
        <v>7</v>
      </c>
      <c r="K716">
        <v>14</v>
      </c>
      <c r="L716" t="s">
        <v>72</v>
      </c>
      <c r="M716" t="s">
        <v>73</v>
      </c>
      <c r="N716" t="s">
        <v>74</v>
      </c>
      <c r="O716">
        <v>6</v>
      </c>
      <c r="P716" t="s">
        <v>7</v>
      </c>
      <c r="Q716">
        <v>14.1</v>
      </c>
      <c r="R716" t="str">
        <f t="shared" si="23"/>
        <v>II</v>
      </c>
      <c r="S716">
        <f t="shared" si="24"/>
        <v>0.187085</v>
      </c>
    </row>
    <row r="717" spans="1:19">
      <c r="A717">
        <v>3172</v>
      </c>
      <c r="B717" t="s">
        <v>76</v>
      </c>
      <c r="C717">
        <v>0.52500000000000002</v>
      </c>
      <c r="D717">
        <v>0.40500000000000003</v>
      </c>
      <c r="E717">
        <v>0.16</v>
      </c>
      <c r="F717">
        <v>0.79200000000000004</v>
      </c>
      <c r="G717">
        <v>0.316</v>
      </c>
      <c r="H717">
        <v>0.14549999999999999</v>
      </c>
      <c r="I717">
        <v>0.28000000000000003</v>
      </c>
      <c r="J717">
        <v>13</v>
      </c>
      <c r="K717">
        <v>10</v>
      </c>
      <c r="L717" t="s">
        <v>37</v>
      </c>
      <c r="M717" t="s">
        <v>38</v>
      </c>
      <c r="N717" t="s">
        <v>39</v>
      </c>
      <c r="O717">
        <v>8</v>
      </c>
      <c r="P717" t="s">
        <v>13</v>
      </c>
      <c r="Q717">
        <v>12.3</v>
      </c>
      <c r="R717" t="str">
        <f t="shared" si="23"/>
        <v>II</v>
      </c>
      <c r="S717">
        <f t="shared" si="24"/>
        <v>0.29462400000000005</v>
      </c>
    </row>
    <row r="718" spans="1:19">
      <c r="A718">
        <v>2300</v>
      </c>
      <c r="B718" t="s">
        <v>76</v>
      </c>
      <c r="C718">
        <v>0.495</v>
      </c>
      <c r="D718">
        <v>0.38500000000000001</v>
      </c>
      <c r="E718">
        <v>0.125</v>
      </c>
      <c r="F718">
        <v>0.58499999999999996</v>
      </c>
      <c r="G718">
        <v>0.27550000000000002</v>
      </c>
      <c r="H718">
        <v>0.1235</v>
      </c>
      <c r="I718">
        <v>0.16500000000000001</v>
      </c>
      <c r="J718">
        <v>8</v>
      </c>
      <c r="K718">
        <v>3</v>
      </c>
      <c r="L718" t="s">
        <v>52</v>
      </c>
      <c r="M718" t="s">
        <v>53</v>
      </c>
      <c r="N718" t="s">
        <v>54</v>
      </c>
      <c r="O718">
        <v>8</v>
      </c>
      <c r="P718" t="s">
        <v>13</v>
      </c>
      <c r="Q718">
        <v>12.3</v>
      </c>
      <c r="R718" t="str">
        <f t="shared" si="23"/>
        <v>II</v>
      </c>
      <c r="S718">
        <f t="shared" si="24"/>
        <v>0.21098999999999998</v>
      </c>
    </row>
    <row r="719" spans="1:19">
      <c r="A719">
        <v>203</v>
      </c>
      <c r="B719" t="s">
        <v>76</v>
      </c>
      <c r="C719">
        <v>0.5</v>
      </c>
      <c r="D719">
        <v>0.4</v>
      </c>
      <c r="E719">
        <v>0.14499999999999999</v>
      </c>
      <c r="F719">
        <v>0.63</v>
      </c>
      <c r="G719">
        <v>0.23400000000000001</v>
      </c>
      <c r="H719">
        <v>0.14649999999999999</v>
      </c>
      <c r="I719">
        <v>0.23</v>
      </c>
      <c r="J719">
        <v>12</v>
      </c>
      <c r="K719">
        <v>12</v>
      </c>
      <c r="L719" t="s">
        <v>58</v>
      </c>
      <c r="M719" t="s">
        <v>59</v>
      </c>
      <c r="N719" t="s">
        <v>45</v>
      </c>
      <c r="O719">
        <v>2</v>
      </c>
      <c r="P719" t="s">
        <v>5</v>
      </c>
      <c r="Q719">
        <v>18</v>
      </c>
      <c r="R719" t="str">
        <f t="shared" si="23"/>
        <v>II</v>
      </c>
      <c r="S719">
        <f t="shared" si="24"/>
        <v>0.23058000000000001</v>
      </c>
    </row>
    <row r="720" spans="1:19">
      <c r="A720">
        <v>3918</v>
      </c>
      <c r="B720" t="s">
        <v>76</v>
      </c>
      <c r="C720">
        <v>0.61499999999999999</v>
      </c>
      <c r="D720">
        <v>0.46</v>
      </c>
      <c r="E720">
        <v>0.19</v>
      </c>
      <c r="F720">
        <v>1.0660000000000001</v>
      </c>
      <c r="G720">
        <v>0.4335</v>
      </c>
      <c r="H720">
        <v>0.22600000000000001</v>
      </c>
      <c r="I720">
        <v>0.33</v>
      </c>
      <c r="J720">
        <v>13</v>
      </c>
      <c r="K720">
        <v>1</v>
      </c>
      <c r="L720" t="s">
        <v>70</v>
      </c>
      <c r="M720" t="s">
        <v>71</v>
      </c>
      <c r="N720" t="s">
        <v>45</v>
      </c>
      <c r="O720">
        <v>4</v>
      </c>
      <c r="P720" t="s">
        <v>8</v>
      </c>
      <c r="Q720">
        <v>6.1</v>
      </c>
      <c r="R720" t="str">
        <f t="shared" si="23"/>
        <v>III</v>
      </c>
      <c r="S720">
        <f t="shared" si="24"/>
        <v>0.5267816666666667</v>
      </c>
    </row>
    <row r="721" spans="1:19">
      <c r="A721">
        <v>2982</v>
      </c>
      <c r="B721" t="s">
        <v>76</v>
      </c>
      <c r="C721">
        <v>0.505</v>
      </c>
      <c r="D721">
        <v>0.38</v>
      </c>
      <c r="E721">
        <v>0.13</v>
      </c>
      <c r="F721">
        <v>0.69299999999999995</v>
      </c>
      <c r="G721">
        <v>0.39100000000000001</v>
      </c>
      <c r="H721">
        <v>0.1195</v>
      </c>
      <c r="I721">
        <v>0.1515</v>
      </c>
      <c r="J721">
        <v>8</v>
      </c>
      <c r="K721">
        <v>13</v>
      </c>
      <c r="L721" t="s">
        <v>43</v>
      </c>
      <c r="M721" t="s">
        <v>44</v>
      </c>
      <c r="N721" t="s">
        <v>45</v>
      </c>
      <c r="O721">
        <v>2</v>
      </c>
      <c r="P721" t="s">
        <v>5</v>
      </c>
      <c r="Q721">
        <v>18</v>
      </c>
      <c r="R721" t="str">
        <f t="shared" si="23"/>
        <v>II</v>
      </c>
      <c r="S721">
        <f t="shared" si="24"/>
        <v>0.25086599999999998</v>
      </c>
    </row>
    <row r="722" spans="1:19">
      <c r="A722">
        <v>4034</v>
      </c>
      <c r="B722" t="s">
        <v>76</v>
      </c>
      <c r="C722">
        <v>0.495</v>
      </c>
      <c r="D722">
        <v>0.38500000000000001</v>
      </c>
      <c r="E722">
        <v>0.125</v>
      </c>
      <c r="F722">
        <v>0.51249999999999996</v>
      </c>
      <c r="G722">
        <v>0.20749999999999999</v>
      </c>
      <c r="H722">
        <v>0.11550000000000001</v>
      </c>
      <c r="I722">
        <v>0.17199999999999999</v>
      </c>
      <c r="J722">
        <v>10</v>
      </c>
      <c r="K722">
        <v>7</v>
      </c>
      <c r="L722" t="s">
        <v>62</v>
      </c>
      <c r="M722" t="s">
        <v>63</v>
      </c>
      <c r="N722" t="s">
        <v>64</v>
      </c>
      <c r="O722">
        <v>2</v>
      </c>
      <c r="P722" t="s">
        <v>5</v>
      </c>
      <c r="Q722">
        <v>18</v>
      </c>
      <c r="R722" t="str">
        <f t="shared" si="23"/>
        <v>II</v>
      </c>
      <c r="S722">
        <f t="shared" si="24"/>
        <v>0.18484166666666665</v>
      </c>
    </row>
    <row r="723" spans="1:19">
      <c r="A723">
        <v>384</v>
      </c>
      <c r="B723" t="s">
        <v>76</v>
      </c>
      <c r="C723">
        <v>0.47</v>
      </c>
      <c r="D723">
        <v>0.375</v>
      </c>
      <c r="E723">
        <v>0.12</v>
      </c>
      <c r="F723">
        <v>0.55649999999999999</v>
      </c>
      <c r="G723">
        <v>0.22600000000000001</v>
      </c>
      <c r="H723">
        <v>0.122</v>
      </c>
      <c r="I723">
        <v>0.19500000000000001</v>
      </c>
      <c r="J723">
        <v>12</v>
      </c>
      <c r="K723">
        <v>15</v>
      </c>
      <c r="L723" t="s">
        <v>60</v>
      </c>
      <c r="M723" t="s">
        <v>61</v>
      </c>
      <c r="N723" t="s">
        <v>45</v>
      </c>
      <c r="O723">
        <v>6</v>
      </c>
      <c r="P723" t="s">
        <v>7</v>
      </c>
      <c r="Q723">
        <v>14.1</v>
      </c>
      <c r="R723" t="str">
        <f t="shared" si="23"/>
        <v>II</v>
      </c>
      <c r="S723">
        <f t="shared" si="24"/>
        <v>0.197743</v>
      </c>
    </row>
    <row r="724" spans="1:19">
      <c r="A724">
        <v>449</v>
      </c>
      <c r="B724" t="s">
        <v>76</v>
      </c>
      <c r="C724">
        <v>0.60499999999999998</v>
      </c>
      <c r="D724">
        <v>0.5</v>
      </c>
      <c r="E724">
        <v>0.17499999999999999</v>
      </c>
      <c r="F724">
        <v>1.0980000000000001</v>
      </c>
      <c r="G724">
        <v>0.47649999999999998</v>
      </c>
      <c r="H724">
        <v>0.23200000000000001</v>
      </c>
      <c r="I724">
        <v>0.375</v>
      </c>
      <c r="J724">
        <v>12</v>
      </c>
      <c r="K724">
        <v>10</v>
      </c>
      <c r="L724" t="s">
        <v>37</v>
      </c>
      <c r="M724" t="s">
        <v>38</v>
      </c>
      <c r="N724" t="s">
        <v>39</v>
      </c>
      <c r="O724">
        <v>8</v>
      </c>
      <c r="P724" t="s">
        <v>13</v>
      </c>
      <c r="Q724">
        <v>12.3</v>
      </c>
      <c r="R724" t="str">
        <f t="shared" si="23"/>
        <v>III</v>
      </c>
      <c r="S724">
        <f t="shared" si="24"/>
        <v>0.54534000000000005</v>
      </c>
    </row>
    <row r="725" spans="1:19">
      <c r="A725">
        <v>1845</v>
      </c>
      <c r="B725" t="s">
        <v>76</v>
      </c>
      <c r="C725">
        <v>0.435</v>
      </c>
      <c r="D725">
        <v>0.34499999999999997</v>
      </c>
      <c r="E725">
        <v>0.12</v>
      </c>
      <c r="F725">
        <v>0.32150000000000001</v>
      </c>
      <c r="G725">
        <v>0.13</v>
      </c>
      <c r="H725">
        <v>5.6000000000000001E-2</v>
      </c>
      <c r="I725">
        <v>0.11849999999999999</v>
      </c>
      <c r="J725">
        <v>7</v>
      </c>
      <c r="K725">
        <v>2</v>
      </c>
      <c r="L725" t="s">
        <v>49</v>
      </c>
      <c r="M725" t="s">
        <v>50</v>
      </c>
      <c r="N725" t="s">
        <v>51</v>
      </c>
      <c r="O725">
        <v>1</v>
      </c>
      <c r="P725" t="s">
        <v>4</v>
      </c>
      <c r="Q725">
        <v>22.1</v>
      </c>
      <c r="R725" t="str">
        <f t="shared" si="23"/>
        <v>II</v>
      </c>
      <c r="S725">
        <f t="shared" si="24"/>
        <v>0.11145333333333332</v>
      </c>
    </row>
    <row r="726" spans="1:19">
      <c r="A726">
        <v>1369</v>
      </c>
      <c r="B726" t="s">
        <v>76</v>
      </c>
      <c r="C726">
        <v>0.61</v>
      </c>
      <c r="D726">
        <v>0.46</v>
      </c>
      <c r="E726">
        <v>0.16</v>
      </c>
      <c r="F726">
        <v>1</v>
      </c>
      <c r="G726">
        <v>0.49399999999999999</v>
      </c>
      <c r="H726">
        <v>0.19700000000000001</v>
      </c>
      <c r="I726">
        <v>0.27500000000000002</v>
      </c>
      <c r="J726">
        <v>10</v>
      </c>
      <c r="K726">
        <v>7</v>
      </c>
      <c r="L726" t="s">
        <v>62</v>
      </c>
      <c r="M726" t="s">
        <v>63</v>
      </c>
      <c r="N726" t="s">
        <v>64</v>
      </c>
      <c r="O726">
        <v>10</v>
      </c>
      <c r="P726" t="s">
        <v>11</v>
      </c>
      <c r="Q726">
        <v>24.1</v>
      </c>
      <c r="R726" t="str">
        <f t="shared" si="23"/>
        <v>III</v>
      </c>
      <c r="S726">
        <f t="shared" si="24"/>
        <v>0.48833333333333334</v>
      </c>
    </row>
    <row r="727" spans="1:19">
      <c r="A727">
        <v>369</v>
      </c>
      <c r="B727" t="s">
        <v>76</v>
      </c>
      <c r="C727">
        <v>0.63</v>
      </c>
      <c r="D727">
        <v>0.49</v>
      </c>
      <c r="E727">
        <v>0.18</v>
      </c>
      <c r="F727">
        <v>1.1299999999999999</v>
      </c>
      <c r="G727">
        <v>0.45800000000000002</v>
      </c>
      <c r="H727">
        <v>0.27650000000000002</v>
      </c>
      <c r="I727">
        <v>0.315</v>
      </c>
      <c r="J727">
        <v>12</v>
      </c>
      <c r="K727">
        <v>12</v>
      </c>
      <c r="L727" t="s">
        <v>58</v>
      </c>
      <c r="M727" t="s">
        <v>59</v>
      </c>
      <c r="N727" t="s">
        <v>45</v>
      </c>
      <c r="O727">
        <v>10</v>
      </c>
      <c r="P727" t="s">
        <v>11</v>
      </c>
      <c r="Q727">
        <v>24.1</v>
      </c>
      <c r="R727" t="str">
        <f t="shared" si="23"/>
        <v>III</v>
      </c>
      <c r="S727">
        <f t="shared" si="24"/>
        <v>0.56500000000000006</v>
      </c>
    </row>
    <row r="728" spans="1:19">
      <c r="A728">
        <v>3585</v>
      </c>
      <c r="B728" t="s">
        <v>76</v>
      </c>
      <c r="C728">
        <v>0.625</v>
      </c>
      <c r="D728">
        <v>0.49</v>
      </c>
      <c r="E728">
        <v>0.16500000000000001</v>
      </c>
      <c r="F728">
        <v>1.1835</v>
      </c>
      <c r="G728">
        <v>0.51700000000000002</v>
      </c>
      <c r="H728">
        <v>0.23749999999999999</v>
      </c>
      <c r="I728">
        <v>0.39</v>
      </c>
      <c r="J728">
        <v>11</v>
      </c>
      <c r="K728">
        <v>14</v>
      </c>
      <c r="L728" t="s">
        <v>72</v>
      </c>
      <c r="M728" t="s">
        <v>73</v>
      </c>
      <c r="N728" t="s">
        <v>74</v>
      </c>
      <c r="O728">
        <v>1</v>
      </c>
      <c r="P728" t="s">
        <v>4</v>
      </c>
      <c r="Q728">
        <v>22.1</v>
      </c>
      <c r="R728" t="str">
        <f t="shared" si="23"/>
        <v>I</v>
      </c>
      <c r="S728">
        <f t="shared" si="24"/>
        <v>0.88170750000000009</v>
      </c>
    </row>
    <row r="729" spans="1:19">
      <c r="A729">
        <v>2760</v>
      </c>
      <c r="B729" t="s">
        <v>76</v>
      </c>
      <c r="C729">
        <v>0.54500000000000004</v>
      </c>
      <c r="D729">
        <v>0.44</v>
      </c>
      <c r="E729">
        <v>0.15</v>
      </c>
      <c r="F729">
        <v>0.94750000000000001</v>
      </c>
      <c r="G729">
        <v>0.36599999999999999</v>
      </c>
      <c r="H729">
        <v>0.23899999999999999</v>
      </c>
      <c r="I729">
        <v>0.27500000000000002</v>
      </c>
      <c r="J729">
        <v>8</v>
      </c>
      <c r="K729">
        <v>3</v>
      </c>
      <c r="L729" t="s">
        <v>52</v>
      </c>
      <c r="M729" t="s">
        <v>53</v>
      </c>
      <c r="N729" t="s">
        <v>54</v>
      </c>
      <c r="O729">
        <v>4</v>
      </c>
      <c r="P729" t="s">
        <v>8</v>
      </c>
      <c r="Q729">
        <v>6.1</v>
      </c>
      <c r="R729" t="str">
        <f t="shared" si="23"/>
        <v>II</v>
      </c>
      <c r="S729">
        <f t="shared" si="24"/>
        <v>0.35815500000000011</v>
      </c>
    </row>
    <row r="730" spans="1:19">
      <c r="A730">
        <v>550</v>
      </c>
      <c r="B730" t="s">
        <v>76</v>
      </c>
      <c r="C730">
        <v>0.55500000000000005</v>
      </c>
      <c r="D730">
        <v>0.42499999999999999</v>
      </c>
      <c r="E730">
        <v>0.18</v>
      </c>
      <c r="F730">
        <v>0.875</v>
      </c>
      <c r="G730">
        <v>0.3695</v>
      </c>
      <c r="H730">
        <v>0.20050000000000001</v>
      </c>
      <c r="I730">
        <v>0.255</v>
      </c>
      <c r="J730">
        <v>11</v>
      </c>
      <c r="K730">
        <v>5</v>
      </c>
      <c r="L730" t="s">
        <v>67</v>
      </c>
      <c r="M730" t="s">
        <v>68</v>
      </c>
      <c r="N730" t="s">
        <v>69</v>
      </c>
      <c r="O730">
        <v>8</v>
      </c>
      <c r="P730" t="s">
        <v>13</v>
      </c>
      <c r="Q730">
        <v>12.3</v>
      </c>
      <c r="R730" t="str">
        <f t="shared" si="23"/>
        <v>II</v>
      </c>
      <c r="S730">
        <f t="shared" si="24"/>
        <v>0.33366666666666667</v>
      </c>
    </row>
    <row r="731" spans="1:19">
      <c r="A731">
        <v>269</v>
      </c>
      <c r="B731" t="s">
        <v>76</v>
      </c>
      <c r="C731">
        <v>0.47</v>
      </c>
      <c r="D731">
        <v>0.39</v>
      </c>
      <c r="E731">
        <v>0.15</v>
      </c>
      <c r="F731">
        <v>0.63549999999999995</v>
      </c>
      <c r="G731">
        <v>0.2185</v>
      </c>
      <c r="H731">
        <v>8.8499999999999995E-2</v>
      </c>
      <c r="I731">
        <v>0.255</v>
      </c>
      <c r="J731">
        <v>9</v>
      </c>
      <c r="K731">
        <v>11</v>
      </c>
      <c r="L731" t="s">
        <v>65</v>
      </c>
      <c r="M731" t="s">
        <v>66</v>
      </c>
      <c r="N731" t="s">
        <v>45</v>
      </c>
      <c r="O731">
        <v>5</v>
      </c>
      <c r="P731" t="s">
        <v>12</v>
      </c>
      <c r="Q731">
        <v>12.8</v>
      </c>
      <c r="R731" t="str">
        <f t="shared" si="23"/>
        <v>II</v>
      </c>
      <c r="S731">
        <f t="shared" si="24"/>
        <v>0.22962733333333332</v>
      </c>
    </row>
    <row r="732" spans="1:19">
      <c r="A732">
        <v>3906</v>
      </c>
      <c r="B732" t="s">
        <v>76</v>
      </c>
      <c r="C732">
        <v>0.38</v>
      </c>
      <c r="D732">
        <v>0.27</v>
      </c>
      <c r="E732">
        <v>9.5000000000000001E-2</v>
      </c>
      <c r="F732">
        <v>0.219</v>
      </c>
      <c r="G732">
        <v>8.3500000000000005E-2</v>
      </c>
      <c r="H732">
        <v>5.1499999999999997E-2</v>
      </c>
      <c r="I732">
        <v>7.0000000000000007E-2</v>
      </c>
      <c r="J732">
        <v>6</v>
      </c>
      <c r="K732">
        <v>8</v>
      </c>
      <c r="L732" t="s">
        <v>55</v>
      </c>
      <c r="M732" t="s">
        <v>56</v>
      </c>
      <c r="N732" t="s">
        <v>57</v>
      </c>
      <c r="O732">
        <v>4</v>
      </c>
      <c r="P732" t="s">
        <v>8</v>
      </c>
      <c r="Q732">
        <v>6.1</v>
      </c>
      <c r="R732" t="str">
        <f t="shared" si="23"/>
        <v>II</v>
      </c>
      <c r="S732">
        <f t="shared" si="24"/>
        <v>7.1393999999999999E-2</v>
      </c>
    </row>
    <row r="733" spans="1:19">
      <c r="A733">
        <v>293</v>
      </c>
      <c r="B733" t="s">
        <v>76</v>
      </c>
      <c r="C733">
        <v>0.61</v>
      </c>
      <c r="D733">
        <v>0.47499999999999998</v>
      </c>
      <c r="E733">
        <v>0.16500000000000001</v>
      </c>
      <c r="F733">
        <v>1.1160000000000001</v>
      </c>
      <c r="G733">
        <v>0.42799999999999999</v>
      </c>
      <c r="H733">
        <v>0.2205</v>
      </c>
      <c r="I733">
        <v>0.315</v>
      </c>
      <c r="J733">
        <v>15</v>
      </c>
      <c r="K733">
        <v>14</v>
      </c>
      <c r="L733" t="s">
        <v>72</v>
      </c>
      <c r="M733" t="s">
        <v>73</v>
      </c>
      <c r="N733" t="s">
        <v>74</v>
      </c>
      <c r="O733">
        <v>5</v>
      </c>
      <c r="P733" t="s">
        <v>12</v>
      </c>
      <c r="Q733">
        <v>12.8</v>
      </c>
      <c r="R733" t="str">
        <f t="shared" si="23"/>
        <v>III</v>
      </c>
      <c r="S733">
        <f t="shared" si="24"/>
        <v>0.54869999999999997</v>
      </c>
    </row>
    <row r="734" spans="1:19">
      <c r="A734">
        <v>429</v>
      </c>
      <c r="B734" t="s">
        <v>76</v>
      </c>
      <c r="C734">
        <v>0.56000000000000005</v>
      </c>
      <c r="D734">
        <v>0.45500000000000002</v>
      </c>
      <c r="E734">
        <v>0.125</v>
      </c>
      <c r="F734">
        <v>0.94299999999999995</v>
      </c>
      <c r="G734">
        <v>0.34399999999999997</v>
      </c>
      <c r="H734">
        <v>0.129</v>
      </c>
      <c r="I734">
        <v>0.375</v>
      </c>
      <c r="J734">
        <v>21</v>
      </c>
      <c r="K734">
        <v>12</v>
      </c>
      <c r="L734" t="s">
        <v>58</v>
      </c>
      <c r="M734" t="s">
        <v>59</v>
      </c>
      <c r="N734" t="s">
        <v>45</v>
      </c>
      <c r="O734">
        <v>9</v>
      </c>
      <c r="P734" t="s">
        <v>9</v>
      </c>
      <c r="Q734">
        <v>1.9</v>
      </c>
      <c r="R734" t="str">
        <f t="shared" si="23"/>
        <v>II</v>
      </c>
      <c r="S734">
        <f t="shared" si="24"/>
        <v>0.35708266666666666</v>
      </c>
    </row>
    <row r="735" spans="1:19">
      <c r="A735">
        <v>3997</v>
      </c>
      <c r="B735" t="s">
        <v>76</v>
      </c>
      <c r="C735">
        <v>0.315</v>
      </c>
      <c r="D735">
        <v>0.23</v>
      </c>
      <c r="E735">
        <v>0</v>
      </c>
      <c r="F735">
        <v>0.13400000000000001</v>
      </c>
      <c r="G735">
        <v>5.7500000000000002E-2</v>
      </c>
      <c r="H735">
        <v>2.8500000000000001E-2</v>
      </c>
      <c r="I735">
        <v>0.35049999999999998</v>
      </c>
      <c r="J735">
        <v>6</v>
      </c>
      <c r="K735">
        <v>9</v>
      </c>
      <c r="L735" t="s">
        <v>34</v>
      </c>
      <c r="M735" t="s">
        <v>35</v>
      </c>
      <c r="N735" t="s">
        <v>36</v>
      </c>
      <c r="O735">
        <v>5</v>
      </c>
      <c r="P735" t="s">
        <v>12</v>
      </c>
      <c r="Q735">
        <v>12.8</v>
      </c>
      <c r="R735" t="str">
        <f t="shared" si="23"/>
        <v>II</v>
      </c>
      <c r="S735">
        <f t="shared" si="24"/>
        <v>4.0110666666666676E-2</v>
      </c>
    </row>
    <row r="736" spans="1:19">
      <c r="A736">
        <v>962</v>
      </c>
      <c r="B736" t="s">
        <v>76</v>
      </c>
      <c r="C736">
        <v>0.505</v>
      </c>
      <c r="D736">
        <v>0.39</v>
      </c>
      <c r="E736">
        <v>0.13</v>
      </c>
      <c r="F736">
        <v>0.67400000000000004</v>
      </c>
      <c r="G736">
        <v>0.3165</v>
      </c>
      <c r="H736">
        <v>0.14099999999999999</v>
      </c>
      <c r="I736">
        <v>0.17849999999999999</v>
      </c>
      <c r="J736">
        <v>9</v>
      </c>
      <c r="K736">
        <v>6</v>
      </c>
      <c r="L736" t="s">
        <v>46</v>
      </c>
      <c r="M736" t="s">
        <v>47</v>
      </c>
      <c r="N736" t="s">
        <v>48</v>
      </c>
      <c r="O736">
        <v>10</v>
      </c>
      <c r="P736" t="s">
        <v>11</v>
      </c>
      <c r="Q736">
        <v>24.1</v>
      </c>
      <c r="R736" t="str">
        <f t="shared" si="23"/>
        <v>II</v>
      </c>
      <c r="S736">
        <f t="shared" si="24"/>
        <v>0.2448866666666667</v>
      </c>
    </row>
    <row r="737" spans="1:19">
      <c r="A737">
        <v>3803</v>
      </c>
      <c r="B737" t="s">
        <v>76</v>
      </c>
      <c r="C737">
        <v>0.30499999999999999</v>
      </c>
      <c r="D737">
        <v>0.23</v>
      </c>
      <c r="E737">
        <v>7.4999999999999997E-2</v>
      </c>
      <c r="F737">
        <v>0.14549999999999999</v>
      </c>
      <c r="G737">
        <v>5.9499999999999997E-2</v>
      </c>
      <c r="H737">
        <v>3.0499999999999999E-2</v>
      </c>
      <c r="I737">
        <v>0.05</v>
      </c>
      <c r="J737">
        <v>6</v>
      </c>
      <c r="K737">
        <v>5</v>
      </c>
      <c r="L737" t="s">
        <v>67</v>
      </c>
      <c r="M737" t="s">
        <v>68</v>
      </c>
      <c r="N737" t="s">
        <v>69</v>
      </c>
      <c r="O737">
        <v>1</v>
      </c>
      <c r="P737" t="s">
        <v>4</v>
      </c>
      <c r="Q737">
        <v>22.1</v>
      </c>
      <c r="R737" t="str">
        <f t="shared" si="23"/>
        <v>II</v>
      </c>
      <c r="S737">
        <f t="shared" si="24"/>
        <v>4.4814E-2</v>
      </c>
    </row>
    <row r="738" spans="1:19">
      <c r="A738">
        <v>300</v>
      </c>
      <c r="B738" t="s">
        <v>76</v>
      </c>
      <c r="C738">
        <v>0.37</v>
      </c>
      <c r="D738">
        <v>0.28000000000000003</v>
      </c>
      <c r="E738">
        <v>0.105</v>
      </c>
      <c r="F738">
        <v>0.23400000000000001</v>
      </c>
      <c r="G738">
        <v>9.0499999999999997E-2</v>
      </c>
      <c r="H738">
        <v>5.8500000000000003E-2</v>
      </c>
      <c r="I738">
        <v>7.4999999999999997E-2</v>
      </c>
      <c r="J738">
        <v>9</v>
      </c>
      <c r="K738">
        <v>9</v>
      </c>
      <c r="L738" t="s">
        <v>34</v>
      </c>
      <c r="M738" t="s">
        <v>35</v>
      </c>
      <c r="N738" t="s">
        <v>36</v>
      </c>
      <c r="O738">
        <v>9</v>
      </c>
      <c r="P738" t="s">
        <v>9</v>
      </c>
      <c r="Q738">
        <v>1.9</v>
      </c>
      <c r="R738" t="str">
        <f t="shared" si="23"/>
        <v>II</v>
      </c>
      <c r="S738">
        <f t="shared" si="24"/>
        <v>7.6595999999999997E-2</v>
      </c>
    </row>
    <row r="739" spans="1:19">
      <c r="A739">
        <v>3019</v>
      </c>
      <c r="B739" t="s">
        <v>76</v>
      </c>
      <c r="C739">
        <v>0.44</v>
      </c>
      <c r="D739">
        <v>0.32</v>
      </c>
      <c r="E739">
        <v>0.105</v>
      </c>
      <c r="F739">
        <v>0.38750000000000001</v>
      </c>
      <c r="G739">
        <v>0.17549999999999999</v>
      </c>
      <c r="H739">
        <v>7.3999999999999996E-2</v>
      </c>
      <c r="I739">
        <v>0.12</v>
      </c>
      <c r="J739">
        <v>9</v>
      </c>
      <c r="K739">
        <v>1</v>
      </c>
      <c r="L739" t="s">
        <v>70</v>
      </c>
      <c r="M739" t="s">
        <v>71</v>
      </c>
      <c r="N739" t="s">
        <v>45</v>
      </c>
      <c r="O739">
        <v>3</v>
      </c>
      <c r="P739" t="s">
        <v>10</v>
      </c>
      <c r="Q739">
        <v>3.6</v>
      </c>
      <c r="R739" t="str">
        <f t="shared" si="23"/>
        <v>II</v>
      </c>
      <c r="S739">
        <f t="shared" si="24"/>
        <v>0.132525</v>
      </c>
    </row>
    <row r="740" spans="1:19">
      <c r="A740">
        <v>2225</v>
      </c>
      <c r="B740" t="s">
        <v>76</v>
      </c>
      <c r="C740">
        <v>0.55000000000000004</v>
      </c>
      <c r="D740">
        <v>0.42499999999999999</v>
      </c>
      <c r="E740">
        <v>0.14499999999999999</v>
      </c>
      <c r="F740">
        <v>0.79700000000000004</v>
      </c>
      <c r="G740">
        <v>0.29699999999999999</v>
      </c>
      <c r="H740">
        <v>0.15</v>
      </c>
      <c r="I740">
        <v>0.26500000000000001</v>
      </c>
      <c r="J740">
        <v>9</v>
      </c>
      <c r="K740">
        <v>5</v>
      </c>
      <c r="L740" t="s">
        <v>67</v>
      </c>
      <c r="M740" t="s">
        <v>68</v>
      </c>
      <c r="N740" t="s">
        <v>69</v>
      </c>
      <c r="O740">
        <v>2</v>
      </c>
      <c r="P740" t="s">
        <v>5</v>
      </c>
      <c r="Q740">
        <v>18</v>
      </c>
      <c r="R740" t="str">
        <f t="shared" si="23"/>
        <v>II</v>
      </c>
      <c r="S740">
        <f t="shared" si="24"/>
        <v>0.29967199999999999</v>
      </c>
    </row>
    <row r="741" spans="1:19">
      <c r="A741">
        <v>3491</v>
      </c>
      <c r="B741" t="s">
        <v>76</v>
      </c>
      <c r="C741">
        <v>0.53500000000000003</v>
      </c>
      <c r="D741">
        <v>0.42</v>
      </c>
      <c r="E741">
        <v>0.16</v>
      </c>
      <c r="F741">
        <v>0.74650000000000005</v>
      </c>
      <c r="G741">
        <v>0.34799999999999998</v>
      </c>
      <c r="H741">
        <v>0.1515</v>
      </c>
      <c r="I741">
        <v>0.2185</v>
      </c>
      <c r="J741">
        <v>10</v>
      </c>
      <c r="K741">
        <v>10</v>
      </c>
      <c r="L741" t="s">
        <v>37</v>
      </c>
      <c r="M741" t="s">
        <v>38</v>
      </c>
      <c r="N741" t="s">
        <v>39</v>
      </c>
      <c r="O741">
        <v>2</v>
      </c>
      <c r="P741" t="s">
        <v>5</v>
      </c>
      <c r="Q741">
        <v>18</v>
      </c>
      <c r="R741" t="str">
        <f t="shared" si="23"/>
        <v>II</v>
      </c>
      <c r="S741">
        <f t="shared" si="24"/>
        <v>0.28018633333333337</v>
      </c>
    </row>
    <row r="742" spans="1:19">
      <c r="A742">
        <v>1243</v>
      </c>
      <c r="B742" t="s">
        <v>76</v>
      </c>
      <c r="C742">
        <v>0.38500000000000001</v>
      </c>
      <c r="D742">
        <v>0.28999999999999998</v>
      </c>
      <c r="E742">
        <v>0.09</v>
      </c>
      <c r="F742">
        <v>0.26150000000000001</v>
      </c>
      <c r="G742">
        <v>0.111</v>
      </c>
      <c r="H742">
        <v>5.9499999999999997E-2</v>
      </c>
      <c r="I742">
        <v>7.4499999999999997E-2</v>
      </c>
      <c r="J742">
        <v>9</v>
      </c>
      <c r="K742">
        <v>8</v>
      </c>
      <c r="L742" t="s">
        <v>55</v>
      </c>
      <c r="M742" t="s">
        <v>56</v>
      </c>
      <c r="N742" t="s">
        <v>57</v>
      </c>
      <c r="O742">
        <v>10</v>
      </c>
      <c r="P742" t="s">
        <v>11</v>
      </c>
      <c r="Q742">
        <v>24.1</v>
      </c>
      <c r="R742" t="str">
        <f t="shared" si="23"/>
        <v>II</v>
      </c>
      <c r="S742">
        <f t="shared" si="24"/>
        <v>8.5946333333333347E-2</v>
      </c>
    </row>
    <row r="743" spans="1:19">
      <c r="A743">
        <v>2940</v>
      </c>
      <c r="B743" t="s">
        <v>76</v>
      </c>
      <c r="C743">
        <v>0.625</v>
      </c>
      <c r="D743">
        <v>0.49</v>
      </c>
      <c r="E743">
        <v>0.14499999999999999</v>
      </c>
      <c r="F743">
        <v>0.92</v>
      </c>
      <c r="G743">
        <v>0.437</v>
      </c>
      <c r="H743">
        <v>0.17349999999999999</v>
      </c>
      <c r="I743">
        <v>0.28000000000000003</v>
      </c>
      <c r="J743">
        <v>10</v>
      </c>
      <c r="K743">
        <v>7</v>
      </c>
      <c r="L743" t="s">
        <v>62</v>
      </c>
      <c r="M743" t="s">
        <v>63</v>
      </c>
      <c r="N743" t="s">
        <v>64</v>
      </c>
      <c r="O743">
        <v>1</v>
      </c>
      <c r="P743" t="s">
        <v>4</v>
      </c>
      <c r="Q743">
        <v>22.1</v>
      </c>
      <c r="R743" t="str">
        <f t="shared" si="23"/>
        <v>III</v>
      </c>
      <c r="S743">
        <f t="shared" si="24"/>
        <v>0.45386666666666675</v>
      </c>
    </row>
    <row r="744" spans="1:19">
      <c r="A744">
        <v>304</v>
      </c>
      <c r="B744" t="s">
        <v>76</v>
      </c>
      <c r="C744">
        <v>0.36</v>
      </c>
      <c r="D744">
        <v>0.27</v>
      </c>
      <c r="E744">
        <v>0.1</v>
      </c>
      <c r="F744">
        <v>0.217</v>
      </c>
      <c r="G744">
        <v>8.8499999999999995E-2</v>
      </c>
      <c r="H744">
        <v>4.9500000000000002E-2</v>
      </c>
      <c r="I744">
        <v>7.1499999999999994E-2</v>
      </c>
      <c r="J744">
        <v>6</v>
      </c>
      <c r="K744">
        <v>7</v>
      </c>
      <c r="L744" t="s">
        <v>62</v>
      </c>
      <c r="M744" t="s">
        <v>63</v>
      </c>
      <c r="N744" t="s">
        <v>64</v>
      </c>
      <c r="O744">
        <v>5</v>
      </c>
      <c r="P744" t="s">
        <v>12</v>
      </c>
      <c r="Q744">
        <v>12.8</v>
      </c>
      <c r="R744" t="str">
        <f t="shared" si="23"/>
        <v>II</v>
      </c>
      <c r="S744">
        <f t="shared" si="24"/>
        <v>7.0308000000000009E-2</v>
      </c>
    </row>
    <row r="745" spans="1:19">
      <c r="A745">
        <v>3316</v>
      </c>
      <c r="B745" t="s">
        <v>76</v>
      </c>
      <c r="C745">
        <v>0.35</v>
      </c>
      <c r="D745">
        <v>0.26</v>
      </c>
      <c r="E745">
        <v>0.09</v>
      </c>
      <c r="F745">
        <v>0.19500000000000001</v>
      </c>
      <c r="G745">
        <v>7.4499999999999997E-2</v>
      </c>
      <c r="H745">
        <v>4.1000000000000002E-2</v>
      </c>
      <c r="I745">
        <v>6.5500000000000003E-2</v>
      </c>
      <c r="J745">
        <v>9</v>
      </c>
      <c r="K745">
        <v>10</v>
      </c>
      <c r="L745" t="s">
        <v>37</v>
      </c>
      <c r="M745" t="s">
        <v>38</v>
      </c>
      <c r="N745" t="s">
        <v>39</v>
      </c>
      <c r="O745">
        <v>10</v>
      </c>
      <c r="P745" t="s">
        <v>11</v>
      </c>
      <c r="Q745">
        <v>24.1</v>
      </c>
      <c r="R745" t="str">
        <f t="shared" si="23"/>
        <v>II</v>
      </c>
      <c r="S745">
        <f t="shared" si="24"/>
        <v>6.2400000000000004E-2</v>
      </c>
    </row>
    <row r="746" spans="1:19">
      <c r="A746">
        <v>3869</v>
      </c>
      <c r="B746" t="s">
        <v>76</v>
      </c>
      <c r="C746">
        <v>0.44</v>
      </c>
      <c r="D746">
        <v>0.34</v>
      </c>
      <c r="E746">
        <v>0.13500000000000001</v>
      </c>
      <c r="F746">
        <v>0.39750000000000002</v>
      </c>
      <c r="G746">
        <v>0.15049999999999999</v>
      </c>
      <c r="H746">
        <v>9.4500000000000001E-2</v>
      </c>
      <c r="I746">
        <v>0.13500000000000001</v>
      </c>
      <c r="J746">
        <v>8</v>
      </c>
      <c r="K746">
        <v>4</v>
      </c>
      <c r="L746" t="s">
        <v>40</v>
      </c>
      <c r="M746" t="s">
        <v>41</v>
      </c>
      <c r="N746" t="s">
        <v>42</v>
      </c>
      <c r="O746">
        <v>8</v>
      </c>
      <c r="P746" t="s">
        <v>13</v>
      </c>
      <c r="Q746">
        <v>12.3</v>
      </c>
      <c r="R746" t="str">
        <f t="shared" si="23"/>
        <v>II</v>
      </c>
      <c r="S746">
        <f t="shared" si="24"/>
        <v>0.138595</v>
      </c>
    </row>
    <row r="747" spans="1:19">
      <c r="A747">
        <v>818</v>
      </c>
      <c r="B747" t="s">
        <v>76</v>
      </c>
      <c r="C747">
        <v>0.35</v>
      </c>
      <c r="D747">
        <v>0.27</v>
      </c>
      <c r="E747">
        <v>0.09</v>
      </c>
      <c r="F747">
        <v>0.20549999999999999</v>
      </c>
      <c r="G747">
        <v>7.4999999999999997E-2</v>
      </c>
      <c r="H747">
        <v>5.7500000000000002E-2</v>
      </c>
      <c r="I747">
        <v>6.2E-2</v>
      </c>
      <c r="J747">
        <v>6</v>
      </c>
      <c r="K747">
        <v>7</v>
      </c>
      <c r="L747" t="s">
        <v>62</v>
      </c>
      <c r="M747" t="s">
        <v>63</v>
      </c>
      <c r="N747" t="s">
        <v>64</v>
      </c>
      <c r="O747">
        <v>1</v>
      </c>
      <c r="P747" t="s">
        <v>4</v>
      </c>
      <c r="Q747">
        <v>22.1</v>
      </c>
      <c r="R747" t="str">
        <f t="shared" si="23"/>
        <v>II</v>
      </c>
      <c r="S747">
        <f t="shared" si="24"/>
        <v>6.6033999999999995E-2</v>
      </c>
    </row>
    <row r="748" spans="1:19">
      <c r="A748">
        <v>3668</v>
      </c>
      <c r="B748" t="s">
        <v>76</v>
      </c>
      <c r="C748">
        <v>0.58499999999999996</v>
      </c>
      <c r="D748">
        <v>0.42</v>
      </c>
      <c r="E748">
        <v>0.155</v>
      </c>
      <c r="F748">
        <v>1.034</v>
      </c>
      <c r="G748">
        <v>0.437</v>
      </c>
      <c r="H748">
        <v>0.2225</v>
      </c>
      <c r="I748">
        <v>0.32</v>
      </c>
      <c r="J748">
        <v>11</v>
      </c>
      <c r="K748">
        <v>15</v>
      </c>
      <c r="L748" t="s">
        <v>60</v>
      </c>
      <c r="M748" t="s">
        <v>61</v>
      </c>
      <c r="N748" t="s">
        <v>45</v>
      </c>
      <c r="O748">
        <v>3</v>
      </c>
      <c r="P748" t="s">
        <v>10</v>
      </c>
      <c r="Q748">
        <v>3.6</v>
      </c>
      <c r="R748" t="str">
        <f t="shared" si="23"/>
        <v>III</v>
      </c>
      <c r="S748">
        <f t="shared" si="24"/>
        <v>0.49287333333333333</v>
      </c>
    </row>
    <row r="749" spans="1:19">
      <c r="A749">
        <v>3728</v>
      </c>
      <c r="B749" t="s">
        <v>76</v>
      </c>
      <c r="C749">
        <v>0.505</v>
      </c>
      <c r="D749">
        <v>0.4</v>
      </c>
      <c r="E749">
        <v>0.15</v>
      </c>
      <c r="F749">
        <v>0.77500000000000002</v>
      </c>
      <c r="G749">
        <v>0.34449999999999997</v>
      </c>
      <c r="H749">
        <v>0.157</v>
      </c>
      <c r="I749">
        <v>0.185</v>
      </c>
      <c r="J749">
        <v>7</v>
      </c>
      <c r="K749">
        <v>13</v>
      </c>
      <c r="L749" t="s">
        <v>43</v>
      </c>
      <c r="M749" t="s">
        <v>44</v>
      </c>
      <c r="N749" t="s">
        <v>45</v>
      </c>
      <c r="O749">
        <v>6</v>
      </c>
      <c r="P749" t="s">
        <v>7</v>
      </c>
      <c r="Q749">
        <v>14.1</v>
      </c>
      <c r="R749" t="str">
        <f t="shared" si="23"/>
        <v>II</v>
      </c>
      <c r="S749">
        <f t="shared" si="24"/>
        <v>0.28468333333333334</v>
      </c>
    </row>
    <row r="750" spans="1:19">
      <c r="A750">
        <v>1157</v>
      </c>
      <c r="B750" t="s">
        <v>76</v>
      </c>
      <c r="C750">
        <v>0.6</v>
      </c>
      <c r="D750">
        <v>0.46500000000000002</v>
      </c>
      <c r="E750">
        <v>0.155</v>
      </c>
      <c r="F750">
        <v>1.0165</v>
      </c>
      <c r="G750">
        <v>0.51200000000000001</v>
      </c>
      <c r="H750">
        <v>0.2465</v>
      </c>
      <c r="I750">
        <v>0.22500000000000001</v>
      </c>
      <c r="J750">
        <v>10</v>
      </c>
      <c r="K750">
        <v>5</v>
      </c>
      <c r="L750" t="s">
        <v>67</v>
      </c>
      <c r="M750" t="s">
        <v>68</v>
      </c>
      <c r="N750" t="s">
        <v>69</v>
      </c>
      <c r="O750">
        <v>7</v>
      </c>
      <c r="P750" t="s">
        <v>6</v>
      </c>
      <c r="Q750">
        <v>2.5</v>
      </c>
      <c r="R750" t="str">
        <f t="shared" si="23"/>
        <v>I</v>
      </c>
      <c r="S750">
        <f t="shared" si="24"/>
        <v>0.74204499999999995</v>
      </c>
    </row>
    <row r="751" spans="1:19">
      <c r="A751">
        <v>3784</v>
      </c>
      <c r="B751" t="s">
        <v>76</v>
      </c>
      <c r="C751">
        <v>0.62</v>
      </c>
      <c r="D751">
        <v>0.48</v>
      </c>
      <c r="E751">
        <v>0.18</v>
      </c>
      <c r="F751">
        <v>1.1305000000000001</v>
      </c>
      <c r="G751">
        <v>0.52849999999999997</v>
      </c>
      <c r="H751">
        <v>0.26550000000000001</v>
      </c>
      <c r="I751">
        <v>0.30599999999999999</v>
      </c>
      <c r="J751">
        <v>12</v>
      </c>
      <c r="K751">
        <v>14</v>
      </c>
      <c r="L751" t="s">
        <v>72</v>
      </c>
      <c r="M751" t="s">
        <v>73</v>
      </c>
      <c r="N751" t="s">
        <v>74</v>
      </c>
      <c r="O751">
        <v>9</v>
      </c>
      <c r="P751" t="s">
        <v>9</v>
      </c>
      <c r="Q751">
        <v>1.9</v>
      </c>
      <c r="R751" t="str">
        <f t="shared" si="23"/>
        <v>I</v>
      </c>
      <c r="S751">
        <f t="shared" si="24"/>
        <v>0.84222249999999999</v>
      </c>
    </row>
    <row r="752" spans="1:19">
      <c r="A752">
        <v>641</v>
      </c>
      <c r="B752" t="s">
        <v>76</v>
      </c>
      <c r="C752">
        <v>0.32500000000000001</v>
      </c>
      <c r="D752">
        <v>0.24</v>
      </c>
      <c r="E752">
        <v>8.5000000000000006E-2</v>
      </c>
      <c r="F752">
        <v>0.17299999999999999</v>
      </c>
      <c r="G752">
        <v>7.9500000000000001E-2</v>
      </c>
      <c r="H752">
        <v>3.7999999999999999E-2</v>
      </c>
      <c r="I752">
        <v>0.05</v>
      </c>
      <c r="J752">
        <v>7</v>
      </c>
      <c r="K752">
        <v>14</v>
      </c>
      <c r="L752" t="s">
        <v>72</v>
      </c>
      <c r="M752" t="s">
        <v>73</v>
      </c>
      <c r="N752" t="s">
        <v>74</v>
      </c>
      <c r="O752">
        <v>7</v>
      </c>
      <c r="P752" t="s">
        <v>6</v>
      </c>
      <c r="Q752">
        <v>2.5</v>
      </c>
      <c r="R752" t="str">
        <f t="shared" si="23"/>
        <v>II</v>
      </c>
      <c r="S752">
        <f t="shared" si="24"/>
        <v>5.420666666666666E-2</v>
      </c>
    </row>
    <row r="753" spans="1:19">
      <c r="A753">
        <v>1255</v>
      </c>
      <c r="B753" t="s">
        <v>76</v>
      </c>
      <c r="C753">
        <v>0.42499999999999999</v>
      </c>
      <c r="D753">
        <v>0.32500000000000001</v>
      </c>
      <c r="E753">
        <v>0.11</v>
      </c>
      <c r="F753">
        <v>0.33350000000000002</v>
      </c>
      <c r="G753">
        <v>0.17299999999999999</v>
      </c>
      <c r="H753">
        <v>4.4999999999999998E-2</v>
      </c>
      <c r="I753">
        <v>0.1</v>
      </c>
      <c r="J753">
        <v>7</v>
      </c>
      <c r="K753">
        <v>14</v>
      </c>
      <c r="L753" t="s">
        <v>72</v>
      </c>
      <c r="M753" t="s">
        <v>73</v>
      </c>
      <c r="N753" t="s">
        <v>74</v>
      </c>
      <c r="O753">
        <v>8</v>
      </c>
      <c r="P753" t="s">
        <v>13</v>
      </c>
      <c r="Q753">
        <v>12.3</v>
      </c>
      <c r="R753" t="str">
        <f t="shared" si="23"/>
        <v>II</v>
      </c>
      <c r="S753">
        <f t="shared" si="24"/>
        <v>0.11383466666666667</v>
      </c>
    </row>
    <row r="754" spans="1:19">
      <c r="A754">
        <v>132</v>
      </c>
      <c r="B754" t="s">
        <v>76</v>
      </c>
      <c r="C754">
        <v>0.44</v>
      </c>
      <c r="D754">
        <v>0.35</v>
      </c>
      <c r="E754">
        <v>0.125</v>
      </c>
      <c r="F754">
        <v>0.40350000000000003</v>
      </c>
      <c r="G754">
        <v>0.17499999999999999</v>
      </c>
      <c r="H754">
        <v>6.3E-2</v>
      </c>
      <c r="I754">
        <v>0.129</v>
      </c>
      <c r="J754">
        <v>9</v>
      </c>
      <c r="K754">
        <v>8</v>
      </c>
      <c r="L754" t="s">
        <v>55</v>
      </c>
      <c r="M754" t="s">
        <v>56</v>
      </c>
      <c r="N754" t="s">
        <v>57</v>
      </c>
      <c r="O754">
        <v>8</v>
      </c>
      <c r="P754" t="s">
        <v>13</v>
      </c>
      <c r="Q754">
        <v>12.3</v>
      </c>
      <c r="R754" t="str">
        <f t="shared" si="23"/>
        <v>II</v>
      </c>
      <c r="S754">
        <f t="shared" si="24"/>
        <v>0.14068700000000001</v>
      </c>
    </row>
    <row r="755" spans="1:19">
      <c r="A755">
        <v>1942</v>
      </c>
      <c r="B755" t="s">
        <v>76</v>
      </c>
      <c r="C755">
        <v>0.625</v>
      </c>
      <c r="D755">
        <v>0.47</v>
      </c>
      <c r="E755">
        <v>0.14499999999999999</v>
      </c>
      <c r="F755">
        <v>0.98399999999999999</v>
      </c>
      <c r="G755">
        <v>0.47499999999999998</v>
      </c>
      <c r="H755">
        <v>0.2</v>
      </c>
      <c r="I755">
        <v>0.26500000000000001</v>
      </c>
      <c r="J755">
        <v>11</v>
      </c>
      <c r="K755">
        <v>7</v>
      </c>
      <c r="L755" t="s">
        <v>62</v>
      </c>
      <c r="M755" t="s">
        <v>63</v>
      </c>
      <c r="N755" t="s">
        <v>64</v>
      </c>
      <c r="O755">
        <v>6</v>
      </c>
      <c r="P755" t="s">
        <v>7</v>
      </c>
      <c r="Q755">
        <v>14.1</v>
      </c>
      <c r="R755" t="str">
        <f t="shared" si="23"/>
        <v>III</v>
      </c>
      <c r="S755">
        <f t="shared" si="24"/>
        <v>0.48215999999999998</v>
      </c>
    </row>
    <row r="756" spans="1:19">
      <c r="A756">
        <v>501</v>
      </c>
      <c r="B756" t="s">
        <v>76</v>
      </c>
      <c r="C756">
        <v>0.57999999999999996</v>
      </c>
      <c r="D756">
        <v>0.44</v>
      </c>
      <c r="E756">
        <v>0.18</v>
      </c>
      <c r="F756">
        <v>0.85399999999999998</v>
      </c>
      <c r="G756">
        <v>0.36649999999999999</v>
      </c>
      <c r="H756">
        <v>0.16350000000000001</v>
      </c>
      <c r="I756">
        <v>0.245</v>
      </c>
      <c r="J756">
        <v>12</v>
      </c>
      <c r="K756">
        <v>3</v>
      </c>
      <c r="L756" t="s">
        <v>52</v>
      </c>
      <c r="M756" t="s">
        <v>53</v>
      </c>
      <c r="N756" t="s">
        <v>54</v>
      </c>
      <c r="O756">
        <v>2</v>
      </c>
      <c r="P756" t="s">
        <v>5</v>
      </c>
      <c r="Q756">
        <v>18</v>
      </c>
      <c r="R756" t="str">
        <f t="shared" si="23"/>
        <v>II</v>
      </c>
      <c r="S756">
        <f t="shared" si="24"/>
        <v>0.33021333333333336</v>
      </c>
    </row>
    <row r="757" spans="1:19">
      <c r="A757">
        <v>223</v>
      </c>
      <c r="B757" t="s">
        <v>76</v>
      </c>
      <c r="C757">
        <v>0.49</v>
      </c>
      <c r="D757">
        <v>0.375</v>
      </c>
      <c r="E757">
        <v>0.15</v>
      </c>
      <c r="F757">
        <v>0.57550000000000001</v>
      </c>
      <c r="G757">
        <v>0.22</v>
      </c>
      <c r="H757">
        <v>0.14399999999999999</v>
      </c>
      <c r="I757">
        <v>0.19</v>
      </c>
      <c r="J757">
        <v>9</v>
      </c>
      <c r="K757">
        <v>12</v>
      </c>
      <c r="L757" t="s">
        <v>58</v>
      </c>
      <c r="M757" t="s">
        <v>59</v>
      </c>
      <c r="N757" t="s">
        <v>45</v>
      </c>
      <c r="O757">
        <v>8</v>
      </c>
      <c r="P757" t="s">
        <v>13</v>
      </c>
      <c r="Q757">
        <v>12.3</v>
      </c>
      <c r="R757" t="str">
        <f t="shared" si="23"/>
        <v>II</v>
      </c>
      <c r="S757">
        <f t="shared" si="24"/>
        <v>0.20833100000000002</v>
      </c>
    </row>
    <row r="758" spans="1:19">
      <c r="A758">
        <v>1152</v>
      </c>
      <c r="B758" t="s">
        <v>76</v>
      </c>
      <c r="C758">
        <v>0.58499999999999996</v>
      </c>
      <c r="D758">
        <v>0.46500000000000002</v>
      </c>
      <c r="E758">
        <v>0.16</v>
      </c>
      <c r="F758">
        <v>0.95550000000000002</v>
      </c>
      <c r="G758">
        <v>0.45950000000000002</v>
      </c>
      <c r="H758">
        <v>0.23599999999999999</v>
      </c>
      <c r="I758">
        <v>0.26500000000000001</v>
      </c>
      <c r="J758">
        <v>7</v>
      </c>
      <c r="K758">
        <v>5</v>
      </c>
      <c r="L758" t="s">
        <v>67</v>
      </c>
      <c r="M758" t="s">
        <v>68</v>
      </c>
      <c r="N758" t="s">
        <v>69</v>
      </c>
      <c r="O758">
        <v>8</v>
      </c>
      <c r="P758" t="s">
        <v>13</v>
      </c>
      <c r="Q758">
        <v>12.3</v>
      </c>
      <c r="R758" t="str">
        <f t="shared" si="23"/>
        <v>III</v>
      </c>
      <c r="S758">
        <f t="shared" si="24"/>
        <v>0.46341750000000004</v>
      </c>
    </row>
    <row r="759" spans="1:19">
      <c r="A759">
        <v>2912</v>
      </c>
      <c r="B759" t="s">
        <v>76</v>
      </c>
      <c r="C759">
        <v>0.57999999999999996</v>
      </c>
      <c r="D759">
        <v>0.44</v>
      </c>
      <c r="E759">
        <v>0.125</v>
      </c>
      <c r="F759">
        <v>0.78549999999999998</v>
      </c>
      <c r="G759">
        <v>0.36299999999999999</v>
      </c>
      <c r="H759">
        <v>0.19550000000000001</v>
      </c>
      <c r="I759">
        <v>0.19500000000000001</v>
      </c>
      <c r="J759">
        <v>11</v>
      </c>
      <c r="K759">
        <v>10</v>
      </c>
      <c r="L759" t="s">
        <v>37</v>
      </c>
      <c r="M759" t="s">
        <v>38</v>
      </c>
      <c r="N759" t="s">
        <v>39</v>
      </c>
      <c r="O759">
        <v>9</v>
      </c>
      <c r="P759" t="s">
        <v>9</v>
      </c>
      <c r="Q759">
        <v>1.9</v>
      </c>
      <c r="R759" t="str">
        <f t="shared" si="23"/>
        <v>II</v>
      </c>
      <c r="S759">
        <f t="shared" si="24"/>
        <v>0.29796633333333333</v>
      </c>
    </row>
    <row r="760" spans="1:19">
      <c r="A760">
        <v>3673</v>
      </c>
      <c r="B760" t="s">
        <v>76</v>
      </c>
      <c r="C760">
        <v>0.59499999999999997</v>
      </c>
      <c r="D760">
        <v>0.44</v>
      </c>
      <c r="E760">
        <v>0.13500000000000001</v>
      </c>
      <c r="F760">
        <v>0.96399999999999997</v>
      </c>
      <c r="G760">
        <v>0.50049999999999994</v>
      </c>
      <c r="H760">
        <v>0.17150000000000001</v>
      </c>
      <c r="I760">
        <v>0.25750000000000001</v>
      </c>
      <c r="J760">
        <v>10</v>
      </c>
      <c r="K760">
        <v>10</v>
      </c>
      <c r="L760" t="s">
        <v>37</v>
      </c>
      <c r="M760" t="s">
        <v>38</v>
      </c>
      <c r="N760" t="s">
        <v>39</v>
      </c>
      <c r="O760">
        <v>3</v>
      </c>
      <c r="P760" t="s">
        <v>10</v>
      </c>
      <c r="Q760">
        <v>3.6</v>
      </c>
      <c r="R760" t="str">
        <f t="shared" si="23"/>
        <v>I</v>
      </c>
      <c r="S760">
        <f t="shared" si="24"/>
        <v>0.69167000000000001</v>
      </c>
    </row>
    <row r="761" spans="1:19">
      <c r="A761">
        <v>1990</v>
      </c>
      <c r="B761" t="s">
        <v>76</v>
      </c>
      <c r="C761">
        <v>0.28000000000000003</v>
      </c>
      <c r="D761">
        <v>0.21</v>
      </c>
      <c r="E761">
        <v>7.4999999999999997E-2</v>
      </c>
      <c r="F761">
        <v>0.1195</v>
      </c>
      <c r="G761">
        <v>5.2999999999999999E-2</v>
      </c>
      <c r="H761">
        <v>2.6499999999999999E-2</v>
      </c>
      <c r="I761">
        <v>0.03</v>
      </c>
      <c r="J761">
        <v>6</v>
      </c>
      <c r="K761">
        <v>2</v>
      </c>
      <c r="L761" t="s">
        <v>49</v>
      </c>
      <c r="M761" t="s">
        <v>50</v>
      </c>
      <c r="N761" t="s">
        <v>51</v>
      </c>
      <c r="O761">
        <v>6</v>
      </c>
      <c r="P761" t="s">
        <v>7</v>
      </c>
      <c r="Q761">
        <v>14.1</v>
      </c>
      <c r="R761" t="str">
        <f t="shared" si="23"/>
        <v>II</v>
      </c>
      <c r="S761">
        <f t="shared" si="24"/>
        <v>3.6088999999999996E-2</v>
      </c>
    </row>
    <row r="762" spans="1:19">
      <c r="A762">
        <v>2342</v>
      </c>
      <c r="B762" t="s">
        <v>76</v>
      </c>
      <c r="C762">
        <v>0.31</v>
      </c>
      <c r="D762">
        <v>0.24</v>
      </c>
      <c r="E762">
        <v>0.09</v>
      </c>
      <c r="F762">
        <v>0.14549999999999999</v>
      </c>
      <c r="G762">
        <v>6.0499999999999998E-2</v>
      </c>
      <c r="H762">
        <v>3.15E-2</v>
      </c>
      <c r="I762">
        <v>4.4999999999999998E-2</v>
      </c>
      <c r="J762">
        <v>7</v>
      </c>
      <c r="K762">
        <v>15</v>
      </c>
      <c r="L762" t="s">
        <v>60</v>
      </c>
      <c r="M762" t="s">
        <v>61</v>
      </c>
      <c r="N762" t="s">
        <v>45</v>
      </c>
      <c r="O762">
        <v>3</v>
      </c>
      <c r="P762" t="s">
        <v>10</v>
      </c>
      <c r="Q762">
        <v>3.6</v>
      </c>
      <c r="R762" t="str">
        <f t="shared" si="23"/>
        <v>II</v>
      </c>
      <c r="S762">
        <f t="shared" si="24"/>
        <v>4.5395999999999992E-2</v>
      </c>
    </row>
    <row r="763" spans="1:19">
      <c r="A763">
        <v>2739</v>
      </c>
      <c r="B763" t="s">
        <v>76</v>
      </c>
      <c r="C763">
        <v>0.45</v>
      </c>
      <c r="D763">
        <v>0.32500000000000001</v>
      </c>
      <c r="E763">
        <v>0.115</v>
      </c>
      <c r="F763">
        <v>0.43049999999999999</v>
      </c>
      <c r="G763">
        <v>0.2235</v>
      </c>
      <c r="H763">
        <v>7.85E-2</v>
      </c>
      <c r="I763">
        <v>0.11550000000000001</v>
      </c>
      <c r="J763">
        <v>8</v>
      </c>
      <c r="K763">
        <v>1</v>
      </c>
      <c r="L763" t="s">
        <v>70</v>
      </c>
      <c r="M763" t="s">
        <v>71</v>
      </c>
      <c r="N763" t="s">
        <v>45</v>
      </c>
      <c r="O763">
        <v>2</v>
      </c>
      <c r="P763" t="s">
        <v>5</v>
      </c>
      <c r="Q763">
        <v>18</v>
      </c>
      <c r="R763" t="str">
        <f t="shared" si="23"/>
        <v>II</v>
      </c>
      <c r="S763">
        <f t="shared" si="24"/>
        <v>0.14866600000000002</v>
      </c>
    </row>
    <row r="764" spans="1:19">
      <c r="A764">
        <v>2347</v>
      </c>
      <c r="B764" t="s">
        <v>76</v>
      </c>
      <c r="C764">
        <v>0.56000000000000005</v>
      </c>
      <c r="D764">
        <v>0.43</v>
      </c>
      <c r="E764">
        <v>0.125</v>
      </c>
      <c r="F764">
        <v>0.80249999999999999</v>
      </c>
      <c r="G764">
        <v>0.313</v>
      </c>
      <c r="H764">
        <v>0.17150000000000001</v>
      </c>
      <c r="I764">
        <v>0.26300000000000001</v>
      </c>
      <c r="J764">
        <v>13</v>
      </c>
      <c r="K764">
        <v>9</v>
      </c>
      <c r="L764" t="s">
        <v>34</v>
      </c>
      <c r="M764" t="s">
        <v>35</v>
      </c>
      <c r="N764" t="s">
        <v>36</v>
      </c>
      <c r="O764">
        <v>10</v>
      </c>
      <c r="P764" t="s">
        <v>11</v>
      </c>
      <c r="Q764">
        <v>24.1</v>
      </c>
      <c r="R764" t="str">
        <f t="shared" si="23"/>
        <v>II</v>
      </c>
      <c r="S764">
        <f t="shared" si="24"/>
        <v>0.301205</v>
      </c>
    </row>
    <row r="765" spans="1:19">
      <c r="A765">
        <v>3966</v>
      </c>
      <c r="B765" t="s">
        <v>76</v>
      </c>
      <c r="C765">
        <v>0.29499999999999998</v>
      </c>
      <c r="D765">
        <v>0.22</v>
      </c>
      <c r="E765">
        <v>7.0000000000000007E-2</v>
      </c>
      <c r="F765">
        <v>0.13650000000000001</v>
      </c>
      <c r="G765">
        <v>5.7500000000000002E-2</v>
      </c>
      <c r="H765">
        <v>2.9499999999999998E-2</v>
      </c>
      <c r="I765">
        <v>3.5000000000000003E-2</v>
      </c>
      <c r="J765">
        <v>6</v>
      </c>
      <c r="K765">
        <v>13</v>
      </c>
      <c r="L765" t="s">
        <v>43</v>
      </c>
      <c r="M765" t="s">
        <v>44</v>
      </c>
      <c r="N765" t="s">
        <v>45</v>
      </c>
      <c r="O765">
        <v>4</v>
      </c>
      <c r="P765" t="s">
        <v>8</v>
      </c>
      <c r="Q765">
        <v>6.1</v>
      </c>
      <c r="R765" t="str">
        <f t="shared" si="23"/>
        <v>II</v>
      </c>
      <c r="S765">
        <f t="shared" si="24"/>
        <v>4.1587000000000006E-2</v>
      </c>
    </row>
    <row r="766" spans="1:19">
      <c r="A766">
        <v>738</v>
      </c>
      <c r="B766" t="s">
        <v>76</v>
      </c>
      <c r="C766">
        <v>0.52</v>
      </c>
      <c r="D766">
        <v>0.40500000000000003</v>
      </c>
      <c r="E766">
        <v>0.125</v>
      </c>
      <c r="F766">
        <v>0.64349999999999996</v>
      </c>
      <c r="G766">
        <v>0.24149999999999999</v>
      </c>
      <c r="H766">
        <v>0.17349999999999999</v>
      </c>
      <c r="I766">
        <v>0.21</v>
      </c>
      <c r="J766">
        <v>12</v>
      </c>
      <c r="K766">
        <v>8</v>
      </c>
      <c r="L766" t="s">
        <v>55</v>
      </c>
      <c r="M766" t="s">
        <v>56</v>
      </c>
      <c r="N766" t="s">
        <v>57</v>
      </c>
      <c r="O766">
        <v>6</v>
      </c>
      <c r="P766" t="s">
        <v>7</v>
      </c>
      <c r="Q766">
        <v>14.1</v>
      </c>
      <c r="R766" t="str">
        <f t="shared" si="23"/>
        <v>II</v>
      </c>
      <c r="S766">
        <f t="shared" si="24"/>
        <v>0.23594999999999999</v>
      </c>
    </row>
    <row r="767" spans="1:19">
      <c r="A767">
        <v>437</v>
      </c>
      <c r="B767" t="s">
        <v>76</v>
      </c>
      <c r="C767">
        <v>0.36</v>
      </c>
      <c r="D767">
        <v>0.27500000000000002</v>
      </c>
      <c r="E767">
        <v>9.5000000000000001E-2</v>
      </c>
      <c r="F767">
        <v>0.217</v>
      </c>
      <c r="G767">
        <v>8.4000000000000005E-2</v>
      </c>
      <c r="H767">
        <v>4.3499999999999997E-2</v>
      </c>
      <c r="I767">
        <v>0.09</v>
      </c>
      <c r="J767">
        <v>7</v>
      </c>
      <c r="K767">
        <v>15</v>
      </c>
      <c r="L767" t="s">
        <v>60</v>
      </c>
      <c r="M767" t="s">
        <v>61</v>
      </c>
      <c r="N767" t="s">
        <v>45</v>
      </c>
      <c r="O767">
        <v>2</v>
      </c>
      <c r="P767" t="s">
        <v>5</v>
      </c>
      <c r="Q767">
        <v>18</v>
      </c>
      <c r="R767" t="str">
        <f t="shared" si="23"/>
        <v>II</v>
      </c>
      <c r="S767">
        <f t="shared" si="24"/>
        <v>7.0308000000000009E-2</v>
      </c>
    </row>
    <row r="768" spans="1:19">
      <c r="A768">
        <v>150</v>
      </c>
      <c r="B768" t="s">
        <v>76</v>
      </c>
      <c r="C768">
        <v>0.17</v>
      </c>
      <c r="D768">
        <v>0.13</v>
      </c>
      <c r="E768">
        <v>9.5000000000000001E-2</v>
      </c>
      <c r="F768">
        <v>0.03</v>
      </c>
      <c r="G768">
        <v>1.2999999999999999E-2</v>
      </c>
      <c r="H768">
        <v>8.0000000000000002E-3</v>
      </c>
      <c r="I768">
        <v>0.01</v>
      </c>
      <c r="J768">
        <v>4</v>
      </c>
      <c r="K768">
        <v>7</v>
      </c>
      <c r="L768" t="s">
        <v>62</v>
      </c>
      <c r="M768" t="s">
        <v>63</v>
      </c>
      <c r="N768" t="s">
        <v>64</v>
      </c>
      <c r="O768">
        <v>6</v>
      </c>
      <c r="P768" t="s">
        <v>7</v>
      </c>
      <c r="Q768">
        <v>14.1</v>
      </c>
      <c r="R768" t="str">
        <f t="shared" si="23"/>
        <v>II</v>
      </c>
      <c r="S768">
        <f t="shared" si="24"/>
        <v>8.3800000000000003E-3</v>
      </c>
    </row>
    <row r="769" spans="1:19">
      <c r="A769">
        <v>2660</v>
      </c>
      <c r="B769" t="s">
        <v>76</v>
      </c>
      <c r="C769">
        <v>0.55000000000000004</v>
      </c>
      <c r="D769">
        <v>0.44</v>
      </c>
      <c r="E769">
        <v>0.13500000000000001</v>
      </c>
      <c r="F769">
        <v>0.84350000000000003</v>
      </c>
      <c r="G769">
        <v>0.434</v>
      </c>
      <c r="H769">
        <v>0.19950000000000001</v>
      </c>
      <c r="I769">
        <v>0.185</v>
      </c>
      <c r="J769">
        <v>8</v>
      </c>
      <c r="K769">
        <v>14</v>
      </c>
      <c r="L769" t="s">
        <v>72</v>
      </c>
      <c r="M769" t="s">
        <v>73</v>
      </c>
      <c r="N769" t="s">
        <v>74</v>
      </c>
      <c r="O769">
        <v>7</v>
      </c>
      <c r="P769" t="s">
        <v>6</v>
      </c>
      <c r="Q769">
        <v>2.5</v>
      </c>
      <c r="R769" t="str">
        <f t="shared" si="23"/>
        <v>III</v>
      </c>
      <c r="S769">
        <f t="shared" si="24"/>
        <v>0.39714791666666666</v>
      </c>
    </row>
    <row r="770" spans="1:19">
      <c r="A770">
        <v>2934</v>
      </c>
      <c r="B770" t="s">
        <v>76</v>
      </c>
      <c r="C770">
        <v>0.61499999999999999</v>
      </c>
      <c r="D770">
        <v>0.495</v>
      </c>
      <c r="E770">
        <v>0.16500000000000001</v>
      </c>
      <c r="F770">
        <v>1.198</v>
      </c>
      <c r="G770">
        <v>0.54149999999999998</v>
      </c>
      <c r="H770">
        <v>0.28649999999999998</v>
      </c>
      <c r="I770">
        <v>0.31850000000000001</v>
      </c>
      <c r="J770">
        <v>10</v>
      </c>
      <c r="K770">
        <v>6</v>
      </c>
      <c r="L770" t="s">
        <v>46</v>
      </c>
      <c r="M770" t="s">
        <v>47</v>
      </c>
      <c r="N770" t="s">
        <v>48</v>
      </c>
      <c r="O770">
        <v>9</v>
      </c>
      <c r="P770" t="s">
        <v>9</v>
      </c>
      <c r="Q770">
        <v>1.9</v>
      </c>
      <c r="R770" t="str">
        <f t="shared" si="23"/>
        <v>I</v>
      </c>
      <c r="S770">
        <f t="shared" si="24"/>
        <v>0.89101249999999999</v>
      </c>
    </row>
    <row r="771" spans="1:19">
      <c r="A771">
        <v>1256</v>
      </c>
      <c r="B771" t="s">
        <v>76</v>
      </c>
      <c r="C771">
        <v>0.42499999999999999</v>
      </c>
      <c r="D771">
        <v>0.32</v>
      </c>
      <c r="E771">
        <v>0.1</v>
      </c>
      <c r="F771">
        <v>0.30549999999999999</v>
      </c>
      <c r="G771">
        <v>0.126</v>
      </c>
      <c r="H771">
        <v>0.06</v>
      </c>
      <c r="I771">
        <v>0.106</v>
      </c>
      <c r="J771">
        <v>7</v>
      </c>
      <c r="K771">
        <v>4</v>
      </c>
      <c r="L771" t="s">
        <v>40</v>
      </c>
      <c r="M771" t="s">
        <v>41</v>
      </c>
      <c r="N771" t="s">
        <v>42</v>
      </c>
      <c r="O771">
        <v>3</v>
      </c>
      <c r="P771" t="s">
        <v>10</v>
      </c>
      <c r="Q771">
        <v>3.6</v>
      </c>
      <c r="R771" t="str">
        <f t="shared" ref="R771:R834" si="25">IF(OR(AND(J771 &gt; 15, B771 = "Infant"), AND(D771 = "Male", C771 &gt; 0.75),
    OR(I771 &gt; 0.8, G771 &gt; 0.5), G771 &gt; 1.2),
    "I",
    IF(OR(AND(I771 &lt; 0.4, G771 &lt; 0.4), AND(J771 &gt; 15, D771 = "Male"), AND(J771 &gt; 18, D771 = "Female"), C771 &lt; 0.36),
    "II",
    "III"))</f>
        <v>II</v>
      </c>
      <c r="S771">
        <f t="shared" ref="S771:S810" si="26">IF(OR(AND(J771 &gt; 15, B771 = "Infant"), AND(D771 = "Male", C771 &gt; 0.75), OR(I771 &gt; 0.8, G771 &gt; 0.5), G771 &gt; 1.2), (1 + (1/3)*(C771 - 0.5) + (1/3)*(D771 - 0.4) + (1/3)*(E771 - 0.4)) * F771 * 0.5 * 1.5, IF(OR(AND(I771 &lt; 0.4, G771 &lt; 0.4), AND(J771 &gt; 15, D771 = "Male"), AND(J771 &gt; 18, D771 = "Female"), C771 &lt; 0.36), (1 + (1/3)*(C771 - 0.5) + (1/3)*(D771 - 0.4) + (1/3)*(E771 - 0.4)) * F771 * 0.5 * 0.8, (1 + (1/3)*(C771 - 0.5) + (1/3)*(D771 - 0.4) + (1/3)*(E771 - 0.4)) * F771 * 0.5))</f>
        <v>0.10366633333333333</v>
      </c>
    </row>
    <row r="772" spans="1:19">
      <c r="A772">
        <v>751</v>
      </c>
      <c r="B772" t="s">
        <v>76</v>
      </c>
      <c r="C772">
        <v>0.51</v>
      </c>
      <c r="D772">
        <v>0.39</v>
      </c>
      <c r="E772">
        <v>0.105</v>
      </c>
      <c r="F772">
        <v>0.61199999999999999</v>
      </c>
      <c r="G772">
        <v>0.187</v>
      </c>
      <c r="H772">
        <v>0.15</v>
      </c>
      <c r="I772">
        <v>0.19500000000000001</v>
      </c>
      <c r="J772">
        <v>13</v>
      </c>
      <c r="K772">
        <v>5</v>
      </c>
      <c r="L772" t="s">
        <v>67</v>
      </c>
      <c r="M772" t="s">
        <v>68</v>
      </c>
      <c r="N772" t="s">
        <v>69</v>
      </c>
      <c r="O772">
        <v>5</v>
      </c>
      <c r="P772" t="s">
        <v>12</v>
      </c>
      <c r="Q772">
        <v>12.8</v>
      </c>
      <c r="R772" t="str">
        <f t="shared" si="25"/>
        <v>II</v>
      </c>
      <c r="S772">
        <f t="shared" si="26"/>
        <v>0.22072800000000001</v>
      </c>
    </row>
    <row r="773" spans="1:19">
      <c r="A773">
        <v>2637</v>
      </c>
      <c r="B773" t="s">
        <v>76</v>
      </c>
      <c r="C773">
        <v>0.44</v>
      </c>
      <c r="D773">
        <v>0.34</v>
      </c>
      <c r="E773">
        <v>0.1</v>
      </c>
      <c r="F773">
        <v>0.40699999999999997</v>
      </c>
      <c r="G773">
        <v>0.20899999999999999</v>
      </c>
      <c r="H773">
        <v>7.3499999999999996E-2</v>
      </c>
      <c r="I773">
        <v>0.10299999999999999</v>
      </c>
      <c r="J773">
        <v>7</v>
      </c>
      <c r="K773">
        <v>6</v>
      </c>
      <c r="L773" t="s">
        <v>46</v>
      </c>
      <c r="M773" t="s">
        <v>47</v>
      </c>
      <c r="N773" t="s">
        <v>48</v>
      </c>
      <c r="O773">
        <v>9</v>
      </c>
      <c r="P773" t="s">
        <v>9</v>
      </c>
      <c r="Q773">
        <v>1.9</v>
      </c>
      <c r="R773" t="str">
        <f t="shared" si="25"/>
        <v>II</v>
      </c>
      <c r="S773">
        <f t="shared" si="26"/>
        <v>0.14000799999999999</v>
      </c>
    </row>
    <row r="774" spans="1:19">
      <c r="A774">
        <v>1373</v>
      </c>
      <c r="B774" t="s">
        <v>76</v>
      </c>
      <c r="C774">
        <v>0.61499999999999999</v>
      </c>
      <c r="D774">
        <v>0.47499999999999998</v>
      </c>
      <c r="E774">
        <v>0.16500000000000001</v>
      </c>
      <c r="F774">
        <v>1.0229999999999999</v>
      </c>
      <c r="G774">
        <v>0.49049999999999999</v>
      </c>
      <c r="H774">
        <v>0.19550000000000001</v>
      </c>
      <c r="I774">
        <v>0.30349999999999999</v>
      </c>
      <c r="J774">
        <v>12</v>
      </c>
      <c r="K774">
        <v>7</v>
      </c>
      <c r="L774" t="s">
        <v>62</v>
      </c>
      <c r="M774" t="s">
        <v>63</v>
      </c>
      <c r="N774" t="s">
        <v>64</v>
      </c>
      <c r="O774">
        <v>2</v>
      </c>
      <c r="P774" t="s">
        <v>5</v>
      </c>
      <c r="Q774">
        <v>18</v>
      </c>
      <c r="R774" t="str">
        <f t="shared" si="25"/>
        <v>III</v>
      </c>
      <c r="S774">
        <f t="shared" si="26"/>
        <v>0.50382749999999987</v>
      </c>
    </row>
    <row r="775" spans="1:19">
      <c r="A775">
        <v>1783</v>
      </c>
      <c r="B775" t="s">
        <v>76</v>
      </c>
      <c r="C775">
        <v>0.52500000000000002</v>
      </c>
      <c r="D775">
        <v>0.36499999999999999</v>
      </c>
      <c r="E775">
        <v>0.17</v>
      </c>
      <c r="F775">
        <v>0.96050000000000002</v>
      </c>
      <c r="G775">
        <v>0.438</v>
      </c>
      <c r="H775">
        <v>0.2225</v>
      </c>
      <c r="I775">
        <v>0.27600000000000002</v>
      </c>
      <c r="J775">
        <v>10</v>
      </c>
      <c r="K775">
        <v>11</v>
      </c>
      <c r="L775" t="s">
        <v>65</v>
      </c>
      <c r="M775" t="s">
        <v>66</v>
      </c>
      <c r="N775" t="s">
        <v>45</v>
      </c>
      <c r="O775">
        <v>5</v>
      </c>
      <c r="P775" t="s">
        <v>12</v>
      </c>
      <c r="Q775">
        <v>12.8</v>
      </c>
      <c r="R775" t="str">
        <f t="shared" si="25"/>
        <v>III</v>
      </c>
      <c r="S775">
        <f t="shared" si="26"/>
        <v>0.44183</v>
      </c>
    </row>
    <row r="776" spans="1:19">
      <c r="A776">
        <v>2901</v>
      </c>
      <c r="B776" t="s">
        <v>76</v>
      </c>
      <c r="C776">
        <v>0.55000000000000004</v>
      </c>
      <c r="D776">
        <v>0.435</v>
      </c>
      <c r="E776">
        <v>0.14000000000000001</v>
      </c>
      <c r="F776">
        <v>0.745</v>
      </c>
      <c r="G776">
        <v>0.34699999999999998</v>
      </c>
      <c r="H776">
        <v>0.17399999999999999</v>
      </c>
      <c r="I776">
        <v>0.22650000000000001</v>
      </c>
      <c r="J776">
        <v>9</v>
      </c>
      <c r="K776">
        <v>7</v>
      </c>
      <c r="L776" t="s">
        <v>62</v>
      </c>
      <c r="M776" t="s">
        <v>63</v>
      </c>
      <c r="N776" t="s">
        <v>64</v>
      </c>
      <c r="O776">
        <v>5</v>
      </c>
      <c r="P776" t="s">
        <v>12</v>
      </c>
      <c r="Q776">
        <v>12.8</v>
      </c>
      <c r="R776" t="str">
        <f t="shared" si="25"/>
        <v>II</v>
      </c>
      <c r="S776">
        <f t="shared" si="26"/>
        <v>0.28061666666666668</v>
      </c>
    </row>
    <row r="777" spans="1:19">
      <c r="A777">
        <v>256</v>
      </c>
      <c r="B777" t="s">
        <v>76</v>
      </c>
      <c r="C777">
        <v>0.56000000000000005</v>
      </c>
      <c r="D777">
        <v>0.45</v>
      </c>
      <c r="E777">
        <v>0.17499999999999999</v>
      </c>
      <c r="F777">
        <v>1.0109999999999999</v>
      </c>
      <c r="G777">
        <v>0.38350000000000001</v>
      </c>
      <c r="H777">
        <v>0.20649999999999999</v>
      </c>
      <c r="I777">
        <v>0.37</v>
      </c>
      <c r="J777">
        <v>15</v>
      </c>
      <c r="K777">
        <v>12</v>
      </c>
      <c r="L777" t="s">
        <v>58</v>
      </c>
      <c r="M777" t="s">
        <v>59</v>
      </c>
      <c r="N777" t="s">
        <v>45</v>
      </c>
      <c r="O777">
        <v>7</v>
      </c>
      <c r="P777" t="s">
        <v>6</v>
      </c>
      <c r="Q777">
        <v>2.5</v>
      </c>
      <c r="R777" t="str">
        <f t="shared" si="25"/>
        <v>II</v>
      </c>
      <c r="S777">
        <f t="shared" si="26"/>
        <v>0.38889799999999997</v>
      </c>
    </row>
    <row r="778" spans="1:19">
      <c r="A778">
        <v>608</v>
      </c>
      <c r="B778" t="s">
        <v>76</v>
      </c>
      <c r="C778">
        <v>0.48499999999999999</v>
      </c>
      <c r="D778">
        <v>0.37</v>
      </c>
      <c r="E778">
        <v>0.13</v>
      </c>
      <c r="F778">
        <v>0.45800000000000002</v>
      </c>
      <c r="G778">
        <v>0.18099999999999999</v>
      </c>
      <c r="H778">
        <v>0.113</v>
      </c>
      <c r="I778">
        <v>0.13600000000000001</v>
      </c>
      <c r="J778">
        <v>10</v>
      </c>
      <c r="K778">
        <v>13</v>
      </c>
      <c r="L778" t="s">
        <v>43</v>
      </c>
      <c r="M778" t="s">
        <v>44</v>
      </c>
      <c r="N778" t="s">
        <v>45</v>
      </c>
      <c r="O778">
        <v>7</v>
      </c>
      <c r="P778" t="s">
        <v>6</v>
      </c>
      <c r="Q778">
        <v>2.5</v>
      </c>
      <c r="R778" t="str">
        <f t="shared" si="25"/>
        <v>II</v>
      </c>
      <c r="S778">
        <f t="shared" si="26"/>
        <v>0.16396400000000003</v>
      </c>
    </row>
    <row r="779" spans="1:19">
      <c r="A779">
        <v>3413</v>
      </c>
      <c r="B779" t="s">
        <v>76</v>
      </c>
      <c r="C779">
        <v>0.48</v>
      </c>
      <c r="D779">
        <v>0.35499999999999998</v>
      </c>
      <c r="E779">
        <v>0.115</v>
      </c>
      <c r="F779">
        <v>0.57850000000000001</v>
      </c>
      <c r="G779">
        <v>0.25</v>
      </c>
      <c r="H779">
        <v>0.106</v>
      </c>
      <c r="I779">
        <v>0.184</v>
      </c>
      <c r="J779">
        <v>8</v>
      </c>
      <c r="K779">
        <v>9</v>
      </c>
      <c r="L779" t="s">
        <v>34</v>
      </c>
      <c r="M779" t="s">
        <v>35</v>
      </c>
      <c r="N779" t="s">
        <v>36</v>
      </c>
      <c r="O779">
        <v>6</v>
      </c>
      <c r="P779" t="s">
        <v>7</v>
      </c>
      <c r="Q779">
        <v>14.1</v>
      </c>
      <c r="R779" t="str">
        <f t="shared" si="25"/>
        <v>II</v>
      </c>
      <c r="S779">
        <f t="shared" si="26"/>
        <v>0.20440333333333333</v>
      </c>
    </row>
    <row r="780" spans="1:19">
      <c r="A780">
        <v>2143</v>
      </c>
      <c r="B780" t="s">
        <v>76</v>
      </c>
      <c r="C780">
        <v>0.46</v>
      </c>
      <c r="D780">
        <v>0.35</v>
      </c>
      <c r="E780">
        <v>0.11</v>
      </c>
      <c r="F780">
        <v>0.39450000000000002</v>
      </c>
      <c r="G780">
        <v>0.16850000000000001</v>
      </c>
      <c r="H780">
        <v>8.6499999999999994E-2</v>
      </c>
      <c r="I780">
        <v>0.125</v>
      </c>
      <c r="J780">
        <v>9</v>
      </c>
      <c r="K780">
        <v>2</v>
      </c>
      <c r="L780" t="s">
        <v>49</v>
      </c>
      <c r="M780" t="s">
        <v>50</v>
      </c>
      <c r="N780" t="s">
        <v>51</v>
      </c>
      <c r="O780">
        <v>6</v>
      </c>
      <c r="P780" t="s">
        <v>7</v>
      </c>
      <c r="Q780">
        <v>14.1</v>
      </c>
      <c r="R780" t="str">
        <f t="shared" si="25"/>
        <v>II</v>
      </c>
      <c r="S780">
        <f t="shared" si="26"/>
        <v>0.13781200000000002</v>
      </c>
    </row>
    <row r="781" spans="1:19">
      <c r="A781">
        <v>1310</v>
      </c>
      <c r="B781" t="s">
        <v>76</v>
      </c>
      <c r="C781">
        <v>0.54500000000000004</v>
      </c>
      <c r="D781">
        <v>0.43</v>
      </c>
      <c r="E781">
        <v>0.15</v>
      </c>
      <c r="F781">
        <v>0.72850000000000004</v>
      </c>
      <c r="G781">
        <v>0.30199999999999999</v>
      </c>
      <c r="H781">
        <v>0.13150000000000001</v>
      </c>
      <c r="I781">
        <v>0.2545</v>
      </c>
      <c r="J781">
        <v>10</v>
      </c>
      <c r="K781">
        <v>8</v>
      </c>
      <c r="L781" t="s">
        <v>55</v>
      </c>
      <c r="M781" t="s">
        <v>56</v>
      </c>
      <c r="N781" t="s">
        <v>57</v>
      </c>
      <c r="O781">
        <v>4</v>
      </c>
      <c r="P781" t="s">
        <v>8</v>
      </c>
      <c r="Q781">
        <v>6.1</v>
      </c>
      <c r="R781" t="str">
        <f t="shared" si="25"/>
        <v>II</v>
      </c>
      <c r="S781">
        <f t="shared" si="26"/>
        <v>0.27440166666666671</v>
      </c>
    </row>
    <row r="782" spans="1:19">
      <c r="A782">
        <v>682</v>
      </c>
      <c r="B782" t="s">
        <v>76</v>
      </c>
      <c r="C782">
        <v>0.48499999999999999</v>
      </c>
      <c r="D782">
        <v>0.37</v>
      </c>
      <c r="E782">
        <v>0.14000000000000001</v>
      </c>
      <c r="F782">
        <v>0.57250000000000001</v>
      </c>
      <c r="G782">
        <v>0.20399999999999999</v>
      </c>
      <c r="H782">
        <v>0.14149999999999999</v>
      </c>
      <c r="I782">
        <v>0.17499999999999999</v>
      </c>
      <c r="J782">
        <v>10</v>
      </c>
      <c r="K782">
        <v>12</v>
      </c>
      <c r="L782" t="s">
        <v>58</v>
      </c>
      <c r="M782" t="s">
        <v>59</v>
      </c>
      <c r="N782" t="s">
        <v>45</v>
      </c>
      <c r="O782">
        <v>2</v>
      </c>
      <c r="P782" t="s">
        <v>5</v>
      </c>
      <c r="Q782">
        <v>18</v>
      </c>
      <c r="R782" t="str">
        <f t="shared" si="25"/>
        <v>II</v>
      </c>
      <c r="S782">
        <f t="shared" si="26"/>
        <v>0.20571833333333334</v>
      </c>
    </row>
    <row r="783" spans="1:19">
      <c r="A783">
        <v>746</v>
      </c>
      <c r="B783" t="s">
        <v>76</v>
      </c>
      <c r="C783">
        <v>0.53</v>
      </c>
      <c r="D783">
        <v>0.42</v>
      </c>
      <c r="E783">
        <v>0.13</v>
      </c>
      <c r="F783">
        <v>1.0009999999999999</v>
      </c>
      <c r="G783">
        <v>0.34</v>
      </c>
      <c r="H783">
        <v>0.22600000000000001</v>
      </c>
      <c r="I783">
        <v>0.26500000000000001</v>
      </c>
      <c r="J783">
        <v>17</v>
      </c>
      <c r="K783">
        <v>2</v>
      </c>
      <c r="L783" t="s">
        <v>49</v>
      </c>
      <c r="M783" t="s">
        <v>50</v>
      </c>
      <c r="N783" t="s">
        <v>51</v>
      </c>
      <c r="O783">
        <v>3</v>
      </c>
      <c r="P783" t="s">
        <v>10</v>
      </c>
      <c r="Q783">
        <v>3.6</v>
      </c>
      <c r="R783" t="str">
        <f t="shared" si="25"/>
        <v>II</v>
      </c>
      <c r="S783">
        <f t="shared" si="26"/>
        <v>0.37103733333333327</v>
      </c>
    </row>
    <row r="784" spans="1:19">
      <c r="A784">
        <v>3526</v>
      </c>
      <c r="B784" t="s">
        <v>76</v>
      </c>
      <c r="C784">
        <v>0.33</v>
      </c>
      <c r="D784">
        <v>0.23</v>
      </c>
      <c r="E784">
        <v>8.5000000000000006E-2</v>
      </c>
      <c r="F784">
        <v>0.16950000000000001</v>
      </c>
      <c r="G784">
        <v>7.9000000000000001E-2</v>
      </c>
      <c r="H784">
        <v>2.5999999999999999E-2</v>
      </c>
      <c r="I784">
        <v>5.0500000000000003E-2</v>
      </c>
      <c r="J784">
        <v>6</v>
      </c>
      <c r="K784">
        <v>5</v>
      </c>
      <c r="L784" t="s">
        <v>67</v>
      </c>
      <c r="M784" t="s">
        <v>68</v>
      </c>
      <c r="N784" t="s">
        <v>69</v>
      </c>
      <c r="O784">
        <v>3</v>
      </c>
      <c r="P784" t="s">
        <v>10</v>
      </c>
      <c r="Q784">
        <v>3.6</v>
      </c>
      <c r="R784" t="str">
        <f t="shared" si="25"/>
        <v>II</v>
      </c>
      <c r="S784">
        <f t="shared" si="26"/>
        <v>5.2997000000000009E-2</v>
      </c>
    </row>
    <row r="785" spans="1:19">
      <c r="A785">
        <v>615</v>
      </c>
      <c r="B785" t="s">
        <v>76</v>
      </c>
      <c r="C785">
        <v>0.45</v>
      </c>
      <c r="D785">
        <v>0.35</v>
      </c>
      <c r="E785">
        <v>0.14499999999999999</v>
      </c>
      <c r="F785">
        <v>0.52500000000000002</v>
      </c>
      <c r="G785">
        <v>0.20849999999999999</v>
      </c>
      <c r="H785">
        <v>0.1</v>
      </c>
      <c r="I785">
        <v>0.16550000000000001</v>
      </c>
      <c r="J785">
        <v>15</v>
      </c>
      <c r="K785">
        <v>8</v>
      </c>
      <c r="L785" t="s">
        <v>55</v>
      </c>
      <c r="M785" t="s">
        <v>56</v>
      </c>
      <c r="N785" t="s">
        <v>57</v>
      </c>
      <c r="O785">
        <v>5</v>
      </c>
      <c r="P785" t="s">
        <v>12</v>
      </c>
      <c r="Q785">
        <v>12.8</v>
      </c>
      <c r="R785" t="str">
        <f t="shared" si="25"/>
        <v>II</v>
      </c>
      <c r="S785">
        <f t="shared" si="26"/>
        <v>0.18515000000000004</v>
      </c>
    </row>
    <row r="786" spans="1:19">
      <c r="A786">
        <v>848</v>
      </c>
      <c r="B786" t="s">
        <v>76</v>
      </c>
      <c r="C786">
        <v>0.54500000000000004</v>
      </c>
      <c r="D786">
        <v>0.44</v>
      </c>
      <c r="E786">
        <v>0.13500000000000001</v>
      </c>
      <c r="F786">
        <v>0.91849999999999998</v>
      </c>
      <c r="G786">
        <v>0.42899999999999999</v>
      </c>
      <c r="H786">
        <v>0.20150000000000001</v>
      </c>
      <c r="I786">
        <v>0.23749999999999999</v>
      </c>
      <c r="J786">
        <v>10</v>
      </c>
      <c r="K786">
        <v>13</v>
      </c>
      <c r="L786" t="s">
        <v>43</v>
      </c>
      <c r="M786" t="s">
        <v>44</v>
      </c>
      <c r="N786" t="s">
        <v>45</v>
      </c>
      <c r="O786">
        <v>4</v>
      </c>
      <c r="P786" t="s">
        <v>8</v>
      </c>
      <c r="Q786">
        <v>6.1</v>
      </c>
      <c r="R786" t="str">
        <f t="shared" si="25"/>
        <v>III</v>
      </c>
      <c r="S786">
        <f t="shared" si="26"/>
        <v>0.43169500000000005</v>
      </c>
    </row>
    <row r="787" spans="1:19">
      <c r="A787">
        <v>3112</v>
      </c>
      <c r="B787" t="s">
        <v>76</v>
      </c>
      <c r="C787">
        <v>0.41</v>
      </c>
      <c r="D787">
        <v>0.32500000000000001</v>
      </c>
      <c r="E787">
        <v>0.105</v>
      </c>
      <c r="F787">
        <v>0.36099999999999999</v>
      </c>
      <c r="G787">
        <v>0.1605</v>
      </c>
      <c r="H787">
        <v>6.6500000000000004E-2</v>
      </c>
      <c r="I787">
        <v>0.10299999999999999</v>
      </c>
      <c r="J787">
        <v>8</v>
      </c>
      <c r="K787">
        <v>11</v>
      </c>
      <c r="L787" t="s">
        <v>65</v>
      </c>
      <c r="M787" t="s">
        <v>66</v>
      </c>
      <c r="N787" t="s">
        <v>45</v>
      </c>
      <c r="O787">
        <v>5</v>
      </c>
      <c r="P787" t="s">
        <v>12</v>
      </c>
      <c r="Q787">
        <v>12.8</v>
      </c>
      <c r="R787" t="str">
        <f t="shared" si="25"/>
        <v>II</v>
      </c>
      <c r="S787">
        <f t="shared" si="26"/>
        <v>0.12225866666666665</v>
      </c>
    </row>
    <row r="788" spans="1:19">
      <c r="A788">
        <v>483</v>
      </c>
      <c r="B788" t="s">
        <v>76</v>
      </c>
      <c r="C788">
        <v>0.56999999999999995</v>
      </c>
      <c r="D788">
        <v>0.46500000000000002</v>
      </c>
      <c r="E788">
        <v>0.125</v>
      </c>
      <c r="F788">
        <v>0.84899999999999998</v>
      </c>
      <c r="G788">
        <v>0.3785</v>
      </c>
      <c r="H788">
        <v>0.17649999999999999</v>
      </c>
      <c r="I788">
        <v>0.24</v>
      </c>
      <c r="J788">
        <v>15</v>
      </c>
      <c r="K788">
        <v>15</v>
      </c>
      <c r="L788" t="s">
        <v>60</v>
      </c>
      <c r="M788" t="s">
        <v>61</v>
      </c>
      <c r="N788" t="s">
        <v>45</v>
      </c>
      <c r="O788">
        <v>7</v>
      </c>
      <c r="P788" t="s">
        <v>6</v>
      </c>
      <c r="Q788">
        <v>2.5</v>
      </c>
      <c r="R788" t="str">
        <f t="shared" si="25"/>
        <v>II</v>
      </c>
      <c r="S788">
        <f t="shared" si="26"/>
        <v>0.32375200000000004</v>
      </c>
    </row>
    <row r="789" spans="1:19">
      <c r="A789">
        <v>3155</v>
      </c>
      <c r="B789" t="s">
        <v>76</v>
      </c>
      <c r="C789">
        <v>0.54</v>
      </c>
      <c r="D789">
        <v>0.41</v>
      </c>
      <c r="E789">
        <v>0.13</v>
      </c>
      <c r="F789">
        <v>0.56000000000000005</v>
      </c>
      <c r="G789">
        <v>0.23749999999999999</v>
      </c>
      <c r="H789">
        <v>0.1065</v>
      </c>
      <c r="I789">
        <v>0.17499999999999999</v>
      </c>
      <c r="J789">
        <v>7</v>
      </c>
      <c r="K789">
        <v>11</v>
      </c>
      <c r="L789" t="s">
        <v>65</v>
      </c>
      <c r="M789" t="s">
        <v>66</v>
      </c>
      <c r="N789" t="s">
        <v>45</v>
      </c>
      <c r="O789">
        <v>10</v>
      </c>
      <c r="P789" t="s">
        <v>11</v>
      </c>
      <c r="Q789">
        <v>24.1</v>
      </c>
      <c r="R789" t="str">
        <f t="shared" si="25"/>
        <v>II</v>
      </c>
      <c r="S789">
        <f t="shared" si="26"/>
        <v>0.20757333333333339</v>
      </c>
    </row>
    <row r="790" spans="1:19">
      <c r="A790">
        <v>3736</v>
      </c>
      <c r="B790" t="s">
        <v>76</v>
      </c>
      <c r="C790">
        <v>0.61499999999999999</v>
      </c>
      <c r="D790">
        <v>0.47499999999999998</v>
      </c>
      <c r="E790">
        <v>0.15</v>
      </c>
      <c r="F790">
        <v>1.0375000000000001</v>
      </c>
      <c r="G790">
        <v>0.47599999999999998</v>
      </c>
      <c r="H790">
        <v>0.23250000000000001</v>
      </c>
      <c r="I790">
        <v>0.28299999999999997</v>
      </c>
      <c r="J790">
        <v>9</v>
      </c>
      <c r="K790">
        <v>13</v>
      </c>
      <c r="L790" t="s">
        <v>43</v>
      </c>
      <c r="M790" t="s">
        <v>44</v>
      </c>
      <c r="N790" t="s">
        <v>45</v>
      </c>
      <c r="O790">
        <v>5</v>
      </c>
      <c r="P790" t="s">
        <v>12</v>
      </c>
      <c r="Q790">
        <v>12.8</v>
      </c>
      <c r="R790" t="str">
        <f t="shared" si="25"/>
        <v>III</v>
      </c>
      <c r="S790">
        <f t="shared" si="26"/>
        <v>0.50837500000000002</v>
      </c>
    </row>
    <row r="791" spans="1:19">
      <c r="A791">
        <v>1169</v>
      </c>
      <c r="B791" t="s">
        <v>76</v>
      </c>
      <c r="C791">
        <v>0.62</v>
      </c>
      <c r="D791">
        <v>0.45</v>
      </c>
      <c r="E791">
        <v>0.2</v>
      </c>
      <c r="F791">
        <v>0.85799999999999998</v>
      </c>
      <c r="G791">
        <v>0.42849999999999999</v>
      </c>
      <c r="H791">
        <v>0.1525</v>
      </c>
      <c r="I791">
        <v>0.24049999999999999</v>
      </c>
      <c r="J791">
        <v>8</v>
      </c>
      <c r="K791">
        <v>12</v>
      </c>
      <c r="L791" t="s">
        <v>58</v>
      </c>
      <c r="M791" t="s">
        <v>59</v>
      </c>
      <c r="N791" t="s">
        <v>45</v>
      </c>
      <c r="O791">
        <v>6</v>
      </c>
      <c r="P791" t="s">
        <v>7</v>
      </c>
      <c r="Q791">
        <v>14.1</v>
      </c>
      <c r="R791" t="str">
        <f t="shared" si="25"/>
        <v>III</v>
      </c>
      <c r="S791">
        <f t="shared" si="26"/>
        <v>0.42470999999999998</v>
      </c>
    </row>
    <row r="792" spans="1:19">
      <c r="A792">
        <v>385</v>
      </c>
      <c r="B792" t="s">
        <v>76</v>
      </c>
      <c r="C792">
        <v>0.54500000000000004</v>
      </c>
      <c r="D792">
        <v>0.42499999999999999</v>
      </c>
      <c r="E792">
        <v>0.13500000000000001</v>
      </c>
      <c r="F792">
        <v>0.84450000000000003</v>
      </c>
      <c r="G792">
        <v>0.373</v>
      </c>
      <c r="H792">
        <v>0.21</v>
      </c>
      <c r="I792">
        <v>0.23499999999999999</v>
      </c>
      <c r="J792">
        <v>10</v>
      </c>
      <c r="K792">
        <v>11</v>
      </c>
      <c r="L792" t="s">
        <v>65</v>
      </c>
      <c r="M792" t="s">
        <v>66</v>
      </c>
      <c r="N792" t="s">
        <v>45</v>
      </c>
      <c r="O792">
        <v>6</v>
      </c>
      <c r="P792" t="s">
        <v>7</v>
      </c>
      <c r="Q792">
        <v>14.1</v>
      </c>
      <c r="R792" t="str">
        <f t="shared" si="25"/>
        <v>II</v>
      </c>
      <c r="S792">
        <f t="shared" si="26"/>
        <v>0.31584300000000004</v>
      </c>
    </row>
    <row r="793" spans="1:19">
      <c r="A793">
        <v>3188</v>
      </c>
      <c r="B793" t="s">
        <v>76</v>
      </c>
      <c r="C793">
        <v>0.51</v>
      </c>
      <c r="D793">
        <v>0.38500000000000001</v>
      </c>
      <c r="E793">
        <v>0.13500000000000001</v>
      </c>
      <c r="F793">
        <v>0.63200000000000001</v>
      </c>
      <c r="G793">
        <v>0.28199999999999997</v>
      </c>
      <c r="H793">
        <v>0.14499999999999999</v>
      </c>
      <c r="I793">
        <v>0.17</v>
      </c>
      <c r="J793">
        <v>8</v>
      </c>
      <c r="K793">
        <v>15</v>
      </c>
      <c r="L793" t="s">
        <v>60</v>
      </c>
      <c r="M793" t="s">
        <v>61</v>
      </c>
      <c r="N793" t="s">
        <v>45</v>
      </c>
      <c r="O793">
        <v>10</v>
      </c>
      <c r="P793" t="s">
        <v>11</v>
      </c>
      <c r="Q793">
        <v>24.1</v>
      </c>
      <c r="R793" t="str">
        <f t="shared" si="25"/>
        <v>II</v>
      </c>
      <c r="S793">
        <f t="shared" si="26"/>
        <v>0.23004800000000003</v>
      </c>
    </row>
    <row r="794" spans="1:19">
      <c r="A794">
        <v>118</v>
      </c>
      <c r="B794" t="s">
        <v>76</v>
      </c>
      <c r="C794">
        <v>0.44</v>
      </c>
      <c r="D794">
        <v>0.34</v>
      </c>
      <c r="E794">
        <v>0.105</v>
      </c>
      <c r="F794">
        <v>0.40200000000000002</v>
      </c>
      <c r="G794">
        <v>0.1305</v>
      </c>
      <c r="H794">
        <v>9.5500000000000002E-2</v>
      </c>
      <c r="I794">
        <v>0.16500000000000001</v>
      </c>
      <c r="J794">
        <v>10</v>
      </c>
      <c r="K794">
        <v>4</v>
      </c>
      <c r="L794" t="s">
        <v>40</v>
      </c>
      <c r="M794" t="s">
        <v>41</v>
      </c>
      <c r="N794" t="s">
        <v>42</v>
      </c>
      <c r="O794">
        <v>1</v>
      </c>
      <c r="P794" t="s">
        <v>4</v>
      </c>
      <c r="Q794">
        <v>22.1</v>
      </c>
      <c r="R794" t="str">
        <f t="shared" si="25"/>
        <v>II</v>
      </c>
      <c r="S794">
        <f t="shared" si="26"/>
        <v>0.13855599999999998</v>
      </c>
    </row>
    <row r="795" spans="1:19">
      <c r="A795">
        <v>2449</v>
      </c>
      <c r="B795" t="s">
        <v>76</v>
      </c>
      <c r="C795">
        <v>0.35</v>
      </c>
      <c r="D795">
        <v>0.26500000000000001</v>
      </c>
      <c r="E795">
        <v>0.09</v>
      </c>
      <c r="F795">
        <v>0.1855</v>
      </c>
      <c r="G795">
        <v>7.4499999999999997E-2</v>
      </c>
      <c r="H795">
        <v>4.1500000000000002E-2</v>
      </c>
      <c r="I795">
        <v>0.06</v>
      </c>
      <c r="J795">
        <v>7</v>
      </c>
      <c r="K795">
        <v>14</v>
      </c>
      <c r="L795" t="s">
        <v>72</v>
      </c>
      <c r="M795" t="s">
        <v>73</v>
      </c>
      <c r="N795" t="s">
        <v>74</v>
      </c>
      <c r="O795">
        <v>3</v>
      </c>
      <c r="P795" t="s">
        <v>10</v>
      </c>
      <c r="Q795">
        <v>3.6</v>
      </c>
      <c r="R795" t="str">
        <f t="shared" si="25"/>
        <v>II</v>
      </c>
      <c r="S795">
        <f t="shared" si="26"/>
        <v>5.9483666666666657E-2</v>
      </c>
    </row>
    <row r="796" spans="1:19">
      <c r="A796">
        <v>4155</v>
      </c>
      <c r="B796" t="s">
        <v>76</v>
      </c>
      <c r="C796">
        <v>0.435</v>
      </c>
      <c r="D796">
        <v>0.33</v>
      </c>
      <c r="E796">
        <v>9.5000000000000001E-2</v>
      </c>
      <c r="F796">
        <v>0.39300000000000002</v>
      </c>
      <c r="G796">
        <v>0.219</v>
      </c>
      <c r="H796">
        <v>7.4999999999999997E-2</v>
      </c>
      <c r="I796">
        <v>8.8499999999999995E-2</v>
      </c>
      <c r="J796">
        <v>6</v>
      </c>
      <c r="K796">
        <v>1</v>
      </c>
      <c r="L796" t="s">
        <v>70</v>
      </c>
      <c r="M796" t="s">
        <v>71</v>
      </c>
      <c r="N796" t="s">
        <v>45</v>
      </c>
      <c r="O796">
        <v>2</v>
      </c>
      <c r="P796" t="s">
        <v>5</v>
      </c>
      <c r="Q796">
        <v>18</v>
      </c>
      <c r="R796" t="str">
        <f t="shared" si="25"/>
        <v>II</v>
      </c>
      <c r="S796">
        <f t="shared" si="26"/>
        <v>0.13414400000000001</v>
      </c>
    </row>
    <row r="797" spans="1:19">
      <c r="A797">
        <v>2116</v>
      </c>
      <c r="B797" t="s">
        <v>76</v>
      </c>
      <c r="C797">
        <v>0.18</v>
      </c>
      <c r="D797">
        <v>0.13</v>
      </c>
      <c r="E797">
        <v>4.4999999999999998E-2</v>
      </c>
      <c r="F797">
        <v>2.75E-2</v>
      </c>
      <c r="G797">
        <v>1.2500000000000001E-2</v>
      </c>
      <c r="H797">
        <v>0.01</v>
      </c>
      <c r="I797">
        <v>8.9999999999999993E-3</v>
      </c>
      <c r="J797">
        <v>3</v>
      </c>
      <c r="K797">
        <v>5</v>
      </c>
      <c r="L797" t="s">
        <v>67</v>
      </c>
      <c r="M797" t="s">
        <v>68</v>
      </c>
      <c r="N797" t="s">
        <v>69</v>
      </c>
      <c r="O797">
        <v>6</v>
      </c>
      <c r="P797" t="s">
        <v>7</v>
      </c>
      <c r="Q797">
        <v>14.1</v>
      </c>
      <c r="R797" t="str">
        <f t="shared" si="25"/>
        <v>II</v>
      </c>
      <c r="S797">
        <f t="shared" si="26"/>
        <v>7.535E-3</v>
      </c>
    </row>
    <row r="798" spans="1:19">
      <c r="A798">
        <v>3569</v>
      </c>
      <c r="B798" t="s">
        <v>76</v>
      </c>
      <c r="C798">
        <v>0.57999999999999996</v>
      </c>
      <c r="D798">
        <v>0.46</v>
      </c>
      <c r="E798">
        <v>0.14000000000000001</v>
      </c>
      <c r="F798">
        <v>0.82950000000000002</v>
      </c>
      <c r="G798">
        <v>0.39150000000000001</v>
      </c>
      <c r="H798">
        <v>0.16500000000000001</v>
      </c>
      <c r="I798">
        <v>0.23799999999999999</v>
      </c>
      <c r="J798">
        <v>10</v>
      </c>
      <c r="K798">
        <v>8</v>
      </c>
      <c r="L798" t="s">
        <v>55</v>
      </c>
      <c r="M798" t="s">
        <v>56</v>
      </c>
      <c r="N798" t="s">
        <v>57</v>
      </c>
      <c r="O798">
        <v>9</v>
      </c>
      <c r="P798" t="s">
        <v>9</v>
      </c>
      <c r="Q798">
        <v>1.9</v>
      </c>
      <c r="R798" t="str">
        <f t="shared" si="25"/>
        <v>II</v>
      </c>
      <c r="S798">
        <f t="shared" si="26"/>
        <v>0.31852800000000003</v>
      </c>
    </row>
    <row r="799" spans="1:19">
      <c r="A799">
        <v>3949</v>
      </c>
      <c r="B799" t="s">
        <v>76</v>
      </c>
      <c r="C799">
        <v>0.53</v>
      </c>
      <c r="D799">
        <v>0.4</v>
      </c>
      <c r="E799">
        <v>0.16500000000000001</v>
      </c>
      <c r="F799">
        <v>0.77200000000000002</v>
      </c>
      <c r="G799">
        <v>0.28549999999999998</v>
      </c>
      <c r="H799">
        <v>0.19750000000000001</v>
      </c>
      <c r="I799">
        <v>0.23</v>
      </c>
      <c r="J799">
        <v>12</v>
      </c>
      <c r="K799">
        <v>12</v>
      </c>
      <c r="L799" t="s">
        <v>58</v>
      </c>
      <c r="M799" t="s">
        <v>59</v>
      </c>
      <c r="N799" t="s">
        <v>45</v>
      </c>
      <c r="O799">
        <v>9</v>
      </c>
      <c r="P799" t="s">
        <v>9</v>
      </c>
      <c r="Q799">
        <v>1.9</v>
      </c>
      <c r="R799" t="str">
        <f t="shared" si="25"/>
        <v>II</v>
      </c>
      <c r="S799">
        <f t="shared" si="26"/>
        <v>0.28769866666666671</v>
      </c>
    </row>
    <row r="800" spans="1:19">
      <c r="A800">
        <v>3282</v>
      </c>
      <c r="B800" t="s">
        <v>76</v>
      </c>
      <c r="C800">
        <v>0.55000000000000004</v>
      </c>
      <c r="D800">
        <v>0.45</v>
      </c>
      <c r="E800">
        <v>0.17</v>
      </c>
      <c r="F800">
        <v>0.81</v>
      </c>
      <c r="G800">
        <v>0.317</v>
      </c>
      <c r="H800">
        <v>0.157</v>
      </c>
      <c r="I800">
        <v>0.22</v>
      </c>
      <c r="J800">
        <v>11</v>
      </c>
      <c r="K800">
        <v>5</v>
      </c>
      <c r="L800" t="s">
        <v>67</v>
      </c>
      <c r="M800" t="s">
        <v>68</v>
      </c>
      <c r="N800" t="s">
        <v>69</v>
      </c>
      <c r="O800">
        <v>6</v>
      </c>
      <c r="P800" t="s">
        <v>7</v>
      </c>
      <c r="Q800">
        <v>14.1</v>
      </c>
      <c r="R800" t="str">
        <f t="shared" si="25"/>
        <v>II</v>
      </c>
      <c r="S800">
        <f t="shared" si="26"/>
        <v>0.30996000000000001</v>
      </c>
    </row>
    <row r="801" spans="1:19">
      <c r="A801">
        <v>1225</v>
      </c>
      <c r="B801" t="s">
        <v>76</v>
      </c>
      <c r="C801">
        <v>0.34499999999999997</v>
      </c>
      <c r="D801">
        <v>0.255</v>
      </c>
      <c r="E801">
        <v>9.5000000000000001E-2</v>
      </c>
      <c r="F801">
        <v>0.19450000000000001</v>
      </c>
      <c r="G801">
        <v>9.2499999999999999E-2</v>
      </c>
      <c r="H801">
        <v>3.6999999999999998E-2</v>
      </c>
      <c r="I801">
        <v>5.5E-2</v>
      </c>
      <c r="J801">
        <v>6</v>
      </c>
      <c r="K801">
        <v>7</v>
      </c>
      <c r="L801" t="s">
        <v>62</v>
      </c>
      <c r="M801" t="s">
        <v>63</v>
      </c>
      <c r="N801" t="s">
        <v>64</v>
      </c>
      <c r="O801">
        <v>10</v>
      </c>
      <c r="P801" t="s">
        <v>11</v>
      </c>
      <c r="Q801">
        <v>24.1</v>
      </c>
      <c r="R801" t="str">
        <f t="shared" si="25"/>
        <v>II</v>
      </c>
      <c r="S801">
        <f t="shared" si="26"/>
        <v>6.2110333333333337E-2</v>
      </c>
    </row>
    <row r="802" spans="1:19">
      <c r="A802">
        <v>2010</v>
      </c>
      <c r="B802" t="s">
        <v>76</v>
      </c>
      <c r="C802">
        <v>0.43</v>
      </c>
      <c r="D802">
        <v>0.32</v>
      </c>
      <c r="E802">
        <v>0.11</v>
      </c>
      <c r="F802">
        <v>0.36749999999999999</v>
      </c>
      <c r="G802">
        <v>0.16750000000000001</v>
      </c>
      <c r="H802">
        <v>0.10199999999999999</v>
      </c>
      <c r="I802">
        <v>0.105</v>
      </c>
      <c r="J802">
        <v>8</v>
      </c>
      <c r="K802">
        <v>1</v>
      </c>
      <c r="L802" t="s">
        <v>70</v>
      </c>
      <c r="M802" t="s">
        <v>71</v>
      </c>
      <c r="N802" t="s">
        <v>45</v>
      </c>
      <c r="O802">
        <v>7</v>
      </c>
      <c r="P802" t="s">
        <v>6</v>
      </c>
      <c r="Q802">
        <v>2.5</v>
      </c>
      <c r="R802" t="str">
        <f t="shared" si="25"/>
        <v>II</v>
      </c>
      <c r="S802">
        <f t="shared" si="26"/>
        <v>0.12544</v>
      </c>
    </row>
    <row r="803" spans="1:19">
      <c r="A803">
        <v>1654</v>
      </c>
      <c r="B803" t="s">
        <v>76</v>
      </c>
      <c r="C803">
        <v>0.59499999999999997</v>
      </c>
      <c r="D803">
        <v>0.45</v>
      </c>
      <c r="E803">
        <v>0.14499999999999999</v>
      </c>
      <c r="F803">
        <v>0.95899999999999996</v>
      </c>
      <c r="G803">
        <v>0.46300000000000002</v>
      </c>
      <c r="H803">
        <v>0.20649999999999999</v>
      </c>
      <c r="I803">
        <v>0.2535</v>
      </c>
      <c r="J803">
        <v>10</v>
      </c>
      <c r="K803">
        <v>3</v>
      </c>
      <c r="L803" t="s">
        <v>52</v>
      </c>
      <c r="M803" t="s">
        <v>53</v>
      </c>
      <c r="N803" t="s">
        <v>54</v>
      </c>
      <c r="O803">
        <v>5</v>
      </c>
      <c r="P803" t="s">
        <v>12</v>
      </c>
      <c r="Q803">
        <v>12.8</v>
      </c>
      <c r="R803" t="str">
        <f t="shared" si="25"/>
        <v>III</v>
      </c>
      <c r="S803">
        <f t="shared" si="26"/>
        <v>0.46191833333333332</v>
      </c>
    </row>
    <row r="804" spans="1:19">
      <c r="A804">
        <v>4</v>
      </c>
      <c r="B804" t="s">
        <v>76</v>
      </c>
      <c r="C804">
        <v>0.44</v>
      </c>
      <c r="D804">
        <v>0.36499999999999999</v>
      </c>
      <c r="E804">
        <v>0.125</v>
      </c>
      <c r="F804">
        <v>0.51600000000000001</v>
      </c>
      <c r="G804">
        <v>0.2155</v>
      </c>
      <c r="H804">
        <v>0.114</v>
      </c>
      <c r="I804">
        <v>0.155</v>
      </c>
      <c r="J804">
        <v>10</v>
      </c>
      <c r="K804">
        <v>8</v>
      </c>
      <c r="L804" t="s">
        <v>55</v>
      </c>
      <c r="M804" t="s">
        <v>56</v>
      </c>
      <c r="N804" t="s">
        <v>57</v>
      </c>
      <c r="O804">
        <v>6</v>
      </c>
      <c r="P804" t="s">
        <v>7</v>
      </c>
      <c r="Q804">
        <v>14.1</v>
      </c>
      <c r="R804" t="str">
        <f t="shared" si="25"/>
        <v>II</v>
      </c>
      <c r="S804">
        <f t="shared" si="26"/>
        <v>0.18094399999999999</v>
      </c>
    </row>
    <row r="805" spans="1:19">
      <c r="A805">
        <v>1589</v>
      </c>
      <c r="B805" t="s">
        <v>76</v>
      </c>
      <c r="C805">
        <v>0.51500000000000001</v>
      </c>
      <c r="D805">
        <v>0.39</v>
      </c>
      <c r="E805">
        <v>0.125</v>
      </c>
      <c r="F805">
        <v>0.57050000000000001</v>
      </c>
      <c r="G805">
        <v>0.23799999999999999</v>
      </c>
      <c r="H805">
        <v>0.1265</v>
      </c>
      <c r="I805">
        <v>0.185</v>
      </c>
      <c r="J805">
        <v>8</v>
      </c>
      <c r="K805">
        <v>6</v>
      </c>
      <c r="L805" t="s">
        <v>46</v>
      </c>
      <c r="M805" t="s">
        <v>47</v>
      </c>
      <c r="N805" t="s">
        <v>48</v>
      </c>
      <c r="O805">
        <v>3</v>
      </c>
      <c r="P805" t="s">
        <v>10</v>
      </c>
      <c r="Q805">
        <v>3.6</v>
      </c>
      <c r="R805" t="str">
        <f t="shared" si="25"/>
        <v>II</v>
      </c>
      <c r="S805">
        <f t="shared" si="26"/>
        <v>0.20766199999999999</v>
      </c>
    </row>
    <row r="806" spans="1:19">
      <c r="A806">
        <v>477</v>
      </c>
      <c r="B806" t="s">
        <v>76</v>
      </c>
      <c r="C806">
        <v>0.46500000000000002</v>
      </c>
      <c r="D806">
        <v>0.35</v>
      </c>
      <c r="E806">
        <v>0.115</v>
      </c>
      <c r="F806">
        <v>0.42099999999999999</v>
      </c>
      <c r="G806">
        <v>0.1565</v>
      </c>
      <c r="H806">
        <v>9.0999999999999998E-2</v>
      </c>
      <c r="I806">
        <v>0.13450000000000001</v>
      </c>
      <c r="J806">
        <v>9</v>
      </c>
      <c r="K806">
        <v>1</v>
      </c>
      <c r="L806" t="s">
        <v>70</v>
      </c>
      <c r="M806" t="s">
        <v>71</v>
      </c>
      <c r="N806" t="s">
        <v>45</v>
      </c>
      <c r="O806">
        <v>9</v>
      </c>
      <c r="P806" t="s">
        <v>9</v>
      </c>
      <c r="Q806">
        <v>1.9</v>
      </c>
      <c r="R806" t="str">
        <f t="shared" si="25"/>
        <v>II</v>
      </c>
      <c r="S806">
        <f t="shared" si="26"/>
        <v>0.14763066666666666</v>
      </c>
    </row>
    <row r="807" spans="1:19">
      <c r="A807">
        <v>663</v>
      </c>
      <c r="B807" t="s">
        <v>76</v>
      </c>
      <c r="C807">
        <v>0.41499999999999998</v>
      </c>
      <c r="D807">
        <v>0.34</v>
      </c>
      <c r="E807">
        <v>0.13</v>
      </c>
      <c r="F807">
        <v>0.36749999999999999</v>
      </c>
      <c r="G807">
        <v>0.14599999999999999</v>
      </c>
      <c r="H807">
        <v>8.8499999999999995E-2</v>
      </c>
      <c r="I807">
        <v>0.12</v>
      </c>
      <c r="J807">
        <v>10</v>
      </c>
      <c r="K807">
        <v>1</v>
      </c>
      <c r="L807" t="s">
        <v>70</v>
      </c>
      <c r="M807" t="s">
        <v>71</v>
      </c>
      <c r="N807" t="s">
        <v>45</v>
      </c>
      <c r="O807">
        <v>5</v>
      </c>
      <c r="P807" t="s">
        <v>12</v>
      </c>
      <c r="Q807">
        <v>12.8</v>
      </c>
      <c r="R807" t="str">
        <f t="shared" si="25"/>
        <v>II</v>
      </c>
      <c r="S807">
        <f t="shared" si="26"/>
        <v>0.126665</v>
      </c>
    </row>
    <row r="808" spans="1:19">
      <c r="A808">
        <v>1488</v>
      </c>
      <c r="B808" t="s">
        <v>76</v>
      </c>
      <c r="C808">
        <v>0.6</v>
      </c>
      <c r="D808">
        <v>0.45500000000000002</v>
      </c>
      <c r="E808">
        <v>0.155</v>
      </c>
      <c r="F808">
        <v>0.94499999999999995</v>
      </c>
      <c r="G808">
        <v>0.4365</v>
      </c>
      <c r="H808">
        <v>0.20849999999999999</v>
      </c>
      <c r="I808">
        <v>0.25</v>
      </c>
      <c r="J808">
        <v>8</v>
      </c>
      <c r="K808">
        <v>7</v>
      </c>
      <c r="L808" t="s">
        <v>62</v>
      </c>
      <c r="M808" t="s">
        <v>63</v>
      </c>
      <c r="N808" t="s">
        <v>64</v>
      </c>
      <c r="O808">
        <v>7</v>
      </c>
      <c r="P808" t="s">
        <v>6</v>
      </c>
      <c r="Q808">
        <v>2.5</v>
      </c>
      <c r="R808" t="str">
        <f t="shared" si="25"/>
        <v>III</v>
      </c>
      <c r="S808">
        <f t="shared" si="26"/>
        <v>0.45832499999999993</v>
      </c>
    </row>
    <row r="809" spans="1:19">
      <c r="A809">
        <v>2611</v>
      </c>
      <c r="B809" t="s">
        <v>76</v>
      </c>
      <c r="C809">
        <v>0.63</v>
      </c>
      <c r="D809">
        <v>0.495</v>
      </c>
      <c r="E809">
        <v>0.14499999999999999</v>
      </c>
      <c r="F809">
        <v>1.147</v>
      </c>
      <c r="G809">
        <v>0.54549999999999998</v>
      </c>
      <c r="H809">
        <v>0.26600000000000001</v>
      </c>
      <c r="I809">
        <v>0.28849999999999998</v>
      </c>
      <c r="J809">
        <v>9</v>
      </c>
      <c r="K809">
        <v>12</v>
      </c>
      <c r="L809" t="s">
        <v>58</v>
      </c>
      <c r="M809" t="s">
        <v>59</v>
      </c>
      <c r="N809" t="s">
        <v>45</v>
      </c>
      <c r="O809">
        <v>9</v>
      </c>
      <c r="P809" t="s">
        <v>9</v>
      </c>
      <c r="Q809">
        <v>1.9</v>
      </c>
      <c r="R809" t="str">
        <f t="shared" si="25"/>
        <v>I</v>
      </c>
      <c r="S809">
        <f t="shared" si="26"/>
        <v>0.85164750000000033</v>
      </c>
    </row>
    <row r="810" spans="1:19">
      <c r="A810">
        <v>1064</v>
      </c>
      <c r="B810" t="s">
        <v>76</v>
      </c>
      <c r="C810">
        <v>0.28499999999999998</v>
      </c>
      <c r="D810">
        <v>0.22</v>
      </c>
      <c r="E810">
        <v>6.5000000000000002E-2</v>
      </c>
      <c r="F810">
        <v>9.6000000000000002E-2</v>
      </c>
      <c r="G810">
        <v>4.0500000000000001E-2</v>
      </c>
      <c r="H810">
        <v>2.0500000000000001E-2</v>
      </c>
      <c r="I810">
        <v>0.03</v>
      </c>
      <c r="J810">
        <v>5</v>
      </c>
      <c r="K810">
        <v>5</v>
      </c>
      <c r="L810" t="s">
        <v>67</v>
      </c>
      <c r="M810" t="s">
        <v>68</v>
      </c>
      <c r="N810" t="s">
        <v>69</v>
      </c>
      <c r="O810">
        <v>6</v>
      </c>
      <c r="P810" t="s">
        <v>7</v>
      </c>
      <c r="Q810">
        <v>14.1</v>
      </c>
      <c r="R810" t="str">
        <f t="shared" si="25"/>
        <v>II</v>
      </c>
      <c r="S810">
        <f t="shared" si="26"/>
        <v>2.9055999999999998E-2</v>
      </c>
    </row>
    <row r="811" spans="1:19">
      <c r="A811">
        <v>3771</v>
      </c>
      <c r="B811" t="s">
        <v>76</v>
      </c>
      <c r="C811">
        <v>0.56499999999999995</v>
      </c>
      <c r="D811">
        <v>0.43</v>
      </c>
      <c r="E811">
        <v>0.125</v>
      </c>
      <c r="F811">
        <v>0.65449999999999997</v>
      </c>
      <c r="G811">
        <v>0.28149999999999997</v>
      </c>
      <c r="H811">
        <v>0.13900000000000001</v>
      </c>
      <c r="I811">
        <v>0.21</v>
      </c>
      <c r="J811">
        <v>9</v>
      </c>
      <c r="K811">
        <v>3</v>
      </c>
      <c r="L811" t="s">
        <v>52</v>
      </c>
      <c r="M811" t="s">
        <v>53</v>
      </c>
      <c r="N811" t="s">
        <v>54</v>
      </c>
      <c r="O811">
        <v>4</v>
      </c>
      <c r="P811" t="s">
        <v>8</v>
      </c>
      <c r="Q811">
        <v>6.1</v>
      </c>
      <c r="R811" t="str">
        <f t="shared" si="25"/>
        <v>II</v>
      </c>
      <c r="S811">
        <f t="shared" ref="S811:S834" si="27">IF(OR(AND(J811 &gt; 15, B811 = "Infant"), AND(D811 = "Male", C811 &gt; 0.75), OR(I811 &gt; 0.8, G811 &gt; 0.5), G811 &gt; 1.2), (1 + (1/3)*(C811 - 0.5) + (1/3)*(D811 - 0.4) + (1/3)*(E811 - 0.4)) * F811 * 0.5 * 1.5, IF(OR(AND(I811 &lt; 0.4, G811 &lt; 0.4), AND(J811 &gt; 15, D811 = "Male"), AND(J811 &gt; 18, D811 = "Female"), C811 &lt; 0.36), (1 + (1/3)*(C811 - 0.5) + (1/3)*(D811 - 0.4) + (1/3)*(E811 - 0.4)) * F811 * 0.5 * 0.8, (1 + (1/3)*(C811 - 0.5) + (1/3)*(D811 - 0.4) + (1/3)*(E811 - 0.4)) * F811 * 0.5))</f>
        <v>0.24609200000000003</v>
      </c>
    </row>
    <row r="812" spans="1:19">
      <c r="A812">
        <v>2240</v>
      </c>
      <c r="B812" t="s">
        <v>76</v>
      </c>
      <c r="C812">
        <v>0.46</v>
      </c>
      <c r="D812">
        <v>0.36</v>
      </c>
      <c r="E812">
        <v>0.115</v>
      </c>
      <c r="F812">
        <v>0.47549999999999998</v>
      </c>
      <c r="G812">
        <v>0.21049999999999999</v>
      </c>
      <c r="H812">
        <v>0.105</v>
      </c>
      <c r="I812">
        <v>0.16</v>
      </c>
      <c r="J812">
        <v>8</v>
      </c>
      <c r="K812">
        <v>2</v>
      </c>
      <c r="L812" t="s">
        <v>49</v>
      </c>
      <c r="M812" t="s">
        <v>50</v>
      </c>
      <c r="N812" t="s">
        <v>51</v>
      </c>
      <c r="O812">
        <v>10</v>
      </c>
      <c r="P812" t="s">
        <v>11</v>
      </c>
      <c r="Q812">
        <v>24.1</v>
      </c>
      <c r="R812" t="str">
        <f t="shared" si="25"/>
        <v>II</v>
      </c>
      <c r="S812">
        <f t="shared" si="27"/>
        <v>0.16705900000000001</v>
      </c>
    </row>
    <row r="813" spans="1:19">
      <c r="A813">
        <v>1690</v>
      </c>
      <c r="B813" t="s">
        <v>76</v>
      </c>
      <c r="C813">
        <v>0.625</v>
      </c>
      <c r="D813">
        <v>0.47499999999999998</v>
      </c>
      <c r="E813">
        <v>0.16</v>
      </c>
      <c r="F813">
        <v>1.0845</v>
      </c>
      <c r="G813">
        <v>0.50049999999999994</v>
      </c>
      <c r="H813">
        <v>0.23549999999999999</v>
      </c>
      <c r="I813">
        <v>0.3105</v>
      </c>
      <c r="J813">
        <v>10</v>
      </c>
      <c r="K813">
        <v>8</v>
      </c>
      <c r="L813" t="s">
        <v>55</v>
      </c>
      <c r="M813" t="s">
        <v>56</v>
      </c>
      <c r="N813" t="s">
        <v>57</v>
      </c>
      <c r="O813">
        <v>8</v>
      </c>
      <c r="P813" t="s">
        <v>13</v>
      </c>
      <c r="Q813">
        <v>12.3</v>
      </c>
      <c r="R813" t="str">
        <f t="shared" si="25"/>
        <v>I</v>
      </c>
      <c r="S813">
        <f t="shared" si="27"/>
        <v>0.80253000000000008</v>
      </c>
    </row>
    <row r="814" spans="1:19">
      <c r="A814">
        <v>3545</v>
      </c>
      <c r="B814" t="s">
        <v>76</v>
      </c>
      <c r="C814">
        <v>0.47499999999999998</v>
      </c>
      <c r="D814">
        <v>0.35499999999999998</v>
      </c>
      <c r="E814">
        <v>0.125</v>
      </c>
      <c r="F814">
        <v>0.48649999999999999</v>
      </c>
      <c r="G814">
        <v>0.2155</v>
      </c>
      <c r="H814">
        <v>0.1105</v>
      </c>
      <c r="I814">
        <v>0.14199999999999999</v>
      </c>
      <c r="J814">
        <v>9</v>
      </c>
      <c r="K814">
        <v>1</v>
      </c>
      <c r="L814" t="s">
        <v>70</v>
      </c>
      <c r="M814" t="s">
        <v>71</v>
      </c>
      <c r="N814" t="s">
        <v>45</v>
      </c>
      <c r="O814">
        <v>2</v>
      </c>
      <c r="P814" t="s">
        <v>5</v>
      </c>
      <c r="Q814">
        <v>18</v>
      </c>
      <c r="R814" t="str">
        <f t="shared" si="25"/>
        <v>II</v>
      </c>
      <c r="S814">
        <f t="shared" si="27"/>
        <v>0.17222100000000001</v>
      </c>
    </row>
    <row r="815" spans="1:19">
      <c r="A815">
        <v>3311</v>
      </c>
      <c r="B815" t="s">
        <v>76</v>
      </c>
      <c r="C815">
        <v>0.62</v>
      </c>
      <c r="D815">
        <v>0.48499999999999999</v>
      </c>
      <c r="E815">
        <v>0.16500000000000001</v>
      </c>
      <c r="F815">
        <v>1.1659999999999999</v>
      </c>
      <c r="G815">
        <v>0.48299999999999998</v>
      </c>
      <c r="H815">
        <v>0.23799999999999999</v>
      </c>
      <c r="I815">
        <v>0.35499999999999998</v>
      </c>
      <c r="J815">
        <v>13</v>
      </c>
      <c r="K815">
        <v>11</v>
      </c>
      <c r="L815" t="s">
        <v>65</v>
      </c>
      <c r="M815" t="s">
        <v>66</v>
      </c>
      <c r="N815" t="s">
        <v>45</v>
      </c>
      <c r="O815">
        <v>1</v>
      </c>
      <c r="P815" t="s">
        <v>4</v>
      </c>
      <c r="Q815">
        <v>22.1</v>
      </c>
      <c r="R815" t="str">
        <f t="shared" si="25"/>
        <v>III</v>
      </c>
      <c r="S815">
        <f t="shared" si="27"/>
        <v>0.57716999999999996</v>
      </c>
    </row>
    <row r="816" spans="1:19">
      <c r="A816">
        <v>901</v>
      </c>
      <c r="B816" t="s">
        <v>76</v>
      </c>
      <c r="C816">
        <v>0.3</v>
      </c>
      <c r="D816">
        <v>0.23499999999999999</v>
      </c>
      <c r="E816">
        <v>0.08</v>
      </c>
      <c r="F816">
        <v>0.13100000000000001</v>
      </c>
      <c r="G816">
        <v>0.05</v>
      </c>
      <c r="H816">
        <v>2.6499999999999999E-2</v>
      </c>
      <c r="I816">
        <v>4.2999999999999997E-2</v>
      </c>
      <c r="J816">
        <v>4</v>
      </c>
      <c r="K816">
        <v>4</v>
      </c>
      <c r="L816" t="s">
        <v>40</v>
      </c>
      <c r="M816" t="s">
        <v>41</v>
      </c>
      <c r="N816" t="s">
        <v>42</v>
      </c>
      <c r="O816">
        <v>8</v>
      </c>
      <c r="P816" t="s">
        <v>13</v>
      </c>
      <c r="Q816">
        <v>12.3</v>
      </c>
      <c r="R816" t="str">
        <f t="shared" si="25"/>
        <v>II</v>
      </c>
      <c r="S816">
        <f t="shared" si="27"/>
        <v>4.0435333333333337E-2</v>
      </c>
    </row>
    <row r="817" spans="1:19">
      <c r="A817">
        <v>249</v>
      </c>
      <c r="B817" t="s">
        <v>76</v>
      </c>
      <c r="C817">
        <v>0.30499999999999999</v>
      </c>
      <c r="D817">
        <v>0.245</v>
      </c>
      <c r="E817">
        <v>7.4999999999999997E-2</v>
      </c>
      <c r="F817">
        <v>0.156</v>
      </c>
      <c r="G817">
        <v>6.7500000000000004E-2</v>
      </c>
      <c r="H817">
        <v>3.7999999999999999E-2</v>
      </c>
      <c r="I817">
        <v>4.4999999999999998E-2</v>
      </c>
      <c r="J817">
        <v>7</v>
      </c>
      <c r="K817">
        <v>7</v>
      </c>
      <c r="L817" t="s">
        <v>62</v>
      </c>
      <c r="M817" t="s">
        <v>63</v>
      </c>
      <c r="N817" t="s">
        <v>64</v>
      </c>
      <c r="O817">
        <v>9</v>
      </c>
      <c r="P817" t="s">
        <v>9</v>
      </c>
      <c r="Q817">
        <v>1.9</v>
      </c>
      <c r="R817" t="str">
        <f t="shared" si="25"/>
        <v>II</v>
      </c>
      <c r="S817">
        <f t="shared" si="27"/>
        <v>4.8360000000000014E-2</v>
      </c>
    </row>
    <row r="818" spans="1:19">
      <c r="A818">
        <v>135</v>
      </c>
      <c r="B818" t="s">
        <v>76</v>
      </c>
      <c r="C818">
        <v>0.26500000000000001</v>
      </c>
      <c r="D818">
        <v>0.2</v>
      </c>
      <c r="E818">
        <v>6.5000000000000002E-2</v>
      </c>
      <c r="F818">
        <v>9.7500000000000003E-2</v>
      </c>
      <c r="G818">
        <v>0.04</v>
      </c>
      <c r="H818">
        <v>2.0500000000000001E-2</v>
      </c>
      <c r="I818">
        <v>2.8000000000000001E-2</v>
      </c>
      <c r="J818">
        <v>7</v>
      </c>
      <c r="K818">
        <v>12</v>
      </c>
      <c r="L818" t="s">
        <v>58</v>
      </c>
      <c r="M818" t="s">
        <v>59</v>
      </c>
      <c r="N818" t="s">
        <v>45</v>
      </c>
      <c r="O818">
        <v>9</v>
      </c>
      <c r="P818" t="s">
        <v>9</v>
      </c>
      <c r="Q818">
        <v>1.9</v>
      </c>
      <c r="R818" t="str">
        <f t="shared" si="25"/>
        <v>II</v>
      </c>
      <c r="S818">
        <f t="shared" si="27"/>
        <v>2.8990000000000002E-2</v>
      </c>
    </row>
    <row r="819" spans="1:19">
      <c r="A819">
        <v>3746</v>
      </c>
      <c r="B819" t="s">
        <v>76</v>
      </c>
      <c r="C819">
        <v>0.28499999999999998</v>
      </c>
      <c r="D819">
        <v>0.20499999999999999</v>
      </c>
      <c r="E819">
        <v>7.0000000000000007E-2</v>
      </c>
      <c r="F819">
        <v>0.106</v>
      </c>
      <c r="G819">
        <v>3.9E-2</v>
      </c>
      <c r="H819">
        <v>2.8500000000000001E-2</v>
      </c>
      <c r="I819">
        <v>3.4000000000000002E-2</v>
      </c>
      <c r="J819">
        <v>5</v>
      </c>
      <c r="K819">
        <v>11</v>
      </c>
      <c r="L819" t="s">
        <v>65</v>
      </c>
      <c r="M819" t="s">
        <v>66</v>
      </c>
      <c r="N819" t="s">
        <v>45</v>
      </c>
      <c r="O819">
        <v>10</v>
      </c>
      <c r="P819" t="s">
        <v>11</v>
      </c>
      <c r="Q819">
        <v>24.1</v>
      </c>
      <c r="R819" t="str">
        <f t="shared" si="25"/>
        <v>II</v>
      </c>
      <c r="S819">
        <f t="shared" si="27"/>
        <v>3.1941333333333335E-2</v>
      </c>
    </row>
    <row r="820" spans="1:19">
      <c r="A820">
        <v>4026</v>
      </c>
      <c r="B820" t="s">
        <v>76</v>
      </c>
      <c r="C820">
        <v>0.33</v>
      </c>
      <c r="D820">
        <v>0.26</v>
      </c>
      <c r="E820">
        <v>8.5000000000000006E-2</v>
      </c>
      <c r="F820">
        <v>0.19650000000000001</v>
      </c>
      <c r="G820">
        <v>9.1499999999999998E-2</v>
      </c>
      <c r="H820">
        <v>4.2500000000000003E-2</v>
      </c>
      <c r="I820">
        <v>5.5E-2</v>
      </c>
      <c r="J820">
        <v>7</v>
      </c>
      <c r="K820">
        <v>3</v>
      </c>
      <c r="L820" t="s">
        <v>52</v>
      </c>
      <c r="M820" t="s">
        <v>53</v>
      </c>
      <c r="N820" t="s">
        <v>54</v>
      </c>
      <c r="O820">
        <v>1</v>
      </c>
      <c r="P820" t="s">
        <v>4</v>
      </c>
      <c r="Q820">
        <v>22.1</v>
      </c>
      <c r="R820" t="str">
        <f t="shared" si="25"/>
        <v>II</v>
      </c>
      <c r="S820">
        <f t="shared" si="27"/>
        <v>6.2225000000000009E-2</v>
      </c>
    </row>
    <row r="821" spans="1:19">
      <c r="A821">
        <v>3501</v>
      </c>
      <c r="B821" t="s">
        <v>76</v>
      </c>
      <c r="C821">
        <v>0.6</v>
      </c>
      <c r="D821">
        <v>0.41</v>
      </c>
      <c r="E821">
        <v>0.14499999999999999</v>
      </c>
      <c r="F821">
        <v>0.93899999999999995</v>
      </c>
      <c r="G821">
        <v>0.44750000000000001</v>
      </c>
      <c r="H821">
        <v>0.19600000000000001</v>
      </c>
      <c r="I821">
        <v>0.26800000000000002</v>
      </c>
      <c r="J821">
        <v>8</v>
      </c>
      <c r="K821">
        <v>10</v>
      </c>
      <c r="L821" t="s">
        <v>37</v>
      </c>
      <c r="M821" t="s">
        <v>38</v>
      </c>
      <c r="N821" t="s">
        <v>39</v>
      </c>
      <c r="O821">
        <v>8</v>
      </c>
      <c r="P821" t="s">
        <v>13</v>
      </c>
      <c r="Q821">
        <v>12.3</v>
      </c>
      <c r="R821" t="str">
        <f t="shared" si="25"/>
        <v>III</v>
      </c>
      <c r="S821">
        <f t="shared" si="27"/>
        <v>0.44680749999999997</v>
      </c>
    </row>
    <row r="822" spans="1:19">
      <c r="A822">
        <v>3974</v>
      </c>
      <c r="B822" t="s">
        <v>76</v>
      </c>
      <c r="C822">
        <v>0.41499999999999998</v>
      </c>
      <c r="D822">
        <v>0.33</v>
      </c>
      <c r="E822">
        <v>0.1</v>
      </c>
      <c r="F822">
        <v>0.39050000000000001</v>
      </c>
      <c r="G822">
        <v>0.1925</v>
      </c>
      <c r="H822">
        <v>7.5499999999999998E-2</v>
      </c>
      <c r="I822">
        <v>0.10249999999999999</v>
      </c>
      <c r="J822">
        <v>7</v>
      </c>
      <c r="K822">
        <v>6</v>
      </c>
      <c r="L822" t="s">
        <v>46</v>
      </c>
      <c r="M822" t="s">
        <v>47</v>
      </c>
      <c r="N822" t="s">
        <v>48</v>
      </c>
      <c r="O822">
        <v>8</v>
      </c>
      <c r="P822" t="s">
        <v>13</v>
      </c>
      <c r="Q822">
        <v>12.3</v>
      </c>
      <c r="R822" t="str">
        <f t="shared" si="25"/>
        <v>II</v>
      </c>
      <c r="S822">
        <f t="shared" si="27"/>
        <v>0.13250966666666669</v>
      </c>
    </row>
    <row r="823" spans="1:19">
      <c r="A823">
        <v>175</v>
      </c>
      <c r="B823" t="s">
        <v>76</v>
      </c>
      <c r="C823">
        <v>0.23499999999999999</v>
      </c>
      <c r="D823">
        <v>0.16</v>
      </c>
      <c r="E823">
        <v>0.04</v>
      </c>
      <c r="F823">
        <v>4.8000000000000001E-2</v>
      </c>
      <c r="G823">
        <v>1.8499999999999999E-2</v>
      </c>
      <c r="H823">
        <v>1.7999999999999999E-2</v>
      </c>
      <c r="I823">
        <v>1.4999999999999999E-2</v>
      </c>
      <c r="J823">
        <v>5</v>
      </c>
      <c r="K823">
        <v>11</v>
      </c>
      <c r="L823" t="s">
        <v>65</v>
      </c>
      <c r="M823" t="s">
        <v>66</v>
      </c>
      <c r="N823" t="s">
        <v>45</v>
      </c>
      <c r="O823">
        <v>10</v>
      </c>
      <c r="P823" t="s">
        <v>11</v>
      </c>
      <c r="Q823">
        <v>24.1</v>
      </c>
      <c r="R823" t="str">
        <f t="shared" si="25"/>
        <v>II</v>
      </c>
      <c r="S823">
        <f t="shared" si="27"/>
        <v>1.3664000000000003E-2</v>
      </c>
    </row>
    <row r="824" spans="1:19">
      <c r="A824">
        <v>522</v>
      </c>
      <c r="B824" t="s">
        <v>76</v>
      </c>
      <c r="C824">
        <v>0.36</v>
      </c>
      <c r="D824">
        <v>0.27</v>
      </c>
      <c r="E824">
        <v>0.09</v>
      </c>
      <c r="F824">
        <v>0.1885</v>
      </c>
      <c r="G824">
        <v>8.4500000000000006E-2</v>
      </c>
      <c r="H824">
        <v>3.85E-2</v>
      </c>
      <c r="I824">
        <v>5.5E-2</v>
      </c>
      <c r="J824">
        <v>5</v>
      </c>
      <c r="K824">
        <v>13</v>
      </c>
      <c r="L824" t="s">
        <v>43</v>
      </c>
      <c r="M824" t="s">
        <v>44</v>
      </c>
      <c r="N824" t="s">
        <v>45</v>
      </c>
      <c r="O824">
        <v>5</v>
      </c>
      <c r="P824" t="s">
        <v>12</v>
      </c>
      <c r="Q824">
        <v>12.8</v>
      </c>
      <c r="R824" t="str">
        <f t="shared" si="25"/>
        <v>II</v>
      </c>
      <c r="S824">
        <f t="shared" si="27"/>
        <v>6.0822666666666671E-2</v>
      </c>
    </row>
    <row r="825" spans="1:19">
      <c r="A825">
        <v>3297</v>
      </c>
      <c r="B825" t="s">
        <v>76</v>
      </c>
      <c r="C825">
        <v>0.60499999999999998</v>
      </c>
      <c r="D825">
        <v>0.48499999999999999</v>
      </c>
      <c r="E825">
        <v>0.16500000000000001</v>
      </c>
      <c r="F825">
        <v>1.0734999999999999</v>
      </c>
      <c r="G825">
        <v>0.437</v>
      </c>
      <c r="H825">
        <v>0.20499999999999999</v>
      </c>
      <c r="I825">
        <v>0.33</v>
      </c>
      <c r="J825">
        <v>14</v>
      </c>
      <c r="K825">
        <v>15</v>
      </c>
      <c r="L825" t="s">
        <v>60</v>
      </c>
      <c r="M825" t="s">
        <v>61</v>
      </c>
      <c r="N825" t="s">
        <v>45</v>
      </c>
      <c r="O825">
        <v>1</v>
      </c>
      <c r="P825" t="s">
        <v>4</v>
      </c>
      <c r="Q825">
        <v>22.1</v>
      </c>
      <c r="R825" t="str">
        <f t="shared" si="25"/>
        <v>III</v>
      </c>
      <c r="S825">
        <f t="shared" si="27"/>
        <v>0.52869874999999988</v>
      </c>
    </row>
    <row r="826" spans="1:19">
      <c r="A826">
        <v>3412</v>
      </c>
      <c r="B826" t="s">
        <v>76</v>
      </c>
      <c r="C826">
        <v>0.43</v>
      </c>
      <c r="D826">
        <v>0.32</v>
      </c>
      <c r="E826">
        <v>0.1</v>
      </c>
      <c r="F826">
        <v>0.38550000000000001</v>
      </c>
      <c r="G826">
        <v>0.192</v>
      </c>
      <c r="H826">
        <v>7.4499999999999997E-2</v>
      </c>
      <c r="I826">
        <v>0.1</v>
      </c>
      <c r="J826">
        <v>7</v>
      </c>
      <c r="K826">
        <v>11</v>
      </c>
      <c r="L826" t="s">
        <v>65</v>
      </c>
      <c r="M826" t="s">
        <v>66</v>
      </c>
      <c r="N826" t="s">
        <v>45</v>
      </c>
      <c r="O826">
        <v>6</v>
      </c>
      <c r="P826" t="s">
        <v>7</v>
      </c>
      <c r="Q826">
        <v>14.1</v>
      </c>
      <c r="R826" t="str">
        <f t="shared" si="25"/>
        <v>II</v>
      </c>
      <c r="S826">
        <f t="shared" si="27"/>
        <v>0.13106999999999999</v>
      </c>
    </row>
    <row r="827" spans="1:19">
      <c r="A827">
        <v>858</v>
      </c>
      <c r="B827" t="s">
        <v>76</v>
      </c>
      <c r="C827">
        <v>0.59</v>
      </c>
      <c r="D827">
        <v>0.46</v>
      </c>
      <c r="E827">
        <v>0.13</v>
      </c>
      <c r="F827">
        <v>1.1020000000000001</v>
      </c>
      <c r="G827">
        <v>0.45500000000000002</v>
      </c>
      <c r="H827">
        <v>0.20549999999999999</v>
      </c>
      <c r="I827">
        <v>0.33</v>
      </c>
      <c r="J827">
        <v>12</v>
      </c>
      <c r="K827">
        <v>14</v>
      </c>
      <c r="L827" t="s">
        <v>72</v>
      </c>
      <c r="M827" t="s">
        <v>73</v>
      </c>
      <c r="N827" t="s">
        <v>74</v>
      </c>
      <c r="O827">
        <v>3</v>
      </c>
      <c r="P827" t="s">
        <v>10</v>
      </c>
      <c r="Q827">
        <v>3.6</v>
      </c>
      <c r="R827" t="str">
        <f t="shared" si="25"/>
        <v>III</v>
      </c>
      <c r="S827">
        <f t="shared" si="27"/>
        <v>0.5289600000000001</v>
      </c>
    </row>
    <row r="828" spans="1:19">
      <c r="A828">
        <v>1245</v>
      </c>
      <c r="B828" t="s">
        <v>76</v>
      </c>
      <c r="C828">
        <v>0.38500000000000001</v>
      </c>
      <c r="D828">
        <v>0.3</v>
      </c>
      <c r="E828">
        <v>9.5000000000000001E-2</v>
      </c>
      <c r="F828">
        <v>0.30199999999999999</v>
      </c>
      <c r="G828">
        <v>0.152</v>
      </c>
      <c r="H828">
        <v>6.1499999999999999E-2</v>
      </c>
      <c r="I828">
        <v>7.3499999999999996E-2</v>
      </c>
      <c r="J828">
        <v>7</v>
      </c>
      <c r="K828">
        <v>13</v>
      </c>
      <c r="L828" t="s">
        <v>43</v>
      </c>
      <c r="M828" t="s">
        <v>44</v>
      </c>
      <c r="N828" t="s">
        <v>45</v>
      </c>
      <c r="O828">
        <v>7</v>
      </c>
      <c r="P828" t="s">
        <v>6</v>
      </c>
      <c r="Q828">
        <v>2.5</v>
      </c>
      <c r="R828" t="str">
        <f t="shared" si="25"/>
        <v>II</v>
      </c>
      <c r="S828">
        <f t="shared" si="27"/>
        <v>9.986133333333333E-2</v>
      </c>
    </row>
    <row r="829" spans="1:19">
      <c r="A829">
        <v>1677</v>
      </c>
      <c r="B829" t="s">
        <v>76</v>
      </c>
      <c r="C829">
        <v>0.61499999999999999</v>
      </c>
      <c r="D829">
        <v>0.47</v>
      </c>
      <c r="E829">
        <v>0.16</v>
      </c>
      <c r="F829">
        <v>1.0175000000000001</v>
      </c>
      <c r="G829">
        <v>0.47299999999999998</v>
      </c>
      <c r="H829">
        <v>0.23949999999999999</v>
      </c>
      <c r="I829">
        <v>0.28000000000000003</v>
      </c>
      <c r="J829">
        <v>10</v>
      </c>
      <c r="K829">
        <v>6</v>
      </c>
      <c r="L829" t="s">
        <v>46</v>
      </c>
      <c r="M829" t="s">
        <v>47</v>
      </c>
      <c r="N829" t="s">
        <v>48</v>
      </c>
      <c r="O829">
        <v>2</v>
      </c>
      <c r="P829" t="s">
        <v>5</v>
      </c>
      <c r="Q829">
        <v>18</v>
      </c>
      <c r="R829" t="str">
        <f t="shared" si="25"/>
        <v>III</v>
      </c>
      <c r="S829">
        <f t="shared" si="27"/>
        <v>0.49942291666666666</v>
      </c>
    </row>
    <row r="830" spans="1:19">
      <c r="A830">
        <v>2365</v>
      </c>
      <c r="B830" t="s">
        <v>76</v>
      </c>
      <c r="C830">
        <v>0.6</v>
      </c>
      <c r="D830">
        <v>0.47</v>
      </c>
      <c r="E830">
        <v>0.2</v>
      </c>
      <c r="F830">
        <v>1.0309999999999999</v>
      </c>
      <c r="G830">
        <v>0.39200000000000002</v>
      </c>
      <c r="H830">
        <v>0.20349999999999999</v>
      </c>
      <c r="I830">
        <v>0.28999999999999998</v>
      </c>
      <c r="J830">
        <v>15</v>
      </c>
      <c r="K830">
        <v>14</v>
      </c>
      <c r="L830" t="s">
        <v>72</v>
      </c>
      <c r="M830" t="s">
        <v>73</v>
      </c>
      <c r="N830" t="s">
        <v>74</v>
      </c>
      <c r="O830">
        <v>10</v>
      </c>
      <c r="P830" t="s">
        <v>11</v>
      </c>
      <c r="Q830">
        <v>24.1</v>
      </c>
      <c r="R830" t="str">
        <f t="shared" si="25"/>
        <v>II</v>
      </c>
      <c r="S830">
        <f t="shared" si="27"/>
        <v>0.40827599999999997</v>
      </c>
    </row>
    <row r="831" spans="1:19">
      <c r="A831">
        <v>148</v>
      </c>
      <c r="B831" t="s">
        <v>76</v>
      </c>
      <c r="C831">
        <v>0.28000000000000003</v>
      </c>
      <c r="D831">
        <v>0.20499999999999999</v>
      </c>
      <c r="E831">
        <v>0.08</v>
      </c>
      <c r="F831">
        <v>0.127</v>
      </c>
      <c r="G831">
        <v>5.1999999999999998E-2</v>
      </c>
      <c r="H831">
        <v>3.9E-2</v>
      </c>
      <c r="I831">
        <v>4.2000000000000003E-2</v>
      </c>
      <c r="J831">
        <v>9</v>
      </c>
      <c r="K831">
        <v>7</v>
      </c>
      <c r="L831" t="s">
        <v>62</v>
      </c>
      <c r="M831" t="s">
        <v>63</v>
      </c>
      <c r="N831" t="s">
        <v>64</v>
      </c>
      <c r="O831">
        <v>5</v>
      </c>
      <c r="P831" t="s">
        <v>12</v>
      </c>
      <c r="Q831">
        <v>12.8</v>
      </c>
      <c r="R831" t="str">
        <f t="shared" si="25"/>
        <v>II</v>
      </c>
      <c r="S831">
        <f t="shared" si="27"/>
        <v>3.8353999999999999E-2</v>
      </c>
    </row>
    <row r="832" spans="1:19">
      <c r="A832">
        <v>3737</v>
      </c>
      <c r="B832" t="s">
        <v>76</v>
      </c>
      <c r="C832">
        <v>0.625</v>
      </c>
      <c r="D832">
        <v>0.48</v>
      </c>
      <c r="E832">
        <v>0.18</v>
      </c>
      <c r="F832">
        <v>1.2230000000000001</v>
      </c>
      <c r="G832">
        <v>0.56499999999999995</v>
      </c>
      <c r="H832">
        <v>0.29749999999999999</v>
      </c>
      <c r="I832">
        <v>0.33750000000000002</v>
      </c>
      <c r="J832">
        <v>10</v>
      </c>
      <c r="K832">
        <v>11</v>
      </c>
      <c r="L832" t="s">
        <v>65</v>
      </c>
      <c r="M832" t="s">
        <v>66</v>
      </c>
      <c r="N832" t="s">
        <v>45</v>
      </c>
      <c r="O832">
        <v>6</v>
      </c>
      <c r="P832" t="s">
        <v>7</v>
      </c>
      <c r="Q832">
        <v>14.1</v>
      </c>
      <c r="R832" t="str">
        <f t="shared" si="25"/>
        <v>I</v>
      </c>
      <c r="S832">
        <f t="shared" si="27"/>
        <v>0.91266375</v>
      </c>
    </row>
    <row r="833" spans="1:19">
      <c r="A833">
        <v>250</v>
      </c>
      <c r="B833" t="s">
        <v>76</v>
      </c>
      <c r="C833">
        <v>0.34499999999999997</v>
      </c>
      <c r="D833">
        <v>0.27</v>
      </c>
      <c r="E833">
        <v>0.11</v>
      </c>
      <c r="F833">
        <v>0.2135</v>
      </c>
      <c r="G833">
        <v>8.2000000000000003E-2</v>
      </c>
      <c r="H833">
        <v>5.45E-2</v>
      </c>
      <c r="I833">
        <v>7.0000000000000007E-2</v>
      </c>
      <c r="J833">
        <v>7</v>
      </c>
      <c r="K833">
        <v>14</v>
      </c>
      <c r="L833" t="s">
        <v>72</v>
      </c>
      <c r="M833" t="s">
        <v>73</v>
      </c>
      <c r="N833" t="s">
        <v>74</v>
      </c>
      <c r="O833">
        <v>7</v>
      </c>
      <c r="P833" t="s">
        <v>6</v>
      </c>
      <c r="Q833">
        <v>2.5</v>
      </c>
      <c r="R833" t="str">
        <f t="shared" si="25"/>
        <v>II</v>
      </c>
      <c r="S833">
        <f t="shared" si="27"/>
        <v>6.9031666666666672E-2</v>
      </c>
    </row>
    <row r="834" spans="1:19">
      <c r="A834">
        <v>4069</v>
      </c>
      <c r="B834" t="s">
        <v>76</v>
      </c>
      <c r="C834">
        <v>0.41</v>
      </c>
      <c r="D834">
        <v>0.30499999999999999</v>
      </c>
      <c r="E834">
        <v>0.1</v>
      </c>
      <c r="F834">
        <v>0.26450000000000001</v>
      </c>
      <c r="G834">
        <v>0.1</v>
      </c>
      <c r="H834">
        <v>6.5500000000000003E-2</v>
      </c>
      <c r="I834">
        <v>8.5000000000000006E-2</v>
      </c>
      <c r="J834">
        <v>7</v>
      </c>
      <c r="K834">
        <v>1</v>
      </c>
      <c r="L834" t="s">
        <v>70</v>
      </c>
      <c r="M834" t="s">
        <v>71</v>
      </c>
      <c r="N834" t="s">
        <v>45</v>
      </c>
      <c r="O834">
        <v>7</v>
      </c>
      <c r="P834" t="s">
        <v>6</v>
      </c>
      <c r="Q834">
        <v>2.5</v>
      </c>
      <c r="R834" t="str">
        <f t="shared" si="25"/>
        <v>II</v>
      </c>
      <c r="S834">
        <f t="shared" si="27"/>
        <v>8.8695666666666673E-2</v>
      </c>
    </row>
    <row r="835" spans="1:19">
      <c r="A835">
        <v>3061</v>
      </c>
      <c r="B835" t="s">
        <v>76</v>
      </c>
      <c r="C835">
        <v>0.63</v>
      </c>
      <c r="D835">
        <v>0.51500000000000001</v>
      </c>
      <c r="E835">
        <v>0.17499999999999999</v>
      </c>
      <c r="F835">
        <v>1.1955</v>
      </c>
      <c r="G835">
        <v>0.49199999999999999</v>
      </c>
      <c r="H835">
        <v>0.247</v>
      </c>
      <c r="I835">
        <v>0.37</v>
      </c>
      <c r="J835">
        <v>11</v>
      </c>
      <c r="K835">
        <v>12</v>
      </c>
      <c r="L835" t="s">
        <v>58</v>
      </c>
      <c r="M835" t="s">
        <v>59</v>
      </c>
      <c r="N835" t="s">
        <v>45</v>
      </c>
      <c r="O835">
        <v>9</v>
      </c>
      <c r="P835" t="s">
        <v>9</v>
      </c>
      <c r="Q835">
        <v>1.9</v>
      </c>
      <c r="R835" t="str">
        <f t="shared" ref="R835:R898" si="28">IF(OR(AND(J835 &gt; 15, B835 = "Infant"), AND(D835 = "Male", C835 &gt; 0.75),
    OR(I835 &gt; 0.8, G835 &gt; 0.5), G835 &gt; 1.2),
    "I",
    IF(OR(AND(I835 &lt; 0.4, G835 &lt; 0.4), AND(J835 &gt; 15, D835 = "Male"), AND(J835 &gt; 18, D835 = "Female"), C835 &lt; 0.36),
    "II",
    "III"))</f>
        <v>III</v>
      </c>
      <c r="S835">
        <f t="shared" ref="S835:S898" si="29">IF(OR(AND(J835 &gt; 15, B835 = "Infant"), AND(D835 = "Male", C835 &gt; 0.75), OR(I835 &gt; 0.8, G835 &gt; 0.5), G835 &gt; 1.2), (1 + (1/3)*(C835 - 0.5) + (1/3)*(D835 - 0.4) + (1/3)*(E835 - 0.4)) * F835 * 0.5 * 1.5, IF(OR(AND(I835 &lt; 0.4, G835 &lt; 0.4), AND(J835 &gt; 15, D835 = "Male"), AND(J835 &gt; 18, D835 = "Female"), C835 &lt; 0.36), (1 + (1/3)*(C835 - 0.5) + (1/3)*(D835 - 0.4) + (1/3)*(E835 - 0.4)) * F835 * 0.5 * 0.8, (1 + (1/3)*(C835 - 0.5) + (1/3)*(D835 - 0.4) + (1/3)*(E835 - 0.4)) * F835 * 0.5))</f>
        <v>0.60173500000000013</v>
      </c>
    </row>
    <row r="836" spans="1:19">
      <c r="A836">
        <v>3867</v>
      </c>
      <c r="B836" t="s">
        <v>76</v>
      </c>
      <c r="C836">
        <v>0.52500000000000002</v>
      </c>
      <c r="D836">
        <v>0.43</v>
      </c>
      <c r="E836">
        <v>0.16500000000000001</v>
      </c>
      <c r="F836">
        <v>0.71699999999999997</v>
      </c>
      <c r="G836">
        <v>0.28899999999999998</v>
      </c>
      <c r="H836">
        <v>0.17449999999999999</v>
      </c>
      <c r="I836">
        <v>0.19500000000000001</v>
      </c>
      <c r="J836">
        <v>10</v>
      </c>
      <c r="K836">
        <v>2</v>
      </c>
      <c r="L836" t="s">
        <v>49</v>
      </c>
      <c r="M836" t="s">
        <v>50</v>
      </c>
      <c r="N836" t="s">
        <v>51</v>
      </c>
      <c r="O836">
        <v>1</v>
      </c>
      <c r="P836" t="s">
        <v>4</v>
      </c>
      <c r="Q836">
        <v>22.1</v>
      </c>
      <c r="R836" t="str">
        <f t="shared" si="28"/>
        <v>II</v>
      </c>
      <c r="S836">
        <f t="shared" si="29"/>
        <v>0.269592</v>
      </c>
    </row>
    <row r="837" spans="1:19">
      <c r="A837">
        <v>1490</v>
      </c>
      <c r="B837" t="s">
        <v>76</v>
      </c>
      <c r="C837">
        <v>0.60499999999999998</v>
      </c>
      <c r="D837">
        <v>0.48499999999999999</v>
      </c>
      <c r="E837">
        <v>0.16500000000000001</v>
      </c>
      <c r="F837">
        <v>0.95150000000000001</v>
      </c>
      <c r="G837">
        <v>0.45350000000000001</v>
      </c>
      <c r="H837">
        <v>0.193</v>
      </c>
      <c r="I837">
        <v>0.27650000000000002</v>
      </c>
      <c r="J837">
        <v>11</v>
      </c>
      <c r="K837">
        <v>9</v>
      </c>
      <c r="L837" t="s">
        <v>34</v>
      </c>
      <c r="M837" t="s">
        <v>35</v>
      </c>
      <c r="N837" t="s">
        <v>36</v>
      </c>
      <c r="O837">
        <v>8</v>
      </c>
      <c r="P837" t="s">
        <v>13</v>
      </c>
      <c r="Q837">
        <v>12.3</v>
      </c>
      <c r="R837" t="str">
        <f t="shared" si="28"/>
        <v>III</v>
      </c>
      <c r="S837">
        <f t="shared" si="29"/>
        <v>0.46861374999999994</v>
      </c>
    </row>
    <row r="838" spans="1:19">
      <c r="A838">
        <v>1004</v>
      </c>
      <c r="B838" t="s">
        <v>76</v>
      </c>
      <c r="C838">
        <v>0.59499999999999997</v>
      </c>
      <c r="D838">
        <v>0.45500000000000002</v>
      </c>
      <c r="E838">
        <v>0.15</v>
      </c>
      <c r="F838">
        <v>1.044</v>
      </c>
      <c r="G838">
        <v>0.51800000000000002</v>
      </c>
      <c r="H838">
        <v>0.2205</v>
      </c>
      <c r="I838">
        <v>0.27</v>
      </c>
      <c r="J838">
        <v>9</v>
      </c>
      <c r="K838">
        <v>14</v>
      </c>
      <c r="L838" t="s">
        <v>72</v>
      </c>
      <c r="M838" t="s">
        <v>73</v>
      </c>
      <c r="N838" t="s">
        <v>74</v>
      </c>
      <c r="O838">
        <v>6</v>
      </c>
      <c r="P838" t="s">
        <v>7</v>
      </c>
      <c r="Q838">
        <v>14.1</v>
      </c>
      <c r="R838" t="str">
        <f t="shared" si="28"/>
        <v>I</v>
      </c>
      <c r="S838">
        <f t="shared" si="29"/>
        <v>0.75690000000000013</v>
      </c>
    </row>
    <row r="839" spans="1:19">
      <c r="A839">
        <v>2685</v>
      </c>
      <c r="B839" t="s">
        <v>76</v>
      </c>
      <c r="C839">
        <v>0.625</v>
      </c>
      <c r="D839">
        <v>0.49</v>
      </c>
      <c r="E839">
        <v>0.155</v>
      </c>
      <c r="F839">
        <v>1.115</v>
      </c>
      <c r="G839">
        <v>0.48399999999999999</v>
      </c>
      <c r="H839">
        <v>0.27700000000000002</v>
      </c>
      <c r="I839">
        <v>0.3095</v>
      </c>
      <c r="J839">
        <v>9</v>
      </c>
      <c r="K839">
        <v>8</v>
      </c>
      <c r="L839" t="s">
        <v>55</v>
      </c>
      <c r="M839" t="s">
        <v>56</v>
      </c>
      <c r="N839" t="s">
        <v>57</v>
      </c>
      <c r="O839">
        <v>9</v>
      </c>
      <c r="P839" t="s">
        <v>9</v>
      </c>
      <c r="Q839">
        <v>1.9</v>
      </c>
      <c r="R839" t="str">
        <f t="shared" si="28"/>
        <v>III</v>
      </c>
      <c r="S839">
        <f t="shared" si="29"/>
        <v>0.551925</v>
      </c>
    </row>
    <row r="840" spans="1:19">
      <c r="A840">
        <v>2079</v>
      </c>
      <c r="B840" t="s">
        <v>76</v>
      </c>
      <c r="C840">
        <v>0.61</v>
      </c>
      <c r="D840">
        <v>0.48</v>
      </c>
      <c r="E840">
        <v>0.16500000000000001</v>
      </c>
      <c r="F840">
        <v>1.2435</v>
      </c>
      <c r="G840">
        <v>0.5575</v>
      </c>
      <c r="H840">
        <v>0.26750000000000002</v>
      </c>
      <c r="I840">
        <v>0.372</v>
      </c>
      <c r="J840">
        <v>8</v>
      </c>
      <c r="K840">
        <v>7</v>
      </c>
      <c r="L840" t="s">
        <v>62</v>
      </c>
      <c r="M840" t="s">
        <v>63</v>
      </c>
      <c r="N840" t="s">
        <v>64</v>
      </c>
      <c r="O840">
        <v>4</v>
      </c>
      <c r="P840" t="s">
        <v>8</v>
      </c>
      <c r="Q840">
        <v>6.1</v>
      </c>
      <c r="R840" t="str">
        <f t="shared" si="28"/>
        <v>I</v>
      </c>
      <c r="S840">
        <f t="shared" si="29"/>
        <v>0.91863562499999984</v>
      </c>
    </row>
    <row r="841" spans="1:19">
      <c r="A841">
        <v>3729</v>
      </c>
      <c r="B841" t="s">
        <v>76</v>
      </c>
      <c r="C841">
        <v>0.51</v>
      </c>
      <c r="D841">
        <v>0.375</v>
      </c>
      <c r="E841">
        <v>0.15</v>
      </c>
      <c r="F841">
        <v>0.84150000000000003</v>
      </c>
      <c r="G841">
        <v>0.38450000000000001</v>
      </c>
      <c r="H841">
        <v>0.156</v>
      </c>
      <c r="I841">
        <v>0.255</v>
      </c>
      <c r="J841">
        <v>10</v>
      </c>
      <c r="K841">
        <v>4</v>
      </c>
      <c r="L841" t="s">
        <v>40</v>
      </c>
      <c r="M841" t="s">
        <v>41</v>
      </c>
      <c r="N841" t="s">
        <v>42</v>
      </c>
      <c r="O841">
        <v>10</v>
      </c>
      <c r="P841" t="s">
        <v>11</v>
      </c>
      <c r="Q841">
        <v>24.1</v>
      </c>
      <c r="R841" t="str">
        <f t="shared" si="28"/>
        <v>II</v>
      </c>
      <c r="S841">
        <f t="shared" si="29"/>
        <v>0.30686700000000006</v>
      </c>
    </row>
    <row r="842" spans="1:19">
      <c r="A842">
        <v>1649</v>
      </c>
      <c r="B842" t="s">
        <v>76</v>
      </c>
      <c r="C842">
        <v>0.59</v>
      </c>
      <c r="D842">
        <v>0.49</v>
      </c>
      <c r="E842">
        <v>0.16500000000000001</v>
      </c>
      <c r="F842">
        <v>1.2070000000000001</v>
      </c>
      <c r="G842">
        <v>0.55900000000000005</v>
      </c>
      <c r="H842">
        <v>0.23499999999999999</v>
      </c>
      <c r="I842">
        <v>0.309</v>
      </c>
      <c r="J842">
        <v>10</v>
      </c>
      <c r="K842">
        <v>13</v>
      </c>
      <c r="L842" t="s">
        <v>43</v>
      </c>
      <c r="M842" t="s">
        <v>44</v>
      </c>
      <c r="N842" t="s">
        <v>45</v>
      </c>
      <c r="O842">
        <v>6</v>
      </c>
      <c r="P842" t="s">
        <v>7</v>
      </c>
      <c r="Q842">
        <v>14.1</v>
      </c>
      <c r="R842" t="str">
        <f t="shared" si="28"/>
        <v>I</v>
      </c>
      <c r="S842">
        <f t="shared" si="29"/>
        <v>0.88865375000000002</v>
      </c>
    </row>
    <row r="843" spans="1:19">
      <c r="A843">
        <v>265</v>
      </c>
      <c r="B843" t="s">
        <v>76</v>
      </c>
      <c r="C843">
        <v>0.27</v>
      </c>
      <c r="D843">
        <v>0.2</v>
      </c>
      <c r="E843">
        <v>0.08</v>
      </c>
      <c r="F843">
        <v>0.1205</v>
      </c>
      <c r="G843">
        <v>4.65E-2</v>
      </c>
      <c r="H843">
        <v>2.8000000000000001E-2</v>
      </c>
      <c r="I843">
        <v>0.04</v>
      </c>
      <c r="J843">
        <v>6</v>
      </c>
      <c r="K843">
        <v>8</v>
      </c>
      <c r="L843" t="s">
        <v>55</v>
      </c>
      <c r="M843" t="s">
        <v>56</v>
      </c>
      <c r="N843" t="s">
        <v>57</v>
      </c>
      <c r="O843">
        <v>4</v>
      </c>
      <c r="P843" t="s">
        <v>8</v>
      </c>
      <c r="Q843">
        <v>6.1</v>
      </c>
      <c r="R843" t="str">
        <f t="shared" si="28"/>
        <v>II</v>
      </c>
      <c r="S843">
        <f t="shared" si="29"/>
        <v>3.6150000000000002E-2</v>
      </c>
    </row>
    <row r="844" spans="1:19">
      <c r="A844">
        <v>1840</v>
      </c>
      <c r="B844" t="s">
        <v>76</v>
      </c>
      <c r="C844">
        <v>0.42</v>
      </c>
      <c r="D844">
        <v>0.32500000000000001</v>
      </c>
      <c r="E844">
        <v>0.1</v>
      </c>
      <c r="F844">
        <v>0.36799999999999999</v>
      </c>
      <c r="G844">
        <v>0.16750000000000001</v>
      </c>
      <c r="H844">
        <v>6.25E-2</v>
      </c>
      <c r="I844">
        <v>0.1135</v>
      </c>
      <c r="J844">
        <v>11</v>
      </c>
      <c r="K844">
        <v>13</v>
      </c>
      <c r="L844" t="s">
        <v>43</v>
      </c>
      <c r="M844" t="s">
        <v>44</v>
      </c>
      <c r="N844" t="s">
        <v>45</v>
      </c>
      <c r="O844">
        <v>4</v>
      </c>
      <c r="P844" t="s">
        <v>8</v>
      </c>
      <c r="Q844">
        <v>6.1</v>
      </c>
      <c r="R844" t="str">
        <f t="shared" si="28"/>
        <v>II</v>
      </c>
      <c r="S844">
        <f t="shared" si="29"/>
        <v>0.12487466666666668</v>
      </c>
    </row>
    <row r="845" spans="1:19">
      <c r="A845">
        <v>3299</v>
      </c>
      <c r="B845" t="s">
        <v>76</v>
      </c>
      <c r="C845">
        <v>0.62</v>
      </c>
      <c r="D845">
        <v>0.5</v>
      </c>
      <c r="E845">
        <v>0.17499999999999999</v>
      </c>
      <c r="F845">
        <v>1.1459999999999999</v>
      </c>
      <c r="G845">
        <v>0.47699999999999998</v>
      </c>
      <c r="H845">
        <v>0.23</v>
      </c>
      <c r="I845">
        <v>0.39</v>
      </c>
      <c r="J845">
        <v>13</v>
      </c>
      <c r="K845">
        <v>1</v>
      </c>
      <c r="L845" t="s">
        <v>70</v>
      </c>
      <c r="M845" t="s">
        <v>71</v>
      </c>
      <c r="N845" t="s">
        <v>45</v>
      </c>
      <c r="O845">
        <v>5</v>
      </c>
      <c r="P845" t="s">
        <v>12</v>
      </c>
      <c r="Q845">
        <v>12.8</v>
      </c>
      <c r="R845" t="str">
        <f t="shared" si="28"/>
        <v>III</v>
      </c>
      <c r="S845">
        <f t="shared" si="29"/>
        <v>0.57204499999999991</v>
      </c>
    </row>
    <row r="846" spans="1:19">
      <c r="A846">
        <v>3898</v>
      </c>
      <c r="B846" t="s">
        <v>76</v>
      </c>
      <c r="C846">
        <v>0.61499999999999999</v>
      </c>
      <c r="D846">
        <v>0.5</v>
      </c>
      <c r="E846">
        <v>0.16500000000000001</v>
      </c>
      <c r="F846">
        <v>1.1765000000000001</v>
      </c>
      <c r="G846">
        <v>0.48799999999999999</v>
      </c>
      <c r="H846">
        <v>0.24399999999999999</v>
      </c>
      <c r="I846">
        <v>0.34499999999999997</v>
      </c>
      <c r="J846">
        <v>17</v>
      </c>
      <c r="K846">
        <v>1</v>
      </c>
      <c r="L846" t="s">
        <v>70</v>
      </c>
      <c r="M846" t="s">
        <v>71</v>
      </c>
      <c r="N846" t="s">
        <v>45</v>
      </c>
      <c r="O846">
        <v>1</v>
      </c>
      <c r="P846" t="s">
        <v>4</v>
      </c>
      <c r="Q846">
        <v>22.1</v>
      </c>
      <c r="R846" t="str">
        <f t="shared" si="28"/>
        <v>III</v>
      </c>
      <c r="S846">
        <f t="shared" si="29"/>
        <v>0.58432833333333345</v>
      </c>
    </row>
    <row r="847" spans="1:19">
      <c r="A847">
        <v>3164</v>
      </c>
      <c r="B847" t="s">
        <v>76</v>
      </c>
      <c r="C847">
        <v>0.55000000000000004</v>
      </c>
      <c r="D847">
        <v>0.44</v>
      </c>
      <c r="E847">
        <v>0.125</v>
      </c>
      <c r="F847">
        <v>0.76500000000000001</v>
      </c>
      <c r="G847">
        <v>0.33</v>
      </c>
      <c r="H847">
        <v>0.21249999999999999</v>
      </c>
      <c r="I847">
        <v>0.245</v>
      </c>
      <c r="J847">
        <v>9</v>
      </c>
      <c r="K847">
        <v>1</v>
      </c>
      <c r="L847" t="s">
        <v>70</v>
      </c>
      <c r="M847" t="s">
        <v>71</v>
      </c>
      <c r="N847" t="s">
        <v>45</v>
      </c>
      <c r="O847">
        <v>1</v>
      </c>
      <c r="P847" t="s">
        <v>4</v>
      </c>
      <c r="Q847">
        <v>22.1</v>
      </c>
      <c r="R847" t="str">
        <f t="shared" si="28"/>
        <v>II</v>
      </c>
      <c r="S847">
        <f t="shared" si="29"/>
        <v>0.28713000000000005</v>
      </c>
    </row>
    <row r="848" spans="1:19">
      <c r="A848">
        <v>2294</v>
      </c>
      <c r="B848" t="s">
        <v>76</v>
      </c>
      <c r="C848">
        <v>0.34</v>
      </c>
      <c r="D848">
        <v>0.26</v>
      </c>
      <c r="E848">
        <v>0.09</v>
      </c>
      <c r="F848">
        <v>0.17899999999999999</v>
      </c>
      <c r="G848">
        <v>7.5999999999999998E-2</v>
      </c>
      <c r="H848">
        <v>5.2499999999999998E-2</v>
      </c>
      <c r="I848">
        <v>5.5E-2</v>
      </c>
      <c r="J848">
        <v>6</v>
      </c>
      <c r="K848">
        <v>11</v>
      </c>
      <c r="L848" t="s">
        <v>65</v>
      </c>
      <c r="M848" t="s">
        <v>66</v>
      </c>
      <c r="N848" t="s">
        <v>45</v>
      </c>
      <c r="O848">
        <v>9</v>
      </c>
      <c r="P848" t="s">
        <v>9</v>
      </c>
      <c r="Q848">
        <v>1.9</v>
      </c>
      <c r="R848" t="str">
        <f t="shared" si="28"/>
        <v>II</v>
      </c>
      <c r="S848">
        <f t="shared" si="29"/>
        <v>5.7041333333333333E-2</v>
      </c>
    </row>
    <row r="849" spans="1:19">
      <c r="A849">
        <v>3322</v>
      </c>
      <c r="B849" t="s">
        <v>76</v>
      </c>
      <c r="C849">
        <v>0.49</v>
      </c>
      <c r="D849">
        <v>0.38500000000000001</v>
      </c>
      <c r="E849">
        <v>0.14000000000000001</v>
      </c>
      <c r="F849">
        <v>0.54249999999999998</v>
      </c>
      <c r="G849">
        <v>0.19800000000000001</v>
      </c>
      <c r="H849">
        <v>0.127</v>
      </c>
      <c r="I849">
        <v>0.17499999999999999</v>
      </c>
      <c r="J849">
        <v>11</v>
      </c>
      <c r="K849">
        <v>2</v>
      </c>
      <c r="L849" t="s">
        <v>49</v>
      </c>
      <c r="M849" t="s">
        <v>50</v>
      </c>
      <c r="N849" t="s">
        <v>51</v>
      </c>
      <c r="O849">
        <v>1</v>
      </c>
      <c r="P849" t="s">
        <v>4</v>
      </c>
      <c r="Q849">
        <v>22.1</v>
      </c>
      <c r="R849" t="str">
        <f t="shared" si="28"/>
        <v>II</v>
      </c>
      <c r="S849">
        <f t="shared" si="29"/>
        <v>0.19638500000000003</v>
      </c>
    </row>
    <row r="850" spans="1:19">
      <c r="A850">
        <v>3330</v>
      </c>
      <c r="B850" t="s">
        <v>76</v>
      </c>
      <c r="C850">
        <v>0.54500000000000004</v>
      </c>
      <c r="D850">
        <v>0.435</v>
      </c>
      <c r="E850">
        <v>0.15</v>
      </c>
      <c r="F850">
        <v>0.6855</v>
      </c>
      <c r="G850">
        <v>0.29049999999999998</v>
      </c>
      <c r="H850">
        <v>0.14499999999999999</v>
      </c>
      <c r="I850">
        <v>0.22500000000000001</v>
      </c>
      <c r="J850">
        <v>10</v>
      </c>
      <c r="K850">
        <v>12</v>
      </c>
      <c r="L850" t="s">
        <v>58</v>
      </c>
      <c r="M850" t="s">
        <v>59</v>
      </c>
      <c r="N850" t="s">
        <v>45</v>
      </c>
      <c r="O850">
        <v>4</v>
      </c>
      <c r="P850" t="s">
        <v>8</v>
      </c>
      <c r="Q850">
        <v>6.1</v>
      </c>
      <c r="R850" t="str">
        <f t="shared" si="28"/>
        <v>II</v>
      </c>
      <c r="S850">
        <f t="shared" si="29"/>
        <v>0.25866200000000006</v>
      </c>
    </row>
    <row r="851" spans="1:19">
      <c r="A851">
        <v>177</v>
      </c>
      <c r="B851" t="s">
        <v>76</v>
      </c>
      <c r="C851">
        <v>0.315</v>
      </c>
      <c r="D851">
        <v>0.21</v>
      </c>
      <c r="E851">
        <v>0.06</v>
      </c>
      <c r="F851">
        <v>0.125</v>
      </c>
      <c r="G851">
        <v>0.06</v>
      </c>
      <c r="H851">
        <v>3.7499999999999999E-2</v>
      </c>
      <c r="I851">
        <v>3.5000000000000003E-2</v>
      </c>
      <c r="J851">
        <v>5</v>
      </c>
      <c r="K851">
        <v>8</v>
      </c>
      <c r="L851" t="s">
        <v>55</v>
      </c>
      <c r="M851" t="s">
        <v>56</v>
      </c>
      <c r="N851" t="s">
        <v>57</v>
      </c>
      <c r="O851">
        <v>8</v>
      </c>
      <c r="P851" t="s">
        <v>13</v>
      </c>
      <c r="Q851">
        <v>12.3</v>
      </c>
      <c r="R851" t="str">
        <f t="shared" si="28"/>
        <v>II</v>
      </c>
      <c r="S851">
        <f t="shared" si="29"/>
        <v>3.8083333333333337E-2</v>
      </c>
    </row>
    <row r="852" spans="1:19">
      <c r="A852">
        <v>1770</v>
      </c>
      <c r="B852" t="s">
        <v>76</v>
      </c>
      <c r="C852">
        <v>0.44500000000000001</v>
      </c>
      <c r="D852">
        <v>0.32</v>
      </c>
      <c r="E852">
        <v>0.12</v>
      </c>
      <c r="F852">
        <v>0.41399999999999998</v>
      </c>
      <c r="G852">
        <v>0.19900000000000001</v>
      </c>
      <c r="H852">
        <v>0.09</v>
      </c>
      <c r="I852">
        <v>0.11700000000000001</v>
      </c>
      <c r="J852">
        <v>7</v>
      </c>
      <c r="K852">
        <v>10</v>
      </c>
      <c r="L852" t="s">
        <v>37</v>
      </c>
      <c r="M852" t="s">
        <v>38</v>
      </c>
      <c r="N852" t="s">
        <v>39</v>
      </c>
      <c r="O852">
        <v>6</v>
      </c>
      <c r="P852" t="s">
        <v>7</v>
      </c>
      <c r="Q852">
        <v>14.1</v>
      </c>
      <c r="R852" t="str">
        <f t="shared" si="28"/>
        <v>II</v>
      </c>
      <c r="S852">
        <f t="shared" si="29"/>
        <v>0.14269200000000001</v>
      </c>
    </row>
    <row r="853" spans="1:19">
      <c r="A853">
        <v>982</v>
      </c>
      <c r="B853" t="s">
        <v>76</v>
      </c>
      <c r="C853">
        <v>0.55000000000000004</v>
      </c>
      <c r="D853">
        <v>0.43</v>
      </c>
      <c r="E853">
        <v>0.14000000000000001</v>
      </c>
      <c r="F853">
        <v>0.8105</v>
      </c>
      <c r="G853">
        <v>0.36799999999999999</v>
      </c>
      <c r="H853">
        <v>0.161</v>
      </c>
      <c r="I853">
        <v>0.27500000000000002</v>
      </c>
      <c r="J853">
        <v>9</v>
      </c>
      <c r="K853">
        <v>13</v>
      </c>
      <c r="L853" t="s">
        <v>43</v>
      </c>
      <c r="M853" t="s">
        <v>44</v>
      </c>
      <c r="N853" t="s">
        <v>45</v>
      </c>
      <c r="O853">
        <v>2</v>
      </c>
      <c r="P853" t="s">
        <v>5</v>
      </c>
      <c r="Q853">
        <v>18</v>
      </c>
      <c r="R853" t="str">
        <f t="shared" si="28"/>
        <v>II</v>
      </c>
      <c r="S853">
        <f t="shared" si="29"/>
        <v>0.30474800000000002</v>
      </c>
    </row>
    <row r="854" spans="1:19">
      <c r="A854">
        <v>4062</v>
      </c>
      <c r="B854" t="s">
        <v>76</v>
      </c>
      <c r="C854">
        <v>0.62</v>
      </c>
      <c r="D854">
        <v>0.46500000000000002</v>
      </c>
      <c r="E854">
        <v>0.14499999999999999</v>
      </c>
      <c r="F854">
        <v>0.91100000000000003</v>
      </c>
      <c r="G854">
        <v>0.375</v>
      </c>
      <c r="H854">
        <v>0.2145</v>
      </c>
      <c r="I854">
        <v>0.27800000000000002</v>
      </c>
      <c r="J854">
        <v>10</v>
      </c>
      <c r="K854">
        <v>9</v>
      </c>
      <c r="L854" t="s">
        <v>34</v>
      </c>
      <c r="M854" t="s">
        <v>35</v>
      </c>
      <c r="N854" t="s">
        <v>36</v>
      </c>
      <c r="O854">
        <v>7</v>
      </c>
      <c r="P854" t="s">
        <v>6</v>
      </c>
      <c r="Q854">
        <v>2.5</v>
      </c>
      <c r="R854" t="str">
        <f t="shared" si="28"/>
        <v>II</v>
      </c>
      <c r="S854">
        <f t="shared" si="29"/>
        <v>0.3558973333333334</v>
      </c>
    </row>
    <row r="855" spans="1:19">
      <c r="A855">
        <v>3907</v>
      </c>
      <c r="B855" t="s">
        <v>76</v>
      </c>
      <c r="C855">
        <v>0.245</v>
      </c>
      <c r="D855">
        <v>0.18</v>
      </c>
      <c r="E855">
        <v>6.5000000000000002E-2</v>
      </c>
      <c r="F855">
        <v>6.3500000000000001E-2</v>
      </c>
      <c r="G855">
        <v>2.4500000000000001E-2</v>
      </c>
      <c r="H855">
        <v>1.35E-2</v>
      </c>
      <c r="I855">
        <v>0.02</v>
      </c>
      <c r="J855">
        <v>4</v>
      </c>
      <c r="K855">
        <v>12</v>
      </c>
      <c r="L855" t="s">
        <v>58</v>
      </c>
      <c r="M855" t="s">
        <v>59</v>
      </c>
      <c r="N855" t="s">
        <v>45</v>
      </c>
      <c r="O855">
        <v>3</v>
      </c>
      <c r="P855" t="s">
        <v>10</v>
      </c>
      <c r="Q855">
        <v>3.6</v>
      </c>
      <c r="R855" t="str">
        <f t="shared" si="28"/>
        <v>II</v>
      </c>
      <c r="S855">
        <f t="shared" si="29"/>
        <v>1.8541999999999999E-2</v>
      </c>
    </row>
    <row r="856" spans="1:19">
      <c r="A856">
        <v>2331</v>
      </c>
      <c r="B856" t="s">
        <v>76</v>
      </c>
      <c r="C856">
        <v>0.42</v>
      </c>
      <c r="D856">
        <v>0.34499999999999997</v>
      </c>
      <c r="E856">
        <v>0.115</v>
      </c>
      <c r="F856">
        <v>0.34350000000000003</v>
      </c>
      <c r="G856">
        <v>0.1515</v>
      </c>
      <c r="H856">
        <v>7.9500000000000001E-2</v>
      </c>
      <c r="I856">
        <v>0.115</v>
      </c>
      <c r="J856">
        <v>9</v>
      </c>
      <c r="K856">
        <v>3</v>
      </c>
      <c r="L856" t="s">
        <v>52</v>
      </c>
      <c r="M856" t="s">
        <v>53</v>
      </c>
      <c r="N856" t="s">
        <v>54</v>
      </c>
      <c r="O856">
        <v>2</v>
      </c>
      <c r="P856" t="s">
        <v>5</v>
      </c>
      <c r="Q856">
        <v>18</v>
      </c>
      <c r="R856" t="str">
        <f t="shared" si="28"/>
        <v>II</v>
      </c>
      <c r="S856">
        <f t="shared" si="29"/>
        <v>0.11816400000000003</v>
      </c>
    </row>
    <row r="857" spans="1:19">
      <c r="A857">
        <v>1562</v>
      </c>
      <c r="B857" t="s">
        <v>76</v>
      </c>
      <c r="C857">
        <v>0.45</v>
      </c>
      <c r="D857">
        <v>0.34</v>
      </c>
      <c r="E857">
        <v>9.5000000000000001E-2</v>
      </c>
      <c r="F857">
        <v>0.32450000000000001</v>
      </c>
      <c r="G857">
        <v>0.13850000000000001</v>
      </c>
      <c r="H857">
        <v>6.4000000000000001E-2</v>
      </c>
      <c r="I857">
        <v>0.105</v>
      </c>
      <c r="J857">
        <v>8</v>
      </c>
      <c r="K857">
        <v>7</v>
      </c>
      <c r="L857" t="s">
        <v>62</v>
      </c>
      <c r="M857" t="s">
        <v>63</v>
      </c>
      <c r="N857" t="s">
        <v>64</v>
      </c>
      <c r="O857">
        <v>7</v>
      </c>
      <c r="P857" t="s">
        <v>6</v>
      </c>
      <c r="Q857">
        <v>2.5</v>
      </c>
      <c r="R857" t="str">
        <f t="shared" si="28"/>
        <v>II</v>
      </c>
      <c r="S857">
        <f t="shared" si="29"/>
        <v>0.11184433333333335</v>
      </c>
    </row>
    <row r="858" spans="1:19">
      <c r="A858">
        <v>65</v>
      </c>
      <c r="B858" t="s">
        <v>76</v>
      </c>
      <c r="C858">
        <v>0.52</v>
      </c>
      <c r="D858">
        <v>0.4</v>
      </c>
      <c r="E858">
        <v>0.12</v>
      </c>
      <c r="F858">
        <v>0.57999999999999996</v>
      </c>
      <c r="G858">
        <v>0.23400000000000001</v>
      </c>
      <c r="H858">
        <v>0.13150000000000001</v>
      </c>
      <c r="I858">
        <v>0.185</v>
      </c>
      <c r="J858">
        <v>8</v>
      </c>
      <c r="K858">
        <v>4</v>
      </c>
      <c r="L858" t="s">
        <v>40</v>
      </c>
      <c r="M858" t="s">
        <v>41</v>
      </c>
      <c r="N858" t="s">
        <v>42</v>
      </c>
      <c r="O858">
        <v>7</v>
      </c>
      <c r="P858" t="s">
        <v>6</v>
      </c>
      <c r="Q858">
        <v>2.5</v>
      </c>
      <c r="R858" t="str">
        <f t="shared" si="28"/>
        <v>II</v>
      </c>
      <c r="S858">
        <f t="shared" si="29"/>
        <v>0.21189333333333332</v>
      </c>
    </row>
    <row r="859" spans="1:19">
      <c r="A859">
        <v>942</v>
      </c>
      <c r="B859" t="s">
        <v>76</v>
      </c>
      <c r="C859">
        <v>0.46500000000000002</v>
      </c>
      <c r="D859">
        <v>0.36499999999999999</v>
      </c>
      <c r="E859">
        <v>0.115</v>
      </c>
      <c r="F859">
        <v>0.46700000000000003</v>
      </c>
      <c r="G859">
        <v>0.23150000000000001</v>
      </c>
      <c r="H859">
        <v>9.2499999999999999E-2</v>
      </c>
      <c r="I859">
        <v>0.113</v>
      </c>
      <c r="J859">
        <v>7</v>
      </c>
      <c r="K859">
        <v>8</v>
      </c>
      <c r="L859" t="s">
        <v>55</v>
      </c>
      <c r="M859" t="s">
        <v>56</v>
      </c>
      <c r="N859" t="s">
        <v>57</v>
      </c>
      <c r="O859">
        <v>5</v>
      </c>
      <c r="P859" t="s">
        <v>12</v>
      </c>
      <c r="Q859">
        <v>12.8</v>
      </c>
      <c r="R859" t="str">
        <f t="shared" si="28"/>
        <v>II</v>
      </c>
      <c r="S859">
        <f t="shared" si="29"/>
        <v>0.16469533333333333</v>
      </c>
    </row>
    <row r="860" spans="1:19">
      <c r="A860">
        <v>3524</v>
      </c>
      <c r="B860" t="s">
        <v>76</v>
      </c>
      <c r="C860">
        <v>0.26</v>
      </c>
      <c r="D860">
        <v>0.20499999999999999</v>
      </c>
      <c r="E860">
        <v>7.0000000000000007E-2</v>
      </c>
      <c r="F860">
        <v>9.7000000000000003E-2</v>
      </c>
      <c r="G860">
        <v>4.1500000000000002E-2</v>
      </c>
      <c r="H860">
        <v>1.9E-2</v>
      </c>
      <c r="I860">
        <v>3.0499999999999999E-2</v>
      </c>
      <c r="J860">
        <v>4</v>
      </c>
      <c r="K860">
        <v>6</v>
      </c>
      <c r="L860" t="s">
        <v>46</v>
      </c>
      <c r="M860" t="s">
        <v>47</v>
      </c>
      <c r="N860" t="s">
        <v>48</v>
      </c>
      <c r="O860">
        <v>10</v>
      </c>
      <c r="P860" t="s">
        <v>11</v>
      </c>
      <c r="Q860">
        <v>24.1</v>
      </c>
      <c r="R860" t="str">
        <f t="shared" si="28"/>
        <v>II</v>
      </c>
      <c r="S860">
        <f t="shared" si="29"/>
        <v>2.8906000000000001E-2</v>
      </c>
    </row>
    <row r="861" spans="1:19">
      <c r="A861">
        <v>3265</v>
      </c>
      <c r="B861" t="s">
        <v>76</v>
      </c>
      <c r="C861">
        <v>0.65500000000000003</v>
      </c>
      <c r="D861">
        <v>0.5</v>
      </c>
      <c r="E861">
        <v>0.14000000000000001</v>
      </c>
      <c r="F861">
        <v>1.1705000000000001</v>
      </c>
      <c r="G861">
        <v>0.54049999999999998</v>
      </c>
      <c r="H861">
        <v>0.3175</v>
      </c>
      <c r="I861">
        <v>0.28499999999999998</v>
      </c>
      <c r="J861">
        <v>12</v>
      </c>
      <c r="K861">
        <v>7</v>
      </c>
      <c r="L861" t="s">
        <v>62</v>
      </c>
      <c r="M861" t="s">
        <v>63</v>
      </c>
      <c r="N861" t="s">
        <v>64</v>
      </c>
      <c r="O861">
        <v>7</v>
      </c>
      <c r="P861" t="s">
        <v>6</v>
      </c>
      <c r="Q861">
        <v>2.5</v>
      </c>
      <c r="R861" t="str">
        <f t="shared" si="28"/>
        <v>I</v>
      </c>
      <c r="S861">
        <f t="shared" si="29"/>
        <v>0.87641187500000006</v>
      </c>
    </row>
    <row r="862" spans="1:19">
      <c r="A862">
        <v>3332</v>
      </c>
      <c r="B862" t="s">
        <v>76</v>
      </c>
      <c r="C862">
        <v>0.51</v>
      </c>
      <c r="D862">
        <v>0.34</v>
      </c>
      <c r="E862">
        <v>0.18</v>
      </c>
      <c r="F862">
        <v>0.70050000000000001</v>
      </c>
      <c r="G862">
        <v>0.312</v>
      </c>
      <c r="H862">
        <v>0.16500000000000001</v>
      </c>
      <c r="I862">
        <v>0.2</v>
      </c>
      <c r="J862">
        <v>11</v>
      </c>
      <c r="K862">
        <v>5</v>
      </c>
      <c r="L862" t="s">
        <v>67</v>
      </c>
      <c r="M862" t="s">
        <v>68</v>
      </c>
      <c r="N862" t="s">
        <v>69</v>
      </c>
      <c r="O862">
        <v>1</v>
      </c>
      <c r="P862" t="s">
        <v>4</v>
      </c>
      <c r="Q862">
        <v>22.1</v>
      </c>
      <c r="R862" t="str">
        <f t="shared" si="28"/>
        <v>II</v>
      </c>
      <c r="S862">
        <f t="shared" si="29"/>
        <v>0.25498199999999999</v>
      </c>
    </row>
    <row r="863" spans="1:19">
      <c r="A863">
        <v>27</v>
      </c>
      <c r="B863" t="s">
        <v>76</v>
      </c>
      <c r="C863">
        <v>0.57999999999999996</v>
      </c>
      <c r="D863">
        <v>0.45</v>
      </c>
      <c r="E863">
        <v>0.185</v>
      </c>
      <c r="F863">
        <v>0.99550000000000005</v>
      </c>
      <c r="G863">
        <v>0.39450000000000002</v>
      </c>
      <c r="H863">
        <v>0.27200000000000002</v>
      </c>
      <c r="I863">
        <v>0.28499999999999998</v>
      </c>
      <c r="J863">
        <v>11</v>
      </c>
      <c r="K863">
        <v>14</v>
      </c>
      <c r="L863" t="s">
        <v>72</v>
      </c>
      <c r="M863" t="s">
        <v>73</v>
      </c>
      <c r="N863" t="s">
        <v>74</v>
      </c>
      <c r="O863">
        <v>8</v>
      </c>
      <c r="P863" t="s">
        <v>13</v>
      </c>
      <c r="Q863">
        <v>12.3</v>
      </c>
      <c r="R863" t="str">
        <f t="shared" si="28"/>
        <v>II</v>
      </c>
      <c r="S863">
        <f t="shared" si="29"/>
        <v>0.38691766666666666</v>
      </c>
    </row>
    <row r="864" spans="1:19">
      <c r="A864">
        <v>1660</v>
      </c>
      <c r="B864" t="s">
        <v>76</v>
      </c>
      <c r="C864">
        <v>0.6</v>
      </c>
      <c r="D864">
        <v>0.48</v>
      </c>
      <c r="E864">
        <v>0.18</v>
      </c>
      <c r="F864">
        <v>1.0645</v>
      </c>
      <c r="G864">
        <v>0.44950000000000001</v>
      </c>
      <c r="H864">
        <v>0.2455</v>
      </c>
      <c r="I864">
        <v>0.32500000000000001</v>
      </c>
      <c r="J864">
        <v>10</v>
      </c>
      <c r="K864">
        <v>6</v>
      </c>
      <c r="L864" t="s">
        <v>46</v>
      </c>
      <c r="M864" t="s">
        <v>47</v>
      </c>
      <c r="N864" t="s">
        <v>48</v>
      </c>
      <c r="O864">
        <v>4</v>
      </c>
      <c r="P864" t="s">
        <v>8</v>
      </c>
      <c r="Q864">
        <v>6.1</v>
      </c>
      <c r="R864" t="str">
        <f t="shared" si="28"/>
        <v>III</v>
      </c>
      <c r="S864">
        <f t="shared" si="29"/>
        <v>0.52515333333333325</v>
      </c>
    </row>
    <row r="865" spans="1:19">
      <c r="A865">
        <v>3506</v>
      </c>
      <c r="B865" t="s">
        <v>76</v>
      </c>
      <c r="C865">
        <v>0.625</v>
      </c>
      <c r="D865">
        <v>0.495</v>
      </c>
      <c r="E865">
        <v>0.18</v>
      </c>
      <c r="F865">
        <v>1.0814999999999999</v>
      </c>
      <c r="G865">
        <v>0.47149999999999997</v>
      </c>
      <c r="H865">
        <v>0.254</v>
      </c>
      <c r="I865">
        <v>0.3135</v>
      </c>
      <c r="J865">
        <v>10</v>
      </c>
      <c r="K865">
        <v>1</v>
      </c>
      <c r="L865" t="s">
        <v>70</v>
      </c>
      <c r="M865" t="s">
        <v>71</v>
      </c>
      <c r="N865" t="s">
        <v>45</v>
      </c>
      <c r="O865">
        <v>4</v>
      </c>
      <c r="P865" t="s">
        <v>8</v>
      </c>
      <c r="Q865">
        <v>6.1</v>
      </c>
      <c r="R865" t="str">
        <f t="shared" si="28"/>
        <v>III</v>
      </c>
      <c r="S865">
        <f t="shared" si="29"/>
        <v>0.54075000000000006</v>
      </c>
    </row>
    <row r="866" spans="1:19">
      <c r="A866">
        <v>2402</v>
      </c>
      <c r="B866" t="s">
        <v>76</v>
      </c>
      <c r="C866">
        <v>0.58499999999999996</v>
      </c>
      <c r="D866">
        <v>0.41499999999999998</v>
      </c>
      <c r="E866">
        <v>0.155</v>
      </c>
      <c r="F866">
        <v>0.69850000000000001</v>
      </c>
      <c r="G866">
        <v>0.3</v>
      </c>
      <c r="H866">
        <v>0.14599999999999999</v>
      </c>
      <c r="I866">
        <v>0.19500000000000001</v>
      </c>
      <c r="J866">
        <v>12</v>
      </c>
      <c r="K866">
        <v>4</v>
      </c>
      <c r="L866" t="s">
        <v>40</v>
      </c>
      <c r="M866" t="s">
        <v>41</v>
      </c>
      <c r="N866" t="s">
        <v>42</v>
      </c>
      <c r="O866">
        <v>4</v>
      </c>
      <c r="P866" t="s">
        <v>8</v>
      </c>
      <c r="Q866">
        <v>6.1</v>
      </c>
      <c r="R866" t="str">
        <f t="shared" si="28"/>
        <v>II</v>
      </c>
      <c r="S866">
        <f t="shared" si="29"/>
        <v>0.26589566666666664</v>
      </c>
    </row>
    <row r="867" spans="1:19">
      <c r="A867">
        <v>24</v>
      </c>
      <c r="B867" t="s">
        <v>76</v>
      </c>
      <c r="C867">
        <v>0.55000000000000004</v>
      </c>
      <c r="D867">
        <v>0.41499999999999998</v>
      </c>
      <c r="E867">
        <v>0.13500000000000001</v>
      </c>
      <c r="F867">
        <v>0.76349999999999996</v>
      </c>
      <c r="G867">
        <v>0.318</v>
      </c>
      <c r="H867">
        <v>0.21</v>
      </c>
      <c r="I867">
        <v>0.2</v>
      </c>
      <c r="J867">
        <v>9</v>
      </c>
      <c r="K867">
        <v>7</v>
      </c>
      <c r="L867" t="s">
        <v>62</v>
      </c>
      <c r="M867" t="s">
        <v>63</v>
      </c>
      <c r="N867" t="s">
        <v>64</v>
      </c>
      <c r="O867">
        <v>8</v>
      </c>
      <c r="P867" t="s">
        <v>13</v>
      </c>
      <c r="Q867">
        <v>12.3</v>
      </c>
      <c r="R867" t="str">
        <f t="shared" si="28"/>
        <v>II</v>
      </c>
      <c r="S867">
        <f t="shared" si="29"/>
        <v>0.2850399999999999</v>
      </c>
    </row>
    <row r="868" spans="1:19">
      <c r="A868">
        <v>2118</v>
      </c>
      <c r="B868" t="s">
        <v>76</v>
      </c>
      <c r="C868">
        <v>0.375</v>
      </c>
      <c r="D868">
        <v>0.28999999999999998</v>
      </c>
      <c r="E868">
        <v>0.08</v>
      </c>
      <c r="F868">
        <v>0.28199999999999997</v>
      </c>
      <c r="G868">
        <v>0.14050000000000001</v>
      </c>
      <c r="H868">
        <v>7.2499999999999995E-2</v>
      </c>
      <c r="I868">
        <v>0.08</v>
      </c>
      <c r="J868">
        <v>7</v>
      </c>
      <c r="K868">
        <v>10</v>
      </c>
      <c r="L868" t="s">
        <v>37</v>
      </c>
      <c r="M868" t="s">
        <v>38</v>
      </c>
      <c r="N868" t="s">
        <v>39</v>
      </c>
      <c r="O868">
        <v>4</v>
      </c>
      <c r="P868" t="s">
        <v>8</v>
      </c>
      <c r="Q868">
        <v>6.1</v>
      </c>
      <c r="R868" t="str">
        <f t="shared" si="28"/>
        <v>II</v>
      </c>
      <c r="S868">
        <f t="shared" si="29"/>
        <v>9.1931999999999986E-2</v>
      </c>
    </row>
    <row r="869" spans="1:19">
      <c r="A869">
        <v>3681</v>
      </c>
      <c r="B869" t="s">
        <v>76</v>
      </c>
      <c r="C869">
        <v>0.61</v>
      </c>
      <c r="D869">
        <v>0.495</v>
      </c>
      <c r="E869">
        <v>0.16500000000000001</v>
      </c>
      <c r="F869">
        <v>1.0834999999999999</v>
      </c>
      <c r="G869">
        <v>0.45250000000000001</v>
      </c>
      <c r="H869">
        <v>0.27300000000000002</v>
      </c>
      <c r="I869">
        <v>0.317</v>
      </c>
      <c r="J869">
        <v>9</v>
      </c>
      <c r="K869">
        <v>9</v>
      </c>
      <c r="L869" t="s">
        <v>34</v>
      </c>
      <c r="M869" t="s">
        <v>35</v>
      </c>
      <c r="N869" t="s">
        <v>36</v>
      </c>
      <c r="O869">
        <v>3</v>
      </c>
      <c r="P869" t="s">
        <v>10</v>
      </c>
      <c r="Q869">
        <v>3.6</v>
      </c>
      <c r="R869" t="str">
        <f t="shared" si="28"/>
        <v>III</v>
      </c>
      <c r="S869">
        <f t="shared" si="29"/>
        <v>0.53633249999999999</v>
      </c>
    </row>
    <row r="870" spans="1:19">
      <c r="A870">
        <v>737</v>
      </c>
      <c r="B870" t="s">
        <v>76</v>
      </c>
      <c r="C870">
        <v>0.52</v>
      </c>
      <c r="D870">
        <v>0.38500000000000001</v>
      </c>
      <c r="E870">
        <v>0.115</v>
      </c>
      <c r="F870">
        <v>0.66900000000000004</v>
      </c>
      <c r="G870">
        <v>0.23849999999999999</v>
      </c>
      <c r="H870">
        <v>0.17199999999999999</v>
      </c>
      <c r="I870">
        <v>0.20499999999999999</v>
      </c>
      <c r="J870">
        <v>12</v>
      </c>
      <c r="K870">
        <v>7</v>
      </c>
      <c r="L870" t="s">
        <v>62</v>
      </c>
      <c r="M870" t="s">
        <v>63</v>
      </c>
      <c r="N870" t="s">
        <v>64</v>
      </c>
      <c r="O870">
        <v>2</v>
      </c>
      <c r="P870" t="s">
        <v>5</v>
      </c>
      <c r="Q870">
        <v>18</v>
      </c>
      <c r="R870" t="str">
        <f t="shared" si="28"/>
        <v>II</v>
      </c>
      <c r="S870">
        <f t="shared" si="29"/>
        <v>0.24262399999999995</v>
      </c>
    </row>
    <row r="871" spans="1:19">
      <c r="A871">
        <v>2078</v>
      </c>
      <c r="B871" t="s">
        <v>76</v>
      </c>
      <c r="C871">
        <v>0.61</v>
      </c>
      <c r="D871">
        <v>0.43</v>
      </c>
      <c r="E871">
        <v>0.14000000000000001</v>
      </c>
      <c r="F871">
        <v>0.90900000000000003</v>
      </c>
      <c r="G871">
        <v>0.438</v>
      </c>
      <c r="H871">
        <v>0.2</v>
      </c>
      <c r="I871">
        <v>0.22</v>
      </c>
      <c r="J871">
        <v>8</v>
      </c>
      <c r="K871">
        <v>15</v>
      </c>
      <c r="L871" t="s">
        <v>60</v>
      </c>
      <c r="M871" t="s">
        <v>61</v>
      </c>
      <c r="N871" t="s">
        <v>45</v>
      </c>
      <c r="O871">
        <v>3</v>
      </c>
      <c r="P871" t="s">
        <v>10</v>
      </c>
      <c r="Q871">
        <v>3.6</v>
      </c>
      <c r="R871" t="str">
        <f t="shared" si="28"/>
        <v>III</v>
      </c>
      <c r="S871">
        <f t="shared" si="29"/>
        <v>0.43631999999999999</v>
      </c>
    </row>
    <row r="872" spans="1:19">
      <c r="A872">
        <v>4169</v>
      </c>
      <c r="B872" t="s">
        <v>76</v>
      </c>
      <c r="C872">
        <v>0.51500000000000001</v>
      </c>
      <c r="D872">
        <v>0.4</v>
      </c>
      <c r="E872">
        <v>0.125</v>
      </c>
      <c r="F872">
        <v>0.61499999999999999</v>
      </c>
      <c r="G872">
        <v>0.28649999999999998</v>
      </c>
      <c r="H872">
        <v>0.123</v>
      </c>
      <c r="I872">
        <v>0.17649999999999999</v>
      </c>
      <c r="J872">
        <v>8</v>
      </c>
      <c r="K872">
        <v>5</v>
      </c>
      <c r="L872" t="s">
        <v>67</v>
      </c>
      <c r="M872" t="s">
        <v>68</v>
      </c>
      <c r="N872" t="s">
        <v>69</v>
      </c>
      <c r="O872">
        <v>10</v>
      </c>
      <c r="P872" t="s">
        <v>11</v>
      </c>
      <c r="Q872">
        <v>24.1</v>
      </c>
      <c r="R872" t="str">
        <f t="shared" si="28"/>
        <v>II</v>
      </c>
      <c r="S872">
        <f t="shared" si="29"/>
        <v>0.22467999999999999</v>
      </c>
    </row>
    <row r="873" spans="1:19">
      <c r="A873">
        <v>2788</v>
      </c>
      <c r="B873" t="s">
        <v>76</v>
      </c>
      <c r="C873">
        <v>0.61</v>
      </c>
      <c r="D873">
        <v>0.45</v>
      </c>
      <c r="E873">
        <v>0.13</v>
      </c>
      <c r="F873">
        <v>0.87250000000000005</v>
      </c>
      <c r="G873">
        <v>0.38900000000000001</v>
      </c>
      <c r="H873">
        <v>0.17150000000000001</v>
      </c>
      <c r="I873">
        <v>0.27200000000000002</v>
      </c>
      <c r="J873">
        <v>11</v>
      </c>
      <c r="K873">
        <v>5</v>
      </c>
      <c r="L873" t="s">
        <v>67</v>
      </c>
      <c r="M873" t="s">
        <v>68</v>
      </c>
      <c r="N873" t="s">
        <v>69</v>
      </c>
      <c r="O873">
        <v>5</v>
      </c>
      <c r="P873" t="s">
        <v>12</v>
      </c>
      <c r="Q873">
        <v>12.8</v>
      </c>
      <c r="R873" t="str">
        <f t="shared" si="28"/>
        <v>II</v>
      </c>
      <c r="S873">
        <f t="shared" si="29"/>
        <v>0.33620333333333335</v>
      </c>
    </row>
    <row r="874" spans="1:19">
      <c r="A874">
        <v>306</v>
      </c>
      <c r="B874" t="s">
        <v>76</v>
      </c>
      <c r="C874">
        <v>0.2</v>
      </c>
      <c r="D874">
        <v>0.14499999999999999</v>
      </c>
      <c r="E874">
        <v>0.06</v>
      </c>
      <c r="F874">
        <v>3.6999999999999998E-2</v>
      </c>
      <c r="G874">
        <v>1.2500000000000001E-2</v>
      </c>
      <c r="H874">
        <v>9.4999999999999998E-3</v>
      </c>
      <c r="I874">
        <v>1.0999999999999999E-2</v>
      </c>
      <c r="J874">
        <v>4</v>
      </c>
      <c r="K874">
        <v>6</v>
      </c>
      <c r="L874" t="s">
        <v>46</v>
      </c>
      <c r="M874" t="s">
        <v>47</v>
      </c>
      <c r="N874" t="s">
        <v>48</v>
      </c>
      <c r="O874">
        <v>1</v>
      </c>
      <c r="P874" t="s">
        <v>4</v>
      </c>
      <c r="Q874">
        <v>22.1</v>
      </c>
      <c r="R874" t="str">
        <f t="shared" si="28"/>
        <v>II</v>
      </c>
      <c r="S874">
        <f t="shared" si="29"/>
        <v>1.0384666666666667E-2</v>
      </c>
    </row>
    <row r="875" spans="1:19">
      <c r="A875">
        <v>3294</v>
      </c>
      <c r="B875" t="s">
        <v>76</v>
      </c>
      <c r="C875">
        <v>0.57499999999999996</v>
      </c>
      <c r="D875">
        <v>0.45500000000000002</v>
      </c>
      <c r="E875">
        <v>0.185</v>
      </c>
      <c r="F875">
        <v>1.1559999999999999</v>
      </c>
      <c r="G875">
        <v>0.55249999999999999</v>
      </c>
      <c r="H875">
        <v>0.24299999999999999</v>
      </c>
      <c r="I875">
        <v>0.29499999999999998</v>
      </c>
      <c r="J875">
        <v>13</v>
      </c>
      <c r="K875">
        <v>3</v>
      </c>
      <c r="L875" t="s">
        <v>52</v>
      </c>
      <c r="M875" t="s">
        <v>53</v>
      </c>
      <c r="N875" t="s">
        <v>54</v>
      </c>
      <c r="O875">
        <v>9</v>
      </c>
      <c r="P875" t="s">
        <v>9</v>
      </c>
      <c r="Q875">
        <v>1.9</v>
      </c>
      <c r="R875" t="str">
        <f t="shared" si="28"/>
        <v>I</v>
      </c>
      <c r="S875">
        <f t="shared" si="29"/>
        <v>0.84243499999999982</v>
      </c>
    </row>
    <row r="876" spans="1:19">
      <c r="A876">
        <v>3399</v>
      </c>
      <c r="B876" t="s">
        <v>76</v>
      </c>
      <c r="C876">
        <v>0.36499999999999999</v>
      </c>
      <c r="D876">
        <v>0.28499999999999998</v>
      </c>
      <c r="E876">
        <v>8.5000000000000006E-2</v>
      </c>
      <c r="F876">
        <v>0.2205</v>
      </c>
      <c r="G876">
        <v>8.5500000000000007E-2</v>
      </c>
      <c r="H876">
        <v>5.1499999999999997E-2</v>
      </c>
      <c r="I876">
        <v>7.0000000000000007E-2</v>
      </c>
      <c r="J876">
        <v>9</v>
      </c>
      <c r="K876">
        <v>5</v>
      </c>
      <c r="L876" t="s">
        <v>67</v>
      </c>
      <c r="M876" t="s">
        <v>68</v>
      </c>
      <c r="N876" t="s">
        <v>69</v>
      </c>
      <c r="O876">
        <v>2</v>
      </c>
      <c r="P876" t="s">
        <v>5</v>
      </c>
      <c r="Q876">
        <v>18</v>
      </c>
      <c r="R876" t="str">
        <f t="shared" si="28"/>
        <v>II</v>
      </c>
      <c r="S876">
        <f t="shared" si="29"/>
        <v>7.1589E-2</v>
      </c>
    </row>
    <row r="877" spans="1:19">
      <c r="A877">
        <v>2453</v>
      </c>
      <c r="B877" t="s">
        <v>76</v>
      </c>
      <c r="C877">
        <v>0.39500000000000002</v>
      </c>
      <c r="D877">
        <v>0.30499999999999999</v>
      </c>
      <c r="E877">
        <v>0.105</v>
      </c>
      <c r="F877">
        <v>0.28199999999999997</v>
      </c>
      <c r="G877">
        <v>9.7500000000000003E-2</v>
      </c>
      <c r="H877">
        <v>6.5000000000000002E-2</v>
      </c>
      <c r="I877">
        <v>9.6000000000000002E-2</v>
      </c>
      <c r="J877">
        <v>9</v>
      </c>
      <c r="K877">
        <v>2</v>
      </c>
      <c r="L877" t="s">
        <v>49</v>
      </c>
      <c r="M877" t="s">
        <v>50</v>
      </c>
      <c r="N877" t="s">
        <v>51</v>
      </c>
      <c r="O877">
        <v>1</v>
      </c>
      <c r="P877" t="s">
        <v>4</v>
      </c>
      <c r="Q877">
        <v>22.1</v>
      </c>
      <c r="R877" t="str">
        <f t="shared" si="28"/>
        <v>II</v>
      </c>
      <c r="S877">
        <f t="shared" si="29"/>
        <v>9.4187999999999994E-2</v>
      </c>
    </row>
    <row r="878" spans="1:19">
      <c r="A878">
        <v>508</v>
      </c>
      <c r="B878" t="s">
        <v>76</v>
      </c>
      <c r="C878">
        <v>0.58499999999999996</v>
      </c>
      <c r="D878">
        <v>0.45500000000000002</v>
      </c>
      <c r="E878">
        <v>0.22500000000000001</v>
      </c>
      <c r="F878">
        <v>1.0549999999999999</v>
      </c>
      <c r="G878">
        <v>0.38150000000000001</v>
      </c>
      <c r="H878">
        <v>0.221</v>
      </c>
      <c r="I878">
        <v>0.36499999999999999</v>
      </c>
      <c r="J878">
        <v>15</v>
      </c>
      <c r="K878">
        <v>4</v>
      </c>
      <c r="L878" t="s">
        <v>40</v>
      </c>
      <c r="M878" t="s">
        <v>41</v>
      </c>
      <c r="N878" t="s">
        <v>42</v>
      </c>
      <c r="O878">
        <v>4</v>
      </c>
      <c r="P878" t="s">
        <v>8</v>
      </c>
      <c r="Q878">
        <v>6.1</v>
      </c>
      <c r="R878" t="str">
        <f t="shared" si="28"/>
        <v>II</v>
      </c>
      <c r="S878">
        <f t="shared" si="29"/>
        <v>0.41707666666666665</v>
      </c>
    </row>
    <row r="879" spans="1:19">
      <c r="A879">
        <v>3566</v>
      </c>
      <c r="B879" t="s">
        <v>76</v>
      </c>
      <c r="C879">
        <v>0.57499999999999996</v>
      </c>
      <c r="D879">
        <v>0.47499999999999998</v>
      </c>
      <c r="E879">
        <v>0.16</v>
      </c>
      <c r="F879">
        <v>0.89500000000000002</v>
      </c>
      <c r="G879">
        <v>0.36049999999999999</v>
      </c>
      <c r="H879">
        <v>0.221</v>
      </c>
      <c r="I879">
        <v>0.27100000000000002</v>
      </c>
      <c r="J879">
        <v>9</v>
      </c>
      <c r="K879">
        <v>13</v>
      </c>
      <c r="L879" t="s">
        <v>43</v>
      </c>
      <c r="M879" t="s">
        <v>44</v>
      </c>
      <c r="N879" t="s">
        <v>45</v>
      </c>
      <c r="O879">
        <v>5</v>
      </c>
      <c r="P879" t="s">
        <v>12</v>
      </c>
      <c r="Q879">
        <v>12.8</v>
      </c>
      <c r="R879" t="str">
        <f t="shared" si="28"/>
        <v>II</v>
      </c>
      <c r="S879">
        <f t="shared" si="29"/>
        <v>0.34725999999999996</v>
      </c>
    </row>
    <row r="880" spans="1:19">
      <c r="A880">
        <v>2555</v>
      </c>
      <c r="B880" t="s">
        <v>76</v>
      </c>
      <c r="C880">
        <v>0.34</v>
      </c>
      <c r="D880">
        <v>0.26500000000000001</v>
      </c>
      <c r="E880">
        <v>7.0000000000000007E-2</v>
      </c>
      <c r="F880">
        <v>0.185</v>
      </c>
      <c r="G880">
        <v>6.25E-2</v>
      </c>
      <c r="H880">
        <v>3.95E-2</v>
      </c>
      <c r="I880">
        <v>7.0000000000000007E-2</v>
      </c>
      <c r="J880">
        <v>7</v>
      </c>
      <c r="K880">
        <v>1</v>
      </c>
      <c r="L880" t="s">
        <v>70</v>
      </c>
      <c r="M880" t="s">
        <v>71</v>
      </c>
      <c r="N880" t="s">
        <v>45</v>
      </c>
      <c r="O880">
        <v>10</v>
      </c>
      <c r="P880" t="s">
        <v>11</v>
      </c>
      <c r="Q880">
        <v>24.1</v>
      </c>
      <c r="R880" t="str">
        <f t="shared" si="28"/>
        <v>II</v>
      </c>
      <c r="S880">
        <f t="shared" si="29"/>
        <v>5.8583333333333334E-2</v>
      </c>
    </row>
    <row r="881" spans="1:19">
      <c r="A881">
        <v>1632</v>
      </c>
      <c r="B881" t="s">
        <v>76</v>
      </c>
      <c r="C881">
        <v>0.56999999999999995</v>
      </c>
      <c r="D881">
        <v>0.44500000000000001</v>
      </c>
      <c r="E881">
        <v>0.14499999999999999</v>
      </c>
      <c r="F881">
        <v>0.74050000000000005</v>
      </c>
      <c r="G881">
        <v>0.30599999999999999</v>
      </c>
      <c r="H881">
        <v>0.17199999999999999</v>
      </c>
      <c r="I881">
        <v>0.1825</v>
      </c>
      <c r="J881">
        <v>12</v>
      </c>
      <c r="K881">
        <v>9</v>
      </c>
      <c r="L881" t="s">
        <v>34</v>
      </c>
      <c r="M881" t="s">
        <v>35</v>
      </c>
      <c r="N881" t="s">
        <v>36</v>
      </c>
      <c r="O881">
        <v>8</v>
      </c>
      <c r="P881" t="s">
        <v>13</v>
      </c>
      <c r="Q881">
        <v>12.3</v>
      </c>
      <c r="R881" t="str">
        <f t="shared" si="28"/>
        <v>II</v>
      </c>
      <c r="S881">
        <f t="shared" si="29"/>
        <v>0.28237733333333337</v>
      </c>
    </row>
    <row r="882" spans="1:19">
      <c r="A882">
        <v>1087</v>
      </c>
      <c r="B882" t="s">
        <v>76</v>
      </c>
      <c r="C882">
        <v>0.44500000000000001</v>
      </c>
      <c r="D882">
        <v>0.33500000000000002</v>
      </c>
      <c r="E882">
        <v>0.11</v>
      </c>
      <c r="F882">
        <v>0.41099999999999998</v>
      </c>
      <c r="G882">
        <v>0.19850000000000001</v>
      </c>
      <c r="H882">
        <v>9.35E-2</v>
      </c>
      <c r="I882">
        <v>0.109</v>
      </c>
      <c r="J882">
        <v>8</v>
      </c>
      <c r="K882">
        <v>10</v>
      </c>
      <c r="L882" t="s">
        <v>37</v>
      </c>
      <c r="M882" t="s">
        <v>38</v>
      </c>
      <c r="N882" t="s">
        <v>39</v>
      </c>
      <c r="O882">
        <v>7</v>
      </c>
      <c r="P882" t="s">
        <v>6</v>
      </c>
      <c r="Q882">
        <v>2.5</v>
      </c>
      <c r="R882" t="str">
        <f t="shared" si="28"/>
        <v>II</v>
      </c>
      <c r="S882">
        <f t="shared" si="29"/>
        <v>0.141932</v>
      </c>
    </row>
    <row r="883" spans="1:19">
      <c r="A883">
        <v>3231</v>
      </c>
      <c r="B883" t="s">
        <v>76</v>
      </c>
      <c r="C883">
        <v>0.56999999999999995</v>
      </c>
      <c r="D883">
        <v>0.45500000000000002</v>
      </c>
      <c r="E883">
        <v>0.15</v>
      </c>
      <c r="F883">
        <v>0.96</v>
      </c>
      <c r="G883">
        <v>0.38700000000000001</v>
      </c>
      <c r="H883">
        <v>0.23849999999999999</v>
      </c>
      <c r="I883">
        <v>0.27500000000000002</v>
      </c>
      <c r="J883">
        <v>11</v>
      </c>
      <c r="K883">
        <v>14</v>
      </c>
      <c r="L883" t="s">
        <v>72</v>
      </c>
      <c r="M883" t="s">
        <v>73</v>
      </c>
      <c r="N883" t="s">
        <v>74</v>
      </c>
      <c r="O883">
        <v>6</v>
      </c>
      <c r="P883" t="s">
        <v>7</v>
      </c>
      <c r="Q883">
        <v>14.1</v>
      </c>
      <c r="R883" t="str">
        <f t="shared" si="28"/>
        <v>II</v>
      </c>
      <c r="S883">
        <f t="shared" si="29"/>
        <v>0.36800000000000005</v>
      </c>
    </row>
    <row r="884" spans="1:19">
      <c r="A884">
        <v>3786</v>
      </c>
      <c r="B884" t="s">
        <v>76</v>
      </c>
      <c r="C884">
        <v>0.625</v>
      </c>
      <c r="D884">
        <v>0.495</v>
      </c>
      <c r="E884">
        <v>0.155</v>
      </c>
      <c r="F884">
        <v>1.177</v>
      </c>
      <c r="G884">
        <v>0.50549999999999995</v>
      </c>
      <c r="H884">
        <v>0.27800000000000002</v>
      </c>
      <c r="I884">
        <v>0.34499999999999997</v>
      </c>
      <c r="J884">
        <v>9</v>
      </c>
      <c r="K884">
        <v>7</v>
      </c>
      <c r="L884" t="s">
        <v>62</v>
      </c>
      <c r="M884" t="s">
        <v>63</v>
      </c>
      <c r="N884" t="s">
        <v>64</v>
      </c>
      <c r="O884">
        <v>10</v>
      </c>
      <c r="P884" t="s">
        <v>11</v>
      </c>
      <c r="Q884">
        <v>24.1</v>
      </c>
      <c r="R884" t="str">
        <f t="shared" si="28"/>
        <v>I</v>
      </c>
      <c r="S884">
        <f t="shared" si="29"/>
        <v>0.87539375000000019</v>
      </c>
    </row>
    <row r="885" spans="1:19">
      <c r="A885">
        <v>3645</v>
      </c>
      <c r="B885" t="s">
        <v>76</v>
      </c>
      <c r="C885">
        <v>0.47499999999999998</v>
      </c>
      <c r="D885">
        <v>0.36499999999999999</v>
      </c>
      <c r="E885">
        <v>0.105</v>
      </c>
      <c r="F885">
        <v>0.41749999999999998</v>
      </c>
      <c r="G885">
        <v>0.16450000000000001</v>
      </c>
      <c r="H885">
        <v>9.9000000000000005E-2</v>
      </c>
      <c r="I885">
        <v>0.127</v>
      </c>
      <c r="J885">
        <v>7</v>
      </c>
      <c r="K885">
        <v>9</v>
      </c>
      <c r="L885" t="s">
        <v>34</v>
      </c>
      <c r="M885" t="s">
        <v>35</v>
      </c>
      <c r="N885" t="s">
        <v>36</v>
      </c>
      <c r="O885">
        <v>9</v>
      </c>
      <c r="P885" t="s">
        <v>9</v>
      </c>
      <c r="Q885">
        <v>1.9</v>
      </c>
      <c r="R885" t="str">
        <f t="shared" si="28"/>
        <v>II</v>
      </c>
      <c r="S885">
        <f t="shared" si="29"/>
        <v>0.14723833333333333</v>
      </c>
    </row>
    <row r="886" spans="1:19">
      <c r="A886">
        <v>2720</v>
      </c>
      <c r="B886" t="s">
        <v>76</v>
      </c>
      <c r="C886">
        <v>0.36</v>
      </c>
      <c r="D886">
        <v>0.26</v>
      </c>
      <c r="E886">
        <v>0.08</v>
      </c>
      <c r="F886">
        <v>0.17949999999999999</v>
      </c>
      <c r="G886">
        <v>7.3999999999999996E-2</v>
      </c>
      <c r="H886">
        <v>3.15E-2</v>
      </c>
      <c r="I886">
        <v>0.06</v>
      </c>
      <c r="J886">
        <v>5</v>
      </c>
      <c r="K886">
        <v>7</v>
      </c>
      <c r="L886" t="s">
        <v>62</v>
      </c>
      <c r="M886" t="s">
        <v>63</v>
      </c>
      <c r="N886" t="s">
        <v>64</v>
      </c>
      <c r="O886">
        <v>6</v>
      </c>
      <c r="P886" t="s">
        <v>7</v>
      </c>
      <c r="Q886">
        <v>14.1</v>
      </c>
      <c r="R886" t="str">
        <f t="shared" si="28"/>
        <v>II</v>
      </c>
      <c r="S886">
        <f t="shared" si="29"/>
        <v>5.7440000000000005E-2</v>
      </c>
    </row>
    <row r="887" spans="1:19">
      <c r="A887">
        <v>776</v>
      </c>
      <c r="B887" t="s">
        <v>76</v>
      </c>
      <c r="C887">
        <v>0.53</v>
      </c>
      <c r="D887">
        <v>0.41</v>
      </c>
      <c r="E887">
        <v>0.16500000000000001</v>
      </c>
      <c r="F887">
        <v>0.73199999999999998</v>
      </c>
      <c r="G887">
        <v>0.189</v>
      </c>
      <c r="H887">
        <v>0.17</v>
      </c>
      <c r="I887">
        <v>0.31</v>
      </c>
      <c r="J887">
        <v>11</v>
      </c>
      <c r="K887">
        <v>2</v>
      </c>
      <c r="L887" t="s">
        <v>49</v>
      </c>
      <c r="M887" t="s">
        <v>50</v>
      </c>
      <c r="N887" t="s">
        <v>51</v>
      </c>
      <c r="O887">
        <v>6</v>
      </c>
      <c r="P887" t="s">
        <v>7</v>
      </c>
      <c r="Q887">
        <v>14.1</v>
      </c>
      <c r="R887" t="str">
        <f t="shared" si="28"/>
        <v>II</v>
      </c>
      <c r="S887">
        <f t="shared" si="29"/>
        <v>0.27376800000000001</v>
      </c>
    </row>
    <row r="888" spans="1:19">
      <c r="A888">
        <v>3731</v>
      </c>
      <c r="B888" t="s">
        <v>76</v>
      </c>
      <c r="C888">
        <v>0.51500000000000001</v>
      </c>
      <c r="D888">
        <v>0.37</v>
      </c>
      <c r="E888">
        <v>0.115</v>
      </c>
      <c r="F888">
        <v>0.61450000000000005</v>
      </c>
      <c r="G888">
        <v>0.34150000000000003</v>
      </c>
      <c r="H888">
        <v>0.155</v>
      </c>
      <c r="I888">
        <v>0.14599999999999999</v>
      </c>
      <c r="J888">
        <v>9</v>
      </c>
      <c r="K888">
        <v>8</v>
      </c>
      <c r="L888" t="s">
        <v>55</v>
      </c>
      <c r="M888" t="s">
        <v>56</v>
      </c>
      <c r="N888" t="s">
        <v>57</v>
      </c>
      <c r="O888">
        <v>9</v>
      </c>
      <c r="P888" t="s">
        <v>9</v>
      </c>
      <c r="Q888">
        <v>1.9</v>
      </c>
      <c r="R888" t="str">
        <f t="shared" si="28"/>
        <v>II</v>
      </c>
      <c r="S888">
        <f t="shared" si="29"/>
        <v>0.22122000000000003</v>
      </c>
    </row>
    <row r="889" spans="1:19">
      <c r="A889">
        <v>779</v>
      </c>
      <c r="B889" t="s">
        <v>76</v>
      </c>
      <c r="C889">
        <v>0.46500000000000002</v>
      </c>
      <c r="D889">
        <v>0.35</v>
      </c>
      <c r="E889">
        <v>0.14000000000000001</v>
      </c>
      <c r="F889">
        <v>0.57550000000000001</v>
      </c>
      <c r="G889">
        <v>0.20150000000000001</v>
      </c>
      <c r="H889">
        <v>0.15049999999999999</v>
      </c>
      <c r="I889">
        <v>0.19</v>
      </c>
      <c r="J889">
        <v>15</v>
      </c>
      <c r="K889">
        <v>12</v>
      </c>
      <c r="L889" t="s">
        <v>58</v>
      </c>
      <c r="M889" t="s">
        <v>59</v>
      </c>
      <c r="N889" t="s">
        <v>45</v>
      </c>
      <c r="O889">
        <v>4</v>
      </c>
      <c r="P889" t="s">
        <v>8</v>
      </c>
      <c r="Q889">
        <v>6.1</v>
      </c>
      <c r="R889" t="str">
        <f t="shared" si="28"/>
        <v>II</v>
      </c>
      <c r="S889">
        <f t="shared" si="29"/>
        <v>0.20372699999999999</v>
      </c>
    </row>
    <row r="890" spans="1:19">
      <c r="A890">
        <v>424</v>
      </c>
      <c r="B890" t="s">
        <v>76</v>
      </c>
      <c r="C890">
        <v>0.28999999999999998</v>
      </c>
      <c r="D890">
        <v>0.22500000000000001</v>
      </c>
      <c r="E890">
        <v>7.0000000000000007E-2</v>
      </c>
      <c r="F890">
        <v>0.10100000000000001</v>
      </c>
      <c r="G890">
        <v>3.5999999999999997E-2</v>
      </c>
      <c r="H890">
        <v>2.35E-2</v>
      </c>
      <c r="I890">
        <v>3.5000000000000003E-2</v>
      </c>
      <c r="J890">
        <v>8</v>
      </c>
      <c r="K890">
        <v>12</v>
      </c>
      <c r="L890" t="s">
        <v>58</v>
      </c>
      <c r="M890" t="s">
        <v>59</v>
      </c>
      <c r="N890" t="s">
        <v>45</v>
      </c>
      <c r="O890">
        <v>8</v>
      </c>
      <c r="P890" t="s">
        <v>13</v>
      </c>
      <c r="Q890">
        <v>12.3</v>
      </c>
      <c r="R890" t="str">
        <f t="shared" si="28"/>
        <v>II</v>
      </c>
      <c r="S890">
        <f t="shared" si="29"/>
        <v>3.0771333333333335E-2</v>
      </c>
    </row>
    <row r="891" spans="1:19">
      <c r="A891">
        <v>2243</v>
      </c>
      <c r="B891" t="s">
        <v>76</v>
      </c>
      <c r="C891">
        <v>0.47499999999999998</v>
      </c>
      <c r="D891">
        <v>0.38</v>
      </c>
      <c r="E891">
        <v>0.13500000000000001</v>
      </c>
      <c r="F891">
        <v>0.48599999999999999</v>
      </c>
      <c r="G891">
        <v>0.17349999999999999</v>
      </c>
      <c r="H891">
        <v>7.0000000000000007E-2</v>
      </c>
      <c r="I891">
        <v>0.185</v>
      </c>
      <c r="J891">
        <v>7</v>
      </c>
      <c r="K891">
        <v>11</v>
      </c>
      <c r="L891" t="s">
        <v>65</v>
      </c>
      <c r="M891" t="s">
        <v>66</v>
      </c>
      <c r="N891" t="s">
        <v>45</v>
      </c>
      <c r="O891">
        <v>10</v>
      </c>
      <c r="P891" t="s">
        <v>11</v>
      </c>
      <c r="Q891">
        <v>24.1</v>
      </c>
      <c r="R891" t="str">
        <f t="shared" si="28"/>
        <v>II</v>
      </c>
      <c r="S891">
        <f t="shared" si="29"/>
        <v>0.17431199999999999</v>
      </c>
    </row>
    <row r="892" spans="1:19">
      <c r="A892">
        <v>350</v>
      </c>
      <c r="B892" t="s">
        <v>76</v>
      </c>
      <c r="C892">
        <v>0.61</v>
      </c>
      <c r="D892">
        <v>0.48</v>
      </c>
      <c r="E892">
        <v>0.15</v>
      </c>
      <c r="F892">
        <v>1.2</v>
      </c>
      <c r="G892">
        <v>0.56000000000000005</v>
      </c>
      <c r="H892">
        <v>0.2455</v>
      </c>
      <c r="I892">
        <v>0.28000000000000003</v>
      </c>
      <c r="J892">
        <v>14</v>
      </c>
      <c r="K892">
        <v>7</v>
      </c>
      <c r="L892" t="s">
        <v>62</v>
      </c>
      <c r="M892" t="s">
        <v>63</v>
      </c>
      <c r="N892" t="s">
        <v>64</v>
      </c>
      <c r="O892">
        <v>5</v>
      </c>
      <c r="P892" t="s">
        <v>12</v>
      </c>
      <c r="Q892">
        <v>12.8</v>
      </c>
      <c r="R892" t="str">
        <f t="shared" si="28"/>
        <v>I</v>
      </c>
      <c r="S892">
        <f t="shared" si="29"/>
        <v>0.88199999999999978</v>
      </c>
    </row>
    <row r="893" spans="1:19">
      <c r="A893">
        <v>211</v>
      </c>
      <c r="B893" t="s">
        <v>76</v>
      </c>
      <c r="C893">
        <v>0.49</v>
      </c>
      <c r="D893">
        <v>0.36499999999999999</v>
      </c>
      <c r="E893">
        <v>0.14499999999999999</v>
      </c>
      <c r="F893">
        <v>0.63449999999999995</v>
      </c>
      <c r="G893">
        <v>0.19950000000000001</v>
      </c>
      <c r="H893">
        <v>0.16250000000000001</v>
      </c>
      <c r="I893">
        <v>0.22</v>
      </c>
      <c r="J893">
        <v>10</v>
      </c>
      <c r="K893">
        <v>8</v>
      </c>
      <c r="L893" t="s">
        <v>55</v>
      </c>
      <c r="M893" t="s">
        <v>56</v>
      </c>
      <c r="N893" t="s">
        <v>57</v>
      </c>
      <c r="O893">
        <v>1</v>
      </c>
      <c r="P893" t="s">
        <v>4</v>
      </c>
      <c r="Q893">
        <v>22.1</v>
      </c>
      <c r="R893" t="str">
        <f t="shared" si="28"/>
        <v>II</v>
      </c>
      <c r="S893">
        <f t="shared" si="29"/>
        <v>0.22841999999999998</v>
      </c>
    </row>
    <row r="894" spans="1:19">
      <c r="A894">
        <v>558</v>
      </c>
      <c r="B894" t="s">
        <v>76</v>
      </c>
      <c r="C894">
        <v>0.66</v>
      </c>
      <c r="D894">
        <v>0.5</v>
      </c>
      <c r="E894">
        <v>0.16500000000000001</v>
      </c>
      <c r="F894">
        <v>1.1904999999999999</v>
      </c>
      <c r="G894">
        <v>0.45850000000000002</v>
      </c>
      <c r="H894">
        <v>0.29799999999999999</v>
      </c>
      <c r="I894">
        <v>0.37</v>
      </c>
      <c r="J894">
        <v>12</v>
      </c>
      <c r="K894">
        <v>6</v>
      </c>
      <c r="L894" t="s">
        <v>46</v>
      </c>
      <c r="M894" t="s">
        <v>47</v>
      </c>
      <c r="N894" t="s">
        <v>48</v>
      </c>
      <c r="O894">
        <v>4</v>
      </c>
      <c r="P894" t="s">
        <v>8</v>
      </c>
      <c r="Q894">
        <v>6.1</v>
      </c>
      <c r="R894" t="str">
        <f t="shared" si="28"/>
        <v>III</v>
      </c>
      <c r="S894">
        <f t="shared" si="29"/>
        <v>0.60021041666666641</v>
      </c>
    </row>
    <row r="895" spans="1:19">
      <c r="A895">
        <v>510</v>
      </c>
      <c r="B895" t="s">
        <v>76</v>
      </c>
      <c r="C895">
        <v>0.56000000000000005</v>
      </c>
      <c r="D895">
        <v>0.44500000000000001</v>
      </c>
      <c r="E895">
        <v>0.155</v>
      </c>
      <c r="F895">
        <v>0.87350000000000005</v>
      </c>
      <c r="G895">
        <v>0.30049999999999999</v>
      </c>
      <c r="H895">
        <v>0.20899999999999999</v>
      </c>
      <c r="I895">
        <v>0.27500000000000002</v>
      </c>
      <c r="J895">
        <v>16</v>
      </c>
      <c r="K895">
        <v>6</v>
      </c>
      <c r="L895" t="s">
        <v>46</v>
      </c>
      <c r="M895" t="s">
        <v>47</v>
      </c>
      <c r="N895" t="s">
        <v>48</v>
      </c>
      <c r="O895">
        <v>3</v>
      </c>
      <c r="P895" t="s">
        <v>10</v>
      </c>
      <c r="Q895">
        <v>3.6</v>
      </c>
      <c r="R895" t="str">
        <f t="shared" si="28"/>
        <v>II</v>
      </c>
      <c r="S895">
        <f t="shared" si="29"/>
        <v>0.33309466666666671</v>
      </c>
    </row>
    <row r="896" spans="1:19">
      <c r="A896">
        <v>3535</v>
      </c>
      <c r="B896" t="s">
        <v>76</v>
      </c>
      <c r="C896">
        <v>0.4</v>
      </c>
      <c r="D896">
        <v>0.315</v>
      </c>
      <c r="E896">
        <v>0.09</v>
      </c>
      <c r="F896">
        <v>0.33</v>
      </c>
      <c r="G896">
        <v>0.151</v>
      </c>
      <c r="H896">
        <v>6.8000000000000005E-2</v>
      </c>
      <c r="I896">
        <v>0.08</v>
      </c>
      <c r="J896">
        <v>6</v>
      </c>
      <c r="K896">
        <v>3</v>
      </c>
      <c r="L896" t="s">
        <v>52</v>
      </c>
      <c r="M896" t="s">
        <v>53</v>
      </c>
      <c r="N896" t="s">
        <v>54</v>
      </c>
      <c r="O896">
        <v>6</v>
      </c>
      <c r="P896" t="s">
        <v>7</v>
      </c>
      <c r="Q896">
        <v>14.1</v>
      </c>
      <c r="R896" t="str">
        <f t="shared" si="28"/>
        <v>II</v>
      </c>
      <c r="S896">
        <f t="shared" si="29"/>
        <v>0.11022000000000001</v>
      </c>
    </row>
    <row r="897" spans="1:19">
      <c r="A897">
        <v>2166</v>
      </c>
      <c r="B897" t="s">
        <v>76</v>
      </c>
      <c r="C897">
        <v>0.61</v>
      </c>
      <c r="D897">
        <v>0.45</v>
      </c>
      <c r="E897">
        <v>0.16</v>
      </c>
      <c r="F897">
        <v>1.1359999999999999</v>
      </c>
      <c r="G897">
        <v>0.41399999999999998</v>
      </c>
      <c r="H897">
        <v>0.311</v>
      </c>
      <c r="I897">
        <v>0.3</v>
      </c>
      <c r="J897">
        <v>9</v>
      </c>
      <c r="K897">
        <v>2</v>
      </c>
      <c r="L897" t="s">
        <v>49</v>
      </c>
      <c r="M897" t="s">
        <v>50</v>
      </c>
      <c r="N897" t="s">
        <v>51</v>
      </c>
      <c r="O897">
        <v>3</v>
      </c>
      <c r="P897" t="s">
        <v>10</v>
      </c>
      <c r="Q897">
        <v>3.6</v>
      </c>
      <c r="R897" t="str">
        <f t="shared" si="28"/>
        <v>III</v>
      </c>
      <c r="S897">
        <f t="shared" si="29"/>
        <v>0.5528533333333332</v>
      </c>
    </row>
    <row r="898" spans="1:19">
      <c r="A898">
        <v>3806</v>
      </c>
      <c r="B898" t="s">
        <v>76</v>
      </c>
      <c r="C898">
        <v>0.42499999999999999</v>
      </c>
      <c r="D898">
        <v>0.30499999999999999</v>
      </c>
      <c r="E898">
        <v>0.11</v>
      </c>
      <c r="F898">
        <v>0.35899999999999999</v>
      </c>
      <c r="G898">
        <v>0.17299999999999999</v>
      </c>
      <c r="H898">
        <v>8.7499999999999994E-2</v>
      </c>
      <c r="I898">
        <v>9.7500000000000003E-2</v>
      </c>
      <c r="J898">
        <v>9</v>
      </c>
      <c r="K898">
        <v>15</v>
      </c>
      <c r="L898" t="s">
        <v>60</v>
      </c>
      <c r="M898" t="s">
        <v>61</v>
      </c>
      <c r="N898" t="s">
        <v>45</v>
      </c>
      <c r="O898">
        <v>3</v>
      </c>
      <c r="P898" t="s">
        <v>10</v>
      </c>
      <c r="Q898">
        <v>3.6</v>
      </c>
      <c r="R898" t="str">
        <f t="shared" si="28"/>
        <v>II</v>
      </c>
      <c r="S898">
        <f t="shared" si="29"/>
        <v>0.12158133333333335</v>
      </c>
    </row>
    <row r="899" spans="1:19">
      <c r="A899">
        <v>428</v>
      </c>
      <c r="B899" t="s">
        <v>76</v>
      </c>
      <c r="C899">
        <v>0.6</v>
      </c>
      <c r="D899">
        <v>0.5</v>
      </c>
      <c r="E899">
        <v>0.16</v>
      </c>
      <c r="F899">
        <v>1.0149999999999999</v>
      </c>
      <c r="G899">
        <v>0.39950000000000002</v>
      </c>
      <c r="H899">
        <v>0.17349999999999999</v>
      </c>
      <c r="I899">
        <v>0.33</v>
      </c>
      <c r="J899">
        <v>19</v>
      </c>
      <c r="K899">
        <v>12</v>
      </c>
      <c r="L899" t="s">
        <v>58</v>
      </c>
      <c r="M899" t="s">
        <v>59</v>
      </c>
      <c r="N899" t="s">
        <v>45</v>
      </c>
      <c r="O899">
        <v>5</v>
      </c>
      <c r="P899" t="s">
        <v>12</v>
      </c>
      <c r="Q899">
        <v>12.8</v>
      </c>
      <c r="R899" t="str">
        <f t="shared" ref="R899:R962" si="30">IF(OR(AND(J899 &gt; 15, B899 = "Infant"), AND(D899 = "Male", C899 &gt; 0.75),
    OR(I899 &gt; 0.8, G899 &gt; 0.5), G899 &gt; 1.2),
    "I",
    IF(OR(AND(I899 &lt; 0.4, G899 &lt; 0.4), AND(J899 &gt; 15, D899 = "Male"), AND(J899 &gt; 18, D899 = "Female"), C899 &lt; 0.36),
    "II",
    "III"))</f>
        <v>II</v>
      </c>
      <c r="S899">
        <f t="shared" ref="S899:S962" si="31">IF(OR(AND(J899 &gt; 15, B899 = "Infant"), AND(D899 = "Male", C899 &gt; 0.75), OR(I899 &gt; 0.8, G899 &gt; 0.5), G899 &gt; 1.2), (1 + (1/3)*(C899 - 0.5) + (1/3)*(D899 - 0.4) + (1/3)*(E899 - 0.4)) * F899 * 0.5 * 1.5, IF(OR(AND(I899 &lt; 0.4, G899 &lt; 0.4), AND(J899 &gt; 15, D899 = "Male"), AND(J899 &gt; 18, D899 = "Female"), C899 &lt; 0.36), (1 + (1/3)*(C899 - 0.5) + (1/3)*(D899 - 0.4) + (1/3)*(E899 - 0.4)) * F899 * 0.5 * 0.8, (1 + (1/3)*(C899 - 0.5) + (1/3)*(D899 - 0.4) + (1/3)*(E899 - 0.4)) * F899 * 0.5))</f>
        <v>0.40058666666666654</v>
      </c>
    </row>
    <row r="900" spans="1:19">
      <c r="A900">
        <v>996</v>
      </c>
      <c r="B900" t="s">
        <v>76</v>
      </c>
      <c r="C900">
        <v>0.57999999999999996</v>
      </c>
      <c r="D900">
        <v>0.49</v>
      </c>
      <c r="E900">
        <v>0.13</v>
      </c>
      <c r="F900">
        <v>1.1335</v>
      </c>
      <c r="G900">
        <v>0.58599999999999997</v>
      </c>
      <c r="H900">
        <v>0.25650000000000001</v>
      </c>
      <c r="I900">
        <v>0.23699999999999999</v>
      </c>
      <c r="J900">
        <v>9</v>
      </c>
      <c r="K900">
        <v>4</v>
      </c>
      <c r="L900" t="s">
        <v>40</v>
      </c>
      <c r="M900" t="s">
        <v>41</v>
      </c>
      <c r="N900" t="s">
        <v>42</v>
      </c>
      <c r="O900">
        <v>8</v>
      </c>
      <c r="P900" t="s">
        <v>13</v>
      </c>
      <c r="Q900">
        <v>12.3</v>
      </c>
      <c r="R900" t="str">
        <f t="shared" si="30"/>
        <v>I</v>
      </c>
      <c r="S900">
        <f t="shared" si="31"/>
        <v>0.8217875</v>
      </c>
    </row>
    <row r="901" spans="1:19">
      <c r="A901">
        <v>1909</v>
      </c>
      <c r="B901" t="s">
        <v>76</v>
      </c>
      <c r="C901">
        <v>0.57499999999999996</v>
      </c>
      <c r="D901">
        <v>0.47499999999999998</v>
      </c>
      <c r="E901">
        <v>0.14499999999999999</v>
      </c>
      <c r="F901">
        <v>0.85699999999999998</v>
      </c>
      <c r="G901">
        <v>0.36649999999999999</v>
      </c>
      <c r="H901">
        <v>0.17299999999999999</v>
      </c>
      <c r="I901">
        <v>0.26900000000000002</v>
      </c>
      <c r="J901">
        <v>9</v>
      </c>
      <c r="K901">
        <v>1</v>
      </c>
      <c r="L901" t="s">
        <v>70</v>
      </c>
      <c r="M901" t="s">
        <v>71</v>
      </c>
      <c r="N901" t="s">
        <v>45</v>
      </c>
      <c r="O901">
        <v>7</v>
      </c>
      <c r="P901" t="s">
        <v>6</v>
      </c>
      <c r="Q901">
        <v>2.5</v>
      </c>
      <c r="R901" t="str">
        <f t="shared" si="30"/>
        <v>II</v>
      </c>
      <c r="S901">
        <f t="shared" si="31"/>
        <v>0.33080199999999998</v>
      </c>
    </row>
    <row r="902" spans="1:19">
      <c r="A902">
        <v>1154</v>
      </c>
      <c r="B902" t="s">
        <v>76</v>
      </c>
      <c r="C902">
        <v>0.6</v>
      </c>
      <c r="D902">
        <v>0.47499999999999998</v>
      </c>
      <c r="E902">
        <v>0.16</v>
      </c>
      <c r="F902">
        <v>1.0265</v>
      </c>
      <c r="G902">
        <v>0.48499999999999999</v>
      </c>
      <c r="H902">
        <v>0.2495</v>
      </c>
      <c r="I902">
        <v>0.25650000000000001</v>
      </c>
      <c r="J902">
        <v>9</v>
      </c>
      <c r="K902">
        <v>14</v>
      </c>
      <c r="L902" t="s">
        <v>72</v>
      </c>
      <c r="M902" t="s">
        <v>73</v>
      </c>
      <c r="N902" t="s">
        <v>74</v>
      </c>
      <c r="O902">
        <v>7</v>
      </c>
      <c r="P902" t="s">
        <v>6</v>
      </c>
      <c r="Q902">
        <v>2.5</v>
      </c>
      <c r="R902" t="str">
        <f t="shared" si="30"/>
        <v>III</v>
      </c>
      <c r="S902">
        <f t="shared" si="31"/>
        <v>0.50212958333333324</v>
      </c>
    </row>
    <row r="903" spans="1:19">
      <c r="A903">
        <v>1071</v>
      </c>
      <c r="B903" t="s">
        <v>76</v>
      </c>
      <c r="C903">
        <v>0.375</v>
      </c>
      <c r="D903">
        <v>0.27500000000000002</v>
      </c>
      <c r="E903">
        <v>0.1</v>
      </c>
      <c r="F903">
        <v>0.23250000000000001</v>
      </c>
      <c r="G903">
        <v>0.11650000000000001</v>
      </c>
      <c r="H903">
        <v>4.2000000000000003E-2</v>
      </c>
      <c r="I903">
        <v>6.5000000000000002E-2</v>
      </c>
      <c r="J903">
        <v>6</v>
      </c>
      <c r="K903">
        <v>6</v>
      </c>
      <c r="L903" t="s">
        <v>46</v>
      </c>
      <c r="M903" t="s">
        <v>47</v>
      </c>
      <c r="N903" t="s">
        <v>48</v>
      </c>
      <c r="O903">
        <v>5</v>
      </c>
      <c r="P903" t="s">
        <v>12</v>
      </c>
      <c r="Q903">
        <v>12.8</v>
      </c>
      <c r="R903" t="str">
        <f t="shared" si="30"/>
        <v>II</v>
      </c>
      <c r="S903">
        <f t="shared" si="31"/>
        <v>7.5950000000000017E-2</v>
      </c>
    </row>
    <row r="904" spans="1:19">
      <c r="A904">
        <v>915</v>
      </c>
      <c r="B904" t="s">
        <v>76</v>
      </c>
      <c r="C904">
        <v>0.37</v>
      </c>
      <c r="D904">
        <v>0.28000000000000003</v>
      </c>
      <c r="E904">
        <v>9.5000000000000001E-2</v>
      </c>
      <c r="F904">
        <v>0.28649999999999998</v>
      </c>
      <c r="G904">
        <v>0.15049999999999999</v>
      </c>
      <c r="H904">
        <v>6.9000000000000006E-2</v>
      </c>
      <c r="I904">
        <v>7.9500000000000001E-2</v>
      </c>
      <c r="J904">
        <v>7</v>
      </c>
      <c r="K904">
        <v>12</v>
      </c>
      <c r="L904" t="s">
        <v>58</v>
      </c>
      <c r="M904" t="s">
        <v>59</v>
      </c>
      <c r="N904" t="s">
        <v>45</v>
      </c>
      <c r="O904">
        <v>1</v>
      </c>
      <c r="P904" t="s">
        <v>4</v>
      </c>
      <c r="Q904">
        <v>22.1</v>
      </c>
      <c r="R904" t="str">
        <f t="shared" si="30"/>
        <v>II</v>
      </c>
      <c r="S904">
        <f t="shared" si="31"/>
        <v>9.3398999999999996E-2</v>
      </c>
    </row>
    <row r="905" spans="1:19">
      <c r="A905">
        <v>1320</v>
      </c>
      <c r="B905" t="s">
        <v>76</v>
      </c>
      <c r="C905">
        <v>0.55500000000000005</v>
      </c>
      <c r="D905">
        <v>0.42499999999999999</v>
      </c>
      <c r="E905">
        <v>0.14499999999999999</v>
      </c>
      <c r="F905">
        <v>0.79049999999999998</v>
      </c>
      <c r="G905">
        <v>0.34849999999999998</v>
      </c>
      <c r="H905">
        <v>0.17649999999999999</v>
      </c>
      <c r="I905">
        <v>0.22500000000000001</v>
      </c>
      <c r="J905">
        <v>9</v>
      </c>
      <c r="K905">
        <v>2</v>
      </c>
      <c r="L905" t="s">
        <v>49</v>
      </c>
      <c r="M905" t="s">
        <v>50</v>
      </c>
      <c r="N905" t="s">
        <v>51</v>
      </c>
      <c r="O905">
        <v>8</v>
      </c>
      <c r="P905" t="s">
        <v>13</v>
      </c>
      <c r="Q905">
        <v>12.3</v>
      </c>
      <c r="R905" t="str">
        <f t="shared" si="30"/>
        <v>II</v>
      </c>
      <c r="S905">
        <f t="shared" si="31"/>
        <v>0.29775499999999999</v>
      </c>
    </row>
    <row r="906" spans="1:19">
      <c r="A906">
        <v>789</v>
      </c>
      <c r="B906" t="s">
        <v>76</v>
      </c>
      <c r="C906">
        <v>0.505</v>
      </c>
      <c r="D906">
        <v>0.39</v>
      </c>
      <c r="E906">
        <v>0.16</v>
      </c>
      <c r="F906">
        <v>0.64400000000000002</v>
      </c>
      <c r="G906">
        <v>0.2475</v>
      </c>
      <c r="H906">
        <v>0.20250000000000001</v>
      </c>
      <c r="I906">
        <v>0.16350000000000001</v>
      </c>
      <c r="J906">
        <v>9</v>
      </c>
      <c r="K906">
        <v>15</v>
      </c>
      <c r="L906" t="s">
        <v>60</v>
      </c>
      <c r="M906" t="s">
        <v>61</v>
      </c>
      <c r="N906" t="s">
        <v>45</v>
      </c>
      <c r="O906">
        <v>7</v>
      </c>
      <c r="P906" t="s">
        <v>6</v>
      </c>
      <c r="Q906">
        <v>2.5</v>
      </c>
      <c r="R906" t="str">
        <f t="shared" si="30"/>
        <v>II</v>
      </c>
      <c r="S906">
        <f t="shared" si="31"/>
        <v>0.2365626666666667</v>
      </c>
    </row>
    <row r="907" spans="1:19">
      <c r="A907">
        <v>1614</v>
      </c>
      <c r="B907" t="s">
        <v>76</v>
      </c>
      <c r="C907">
        <v>0.55000000000000004</v>
      </c>
      <c r="D907">
        <v>0.42</v>
      </c>
      <c r="E907">
        <v>0.13500000000000001</v>
      </c>
      <c r="F907">
        <v>0.81599999999999995</v>
      </c>
      <c r="G907">
        <v>0.39950000000000002</v>
      </c>
      <c r="H907">
        <v>0.14849999999999999</v>
      </c>
      <c r="I907">
        <v>0.23</v>
      </c>
      <c r="J907">
        <v>12</v>
      </c>
      <c r="K907">
        <v>5</v>
      </c>
      <c r="L907" t="s">
        <v>67</v>
      </c>
      <c r="M907" t="s">
        <v>68</v>
      </c>
      <c r="N907" t="s">
        <v>69</v>
      </c>
      <c r="O907">
        <v>7</v>
      </c>
      <c r="P907" t="s">
        <v>6</v>
      </c>
      <c r="Q907">
        <v>2.5</v>
      </c>
      <c r="R907" t="str">
        <f t="shared" si="30"/>
        <v>II</v>
      </c>
      <c r="S907">
        <f t="shared" si="31"/>
        <v>0.30518399999999996</v>
      </c>
    </row>
    <row r="908" spans="1:19">
      <c r="A908">
        <v>1995</v>
      </c>
      <c r="B908" t="s">
        <v>76</v>
      </c>
      <c r="C908">
        <v>0.28999999999999998</v>
      </c>
      <c r="D908">
        <v>0.21</v>
      </c>
      <c r="E908">
        <v>6.5000000000000002E-2</v>
      </c>
      <c r="F908">
        <v>9.7000000000000003E-2</v>
      </c>
      <c r="G908">
        <v>3.7499999999999999E-2</v>
      </c>
      <c r="H908">
        <v>2.1999999999999999E-2</v>
      </c>
      <c r="I908">
        <v>0.03</v>
      </c>
      <c r="J908">
        <v>6</v>
      </c>
      <c r="K908">
        <v>2</v>
      </c>
      <c r="L908" t="s">
        <v>49</v>
      </c>
      <c r="M908" t="s">
        <v>50</v>
      </c>
      <c r="N908" t="s">
        <v>51</v>
      </c>
      <c r="O908">
        <v>10</v>
      </c>
      <c r="P908" t="s">
        <v>11</v>
      </c>
      <c r="Q908">
        <v>24.1</v>
      </c>
      <c r="R908" t="str">
        <f t="shared" si="30"/>
        <v>II</v>
      </c>
      <c r="S908">
        <f t="shared" si="31"/>
        <v>2.9294000000000001E-2</v>
      </c>
    </row>
    <row r="909" spans="1:19">
      <c r="A909">
        <v>2071</v>
      </c>
      <c r="B909" t="s">
        <v>76</v>
      </c>
      <c r="C909">
        <v>0.55000000000000004</v>
      </c>
      <c r="D909">
        <v>0.42</v>
      </c>
      <c r="E909">
        <v>0.115</v>
      </c>
      <c r="F909">
        <v>0.66800000000000004</v>
      </c>
      <c r="G909">
        <v>0.29249999999999998</v>
      </c>
      <c r="H909">
        <v>0.13700000000000001</v>
      </c>
      <c r="I909">
        <v>0.20899999999999999</v>
      </c>
      <c r="J909">
        <v>11</v>
      </c>
      <c r="K909">
        <v>11</v>
      </c>
      <c r="L909" t="s">
        <v>65</v>
      </c>
      <c r="M909" t="s">
        <v>66</v>
      </c>
      <c r="N909" t="s">
        <v>45</v>
      </c>
      <c r="O909">
        <v>3</v>
      </c>
      <c r="P909" t="s">
        <v>10</v>
      </c>
      <c r="Q909">
        <v>3.6</v>
      </c>
      <c r="R909" t="str">
        <f t="shared" si="30"/>
        <v>II</v>
      </c>
      <c r="S909">
        <f t="shared" si="31"/>
        <v>0.24805066666666664</v>
      </c>
    </row>
    <row r="910" spans="1:19">
      <c r="A910">
        <v>3484</v>
      </c>
      <c r="B910" t="s">
        <v>76</v>
      </c>
      <c r="C910">
        <v>0.47</v>
      </c>
      <c r="D910">
        <v>0.35499999999999998</v>
      </c>
      <c r="E910">
        <v>0.115</v>
      </c>
      <c r="F910">
        <v>0.41549999999999998</v>
      </c>
      <c r="G910">
        <v>0.16700000000000001</v>
      </c>
      <c r="H910">
        <v>8.4000000000000005E-2</v>
      </c>
      <c r="I910">
        <v>0.13900000000000001</v>
      </c>
      <c r="J910">
        <v>7</v>
      </c>
      <c r="K910">
        <v>7</v>
      </c>
      <c r="L910" t="s">
        <v>62</v>
      </c>
      <c r="M910" t="s">
        <v>63</v>
      </c>
      <c r="N910" t="s">
        <v>64</v>
      </c>
      <c r="O910">
        <v>8</v>
      </c>
      <c r="P910" t="s">
        <v>13</v>
      </c>
      <c r="Q910">
        <v>12.3</v>
      </c>
      <c r="R910" t="str">
        <f t="shared" si="30"/>
        <v>II</v>
      </c>
      <c r="S910">
        <f t="shared" si="31"/>
        <v>0.146256</v>
      </c>
    </row>
    <row r="911" spans="1:19">
      <c r="A911">
        <v>2770</v>
      </c>
      <c r="B911" t="s">
        <v>76</v>
      </c>
      <c r="C911">
        <v>0.56499999999999995</v>
      </c>
      <c r="D911">
        <v>0.43</v>
      </c>
      <c r="E911">
        <v>0.15</v>
      </c>
      <c r="F911">
        <v>0.82150000000000001</v>
      </c>
      <c r="G911">
        <v>0.33200000000000002</v>
      </c>
      <c r="H911">
        <v>0.16850000000000001</v>
      </c>
      <c r="I911">
        <v>0.28999999999999998</v>
      </c>
      <c r="J911">
        <v>11</v>
      </c>
      <c r="K911">
        <v>3</v>
      </c>
      <c r="L911" t="s">
        <v>52</v>
      </c>
      <c r="M911" t="s">
        <v>53</v>
      </c>
      <c r="N911" t="s">
        <v>54</v>
      </c>
      <c r="O911">
        <v>10</v>
      </c>
      <c r="P911" t="s">
        <v>11</v>
      </c>
      <c r="Q911">
        <v>24.1</v>
      </c>
      <c r="R911" t="str">
        <f t="shared" si="30"/>
        <v>II</v>
      </c>
      <c r="S911">
        <f t="shared" si="31"/>
        <v>0.31162233333333339</v>
      </c>
    </row>
    <row r="912" spans="1:19">
      <c r="A912">
        <v>8</v>
      </c>
      <c r="B912" t="s">
        <v>76</v>
      </c>
      <c r="C912">
        <v>0.54500000000000004</v>
      </c>
      <c r="D912">
        <v>0.42499999999999999</v>
      </c>
      <c r="E912">
        <v>0.125</v>
      </c>
      <c r="F912">
        <v>0.76800000000000002</v>
      </c>
      <c r="G912">
        <v>0.29399999999999998</v>
      </c>
      <c r="H912">
        <v>0.14949999999999999</v>
      </c>
      <c r="I912">
        <v>0.26</v>
      </c>
      <c r="J912">
        <v>16</v>
      </c>
      <c r="K912">
        <v>4</v>
      </c>
      <c r="L912" t="s">
        <v>40</v>
      </c>
      <c r="M912" t="s">
        <v>41</v>
      </c>
      <c r="N912" t="s">
        <v>42</v>
      </c>
      <c r="O912">
        <v>8</v>
      </c>
      <c r="P912" t="s">
        <v>13</v>
      </c>
      <c r="Q912">
        <v>12.3</v>
      </c>
      <c r="R912" t="str">
        <f t="shared" si="30"/>
        <v>II</v>
      </c>
      <c r="S912">
        <f t="shared" si="31"/>
        <v>0.28620800000000002</v>
      </c>
    </row>
    <row r="913" spans="1:19">
      <c r="A913">
        <v>2827</v>
      </c>
      <c r="B913" t="s">
        <v>76</v>
      </c>
      <c r="C913">
        <v>0.5</v>
      </c>
      <c r="D913">
        <v>0.36499999999999999</v>
      </c>
      <c r="E913">
        <v>0.13</v>
      </c>
      <c r="F913">
        <v>0.59450000000000003</v>
      </c>
      <c r="G913">
        <v>0.309</v>
      </c>
      <c r="H913">
        <v>0.1085</v>
      </c>
      <c r="I913">
        <v>0.1535</v>
      </c>
      <c r="J913">
        <v>9</v>
      </c>
      <c r="K913">
        <v>3</v>
      </c>
      <c r="L913" t="s">
        <v>52</v>
      </c>
      <c r="M913" t="s">
        <v>53</v>
      </c>
      <c r="N913" t="s">
        <v>54</v>
      </c>
      <c r="O913">
        <v>1</v>
      </c>
      <c r="P913" t="s">
        <v>4</v>
      </c>
      <c r="Q913">
        <v>22.1</v>
      </c>
      <c r="R913" t="str">
        <f t="shared" si="30"/>
        <v>II</v>
      </c>
      <c r="S913">
        <f t="shared" si="31"/>
        <v>0.21362366666666666</v>
      </c>
    </row>
    <row r="914" spans="1:19">
      <c r="A914">
        <v>2503</v>
      </c>
      <c r="B914" t="s">
        <v>76</v>
      </c>
      <c r="C914">
        <v>0.28499999999999998</v>
      </c>
      <c r="D914">
        <v>0.21</v>
      </c>
      <c r="E914">
        <v>7.0000000000000007E-2</v>
      </c>
      <c r="F914">
        <v>0.109</v>
      </c>
      <c r="G914">
        <v>4.3999999999999997E-2</v>
      </c>
      <c r="H914">
        <v>2.6499999999999999E-2</v>
      </c>
      <c r="I914">
        <v>3.3000000000000002E-2</v>
      </c>
      <c r="J914">
        <v>5</v>
      </c>
      <c r="K914">
        <v>5</v>
      </c>
      <c r="L914" t="s">
        <v>67</v>
      </c>
      <c r="M914" t="s">
        <v>68</v>
      </c>
      <c r="N914" t="s">
        <v>69</v>
      </c>
      <c r="O914">
        <v>8</v>
      </c>
      <c r="P914" t="s">
        <v>13</v>
      </c>
      <c r="Q914">
        <v>12.3</v>
      </c>
      <c r="R914" t="str">
        <f t="shared" si="30"/>
        <v>II</v>
      </c>
      <c r="S914">
        <f t="shared" si="31"/>
        <v>3.2918000000000003E-2</v>
      </c>
    </row>
    <row r="915" spans="1:19">
      <c r="A915">
        <v>977</v>
      </c>
      <c r="B915" t="s">
        <v>76</v>
      </c>
      <c r="C915">
        <v>0.53</v>
      </c>
      <c r="D915">
        <v>0.40500000000000003</v>
      </c>
      <c r="E915">
        <v>0.125</v>
      </c>
      <c r="F915">
        <v>0.65149999999999997</v>
      </c>
      <c r="G915">
        <v>0.27150000000000002</v>
      </c>
      <c r="H915">
        <v>0.1605</v>
      </c>
      <c r="I915">
        <v>0.186</v>
      </c>
      <c r="J915">
        <v>7</v>
      </c>
      <c r="K915">
        <v>10</v>
      </c>
      <c r="L915" t="s">
        <v>37</v>
      </c>
      <c r="M915" t="s">
        <v>38</v>
      </c>
      <c r="N915" t="s">
        <v>39</v>
      </c>
      <c r="O915">
        <v>10</v>
      </c>
      <c r="P915" t="s">
        <v>11</v>
      </c>
      <c r="Q915">
        <v>24.1</v>
      </c>
      <c r="R915" t="str">
        <f t="shared" si="30"/>
        <v>II</v>
      </c>
      <c r="S915">
        <f t="shared" si="31"/>
        <v>0.23975200000000002</v>
      </c>
    </row>
    <row r="916" spans="1:19">
      <c r="A916">
        <v>2897</v>
      </c>
      <c r="B916" t="s">
        <v>76</v>
      </c>
      <c r="C916">
        <v>0.54500000000000004</v>
      </c>
      <c r="D916">
        <v>0.43</v>
      </c>
      <c r="E916">
        <v>0.13</v>
      </c>
      <c r="F916">
        <v>0.75949999999999995</v>
      </c>
      <c r="G916">
        <v>0.35799999999999998</v>
      </c>
      <c r="H916">
        <v>0.153</v>
      </c>
      <c r="I916">
        <v>0.20549999999999999</v>
      </c>
      <c r="J916">
        <v>8</v>
      </c>
      <c r="K916">
        <v>14</v>
      </c>
      <c r="L916" t="s">
        <v>72</v>
      </c>
      <c r="M916" t="s">
        <v>73</v>
      </c>
      <c r="N916" t="s">
        <v>74</v>
      </c>
      <c r="O916">
        <v>4</v>
      </c>
      <c r="P916" t="s">
        <v>8</v>
      </c>
      <c r="Q916">
        <v>6.1</v>
      </c>
      <c r="R916" t="str">
        <f t="shared" si="30"/>
        <v>II</v>
      </c>
      <c r="S916">
        <f t="shared" si="31"/>
        <v>0.28405300000000006</v>
      </c>
    </row>
    <row r="917" spans="1:19">
      <c r="A917">
        <v>3882</v>
      </c>
      <c r="B917" t="s">
        <v>76</v>
      </c>
      <c r="C917">
        <v>0.56499999999999995</v>
      </c>
      <c r="D917">
        <v>0.45500000000000002</v>
      </c>
      <c r="E917">
        <v>0.13</v>
      </c>
      <c r="F917">
        <v>1.0580000000000001</v>
      </c>
      <c r="G917">
        <v>0.439</v>
      </c>
      <c r="H917">
        <v>0.26450000000000001</v>
      </c>
      <c r="I917">
        <v>0.3</v>
      </c>
      <c r="J917">
        <v>10</v>
      </c>
      <c r="K917">
        <v>12</v>
      </c>
      <c r="L917" t="s">
        <v>58</v>
      </c>
      <c r="M917" t="s">
        <v>59</v>
      </c>
      <c r="N917" t="s">
        <v>45</v>
      </c>
      <c r="O917">
        <v>6</v>
      </c>
      <c r="P917" t="s">
        <v>7</v>
      </c>
      <c r="Q917">
        <v>14.1</v>
      </c>
      <c r="R917" t="str">
        <f t="shared" si="30"/>
        <v>III</v>
      </c>
      <c r="S917">
        <f t="shared" si="31"/>
        <v>0.50255000000000005</v>
      </c>
    </row>
    <row r="918" spans="1:19">
      <c r="A918">
        <v>504</v>
      </c>
      <c r="B918" t="s">
        <v>76</v>
      </c>
      <c r="C918">
        <v>0.6</v>
      </c>
      <c r="D918">
        <v>0.505</v>
      </c>
      <c r="E918">
        <v>0.19</v>
      </c>
      <c r="F918">
        <v>1.129</v>
      </c>
      <c r="G918">
        <v>0.4385</v>
      </c>
      <c r="H918">
        <v>0.25600000000000001</v>
      </c>
      <c r="I918">
        <v>0.36</v>
      </c>
      <c r="J918">
        <v>13</v>
      </c>
      <c r="K918">
        <v>15</v>
      </c>
      <c r="L918" t="s">
        <v>60</v>
      </c>
      <c r="M918" t="s">
        <v>61</v>
      </c>
      <c r="N918" t="s">
        <v>45</v>
      </c>
      <c r="O918">
        <v>7</v>
      </c>
      <c r="P918" t="s">
        <v>6</v>
      </c>
      <c r="Q918">
        <v>2.5</v>
      </c>
      <c r="R918" t="str">
        <f t="shared" si="30"/>
        <v>III</v>
      </c>
      <c r="S918">
        <f t="shared" si="31"/>
        <v>0.5635591666666665</v>
      </c>
    </row>
    <row r="919" spans="1:19">
      <c r="A919">
        <v>2507</v>
      </c>
      <c r="B919" t="s">
        <v>76</v>
      </c>
      <c r="C919">
        <v>0.375</v>
      </c>
      <c r="D919">
        <v>0.3</v>
      </c>
      <c r="E919">
        <v>7.4999999999999997E-2</v>
      </c>
      <c r="F919">
        <v>0.14399999999999999</v>
      </c>
      <c r="G919">
        <v>5.8999999999999997E-2</v>
      </c>
      <c r="H919">
        <v>0.03</v>
      </c>
      <c r="I919">
        <v>4.3999999999999997E-2</v>
      </c>
      <c r="J919">
        <v>7</v>
      </c>
      <c r="K919">
        <v>3</v>
      </c>
      <c r="L919" t="s">
        <v>52</v>
      </c>
      <c r="M919" t="s">
        <v>53</v>
      </c>
      <c r="N919" t="s">
        <v>54</v>
      </c>
      <c r="O919">
        <v>8</v>
      </c>
      <c r="P919" t="s">
        <v>13</v>
      </c>
      <c r="Q919">
        <v>12.3</v>
      </c>
      <c r="R919" t="str">
        <f t="shared" si="30"/>
        <v>II</v>
      </c>
      <c r="S919">
        <f t="shared" si="31"/>
        <v>4.7039999999999998E-2</v>
      </c>
    </row>
    <row r="920" spans="1:19">
      <c r="A920">
        <v>1062</v>
      </c>
      <c r="B920" t="s">
        <v>76</v>
      </c>
      <c r="C920">
        <v>0.27500000000000002</v>
      </c>
      <c r="D920">
        <v>0.19500000000000001</v>
      </c>
      <c r="E920">
        <v>6.5000000000000002E-2</v>
      </c>
      <c r="F920">
        <v>0.106</v>
      </c>
      <c r="G920">
        <v>5.3999999999999999E-2</v>
      </c>
      <c r="H920">
        <v>0.02</v>
      </c>
      <c r="I920">
        <v>2.8000000000000001E-2</v>
      </c>
      <c r="J920">
        <v>6</v>
      </c>
      <c r="K920">
        <v>10</v>
      </c>
      <c r="L920" t="s">
        <v>37</v>
      </c>
      <c r="M920" t="s">
        <v>38</v>
      </c>
      <c r="N920" t="s">
        <v>39</v>
      </c>
      <c r="O920">
        <v>4</v>
      </c>
      <c r="P920" t="s">
        <v>8</v>
      </c>
      <c r="Q920">
        <v>6.1</v>
      </c>
      <c r="R920" t="str">
        <f t="shared" si="30"/>
        <v>II</v>
      </c>
      <c r="S920">
        <f t="shared" si="31"/>
        <v>3.1587999999999998E-2</v>
      </c>
    </row>
    <row r="921" spans="1:19">
      <c r="A921">
        <v>476</v>
      </c>
      <c r="B921" t="s">
        <v>76</v>
      </c>
      <c r="C921">
        <v>0.53</v>
      </c>
      <c r="D921">
        <v>0.41499999999999998</v>
      </c>
      <c r="E921">
        <v>0.17499999999999999</v>
      </c>
      <c r="F921">
        <v>0.73950000000000005</v>
      </c>
      <c r="G921">
        <v>0.26100000000000001</v>
      </c>
      <c r="H921">
        <v>0.13950000000000001</v>
      </c>
      <c r="I921">
        <v>0.26450000000000001</v>
      </c>
      <c r="J921">
        <v>17</v>
      </c>
      <c r="K921">
        <v>13</v>
      </c>
      <c r="L921" t="s">
        <v>43</v>
      </c>
      <c r="M921" t="s">
        <v>44</v>
      </c>
      <c r="N921" t="s">
        <v>45</v>
      </c>
      <c r="O921">
        <v>6</v>
      </c>
      <c r="P921" t="s">
        <v>7</v>
      </c>
      <c r="Q921">
        <v>14.1</v>
      </c>
      <c r="R921" t="str">
        <f t="shared" si="30"/>
        <v>II</v>
      </c>
      <c r="S921">
        <f t="shared" si="31"/>
        <v>0.27805200000000002</v>
      </c>
    </row>
    <row r="922" spans="1:19">
      <c r="A922">
        <v>600</v>
      </c>
      <c r="B922" t="s">
        <v>76</v>
      </c>
      <c r="C922">
        <v>0.56000000000000005</v>
      </c>
      <c r="D922">
        <v>0.44500000000000001</v>
      </c>
      <c r="E922">
        <v>0.19500000000000001</v>
      </c>
      <c r="F922">
        <v>0.98099999999999998</v>
      </c>
      <c r="G922">
        <v>0.30499999999999999</v>
      </c>
      <c r="H922">
        <v>0.22450000000000001</v>
      </c>
      <c r="I922">
        <v>0.33500000000000002</v>
      </c>
      <c r="J922">
        <v>16</v>
      </c>
      <c r="K922">
        <v>4</v>
      </c>
      <c r="L922" t="s">
        <v>40</v>
      </c>
      <c r="M922" t="s">
        <v>41</v>
      </c>
      <c r="N922" t="s">
        <v>42</v>
      </c>
      <c r="O922">
        <v>5</v>
      </c>
      <c r="P922" t="s">
        <v>12</v>
      </c>
      <c r="Q922">
        <v>12.8</v>
      </c>
      <c r="R922" t="str">
        <f t="shared" si="30"/>
        <v>II</v>
      </c>
      <c r="S922">
        <f t="shared" si="31"/>
        <v>0.37931999999999999</v>
      </c>
    </row>
    <row r="923" spans="1:19">
      <c r="A923">
        <v>2930</v>
      </c>
      <c r="B923" t="s">
        <v>76</v>
      </c>
      <c r="C923">
        <v>0.61</v>
      </c>
      <c r="D923">
        <v>0.49</v>
      </c>
      <c r="E923">
        <v>0.16</v>
      </c>
      <c r="F923">
        <v>1.1545000000000001</v>
      </c>
      <c r="G923">
        <v>0.58650000000000002</v>
      </c>
      <c r="H923">
        <v>0.23849999999999999</v>
      </c>
      <c r="I923">
        <v>0.29149999999999998</v>
      </c>
      <c r="J923">
        <v>11</v>
      </c>
      <c r="K923">
        <v>6</v>
      </c>
      <c r="L923" t="s">
        <v>46</v>
      </c>
      <c r="M923" t="s">
        <v>47</v>
      </c>
      <c r="N923" t="s">
        <v>48</v>
      </c>
      <c r="O923">
        <v>1</v>
      </c>
      <c r="P923" t="s">
        <v>4</v>
      </c>
      <c r="Q923">
        <v>22.1</v>
      </c>
      <c r="R923" t="str">
        <f t="shared" si="30"/>
        <v>I</v>
      </c>
      <c r="S923">
        <f t="shared" si="31"/>
        <v>0.85433000000000003</v>
      </c>
    </row>
    <row r="924" spans="1:19">
      <c r="A924">
        <v>1879</v>
      </c>
      <c r="B924" t="s">
        <v>76</v>
      </c>
      <c r="C924">
        <v>0.54500000000000004</v>
      </c>
      <c r="D924">
        <v>0.42499999999999999</v>
      </c>
      <c r="E924">
        <v>0.14000000000000001</v>
      </c>
      <c r="F924">
        <v>0.8145</v>
      </c>
      <c r="G924">
        <v>0.30499999999999999</v>
      </c>
      <c r="H924">
        <v>0.23100000000000001</v>
      </c>
      <c r="I924">
        <v>0.24399999999999999</v>
      </c>
      <c r="J924">
        <v>10</v>
      </c>
      <c r="K924">
        <v>12</v>
      </c>
      <c r="L924" t="s">
        <v>58</v>
      </c>
      <c r="M924" t="s">
        <v>59</v>
      </c>
      <c r="N924" t="s">
        <v>45</v>
      </c>
      <c r="O924">
        <v>5</v>
      </c>
      <c r="P924" t="s">
        <v>12</v>
      </c>
      <c r="Q924">
        <v>12.8</v>
      </c>
      <c r="R924" t="str">
        <f t="shared" si="30"/>
        <v>II</v>
      </c>
      <c r="S924">
        <f t="shared" si="31"/>
        <v>0.30516600000000005</v>
      </c>
    </row>
    <row r="925" spans="1:19">
      <c r="A925">
        <v>1389</v>
      </c>
      <c r="B925" t="s">
        <v>76</v>
      </c>
      <c r="C925">
        <v>0.63</v>
      </c>
      <c r="D925">
        <v>0.495</v>
      </c>
      <c r="E925">
        <v>0.16</v>
      </c>
      <c r="F925">
        <v>1.093</v>
      </c>
      <c r="G925">
        <v>0.497</v>
      </c>
      <c r="H925">
        <v>0.221</v>
      </c>
      <c r="I925">
        <v>0.315</v>
      </c>
      <c r="J925">
        <v>12</v>
      </c>
      <c r="K925">
        <v>5</v>
      </c>
      <c r="L925" t="s">
        <v>67</v>
      </c>
      <c r="M925" t="s">
        <v>68</v>
      </c>
      <c r="N925" t="s">
        <v>69</v>
      </c>
      <c r="O925">
        <v>10</v>
      </c>
      <c r="P925" t="s">
        <v>11</v>
      </c>
      <c r="Q925">
        <v>24.1</v>
      </c>
      <c r="R925" t="str">
        <f t="shared" si="30"/>
        <v>III</v>
      </c>
      <c r="S925">
        <f t="shared" si="31"/>
        <v>0.54376750000000007</v>
      </c>
    </row>
    <row r="926" spans="1:19">
      <c r="A926">
        <v>2671</v>
      </c>
      <c r="B926" t="s">
        <v>76</v>
      </c>
      <c r="C926">
        <v>0.59</v>
      </c>
      <c r="D926">
        <v>0.46</v>
      </c>
      <c r="E926">
        <v>0.14000000000000001</v>
      </c>
      <c r="F926">
        <v>1.004</v>
      </c>
      <c r="G926">
        <v>0.496</v>
      </c>
      <c r="H926">
        <v>0.2165</v>
      </c>
      <c r="I926">
        <v>0.26</v>
      </c>
      <c r="J926">
        <v>9</v>
      </c>
      <c r="K926">
        <v>10</v>
      </c>
      <c r="L926" t="s">
        <v>37</v>
      </c>
      <c r="M926" t="s">
        <v>38</v>
      </c>
      <c r="N926" t="s">
        <v>39</v>
      </c>
      <c r="O926">
        <v>5</v>
      </c>
      <c r="P926" t="s">
        <v>12</v>
      </c>
      <c r="Q926">
        <v>12.8</v>
      </c>
      <c r="R926" t="str">
        <f t="shared" si="30"/>
        <v>III</v>
      </c>
      <c r="S926">
        <f t="shared" si="31"/>
        <v>0.48359333333333338</v>
      </c>
    </row>
    <row r="927" spans="1:19">
      <c r="A927">
        <v>2781</v>
      </c>
      <c r="B927" t="s">
        <v>76</v>
      </c>
      <c r="C927">
        <v>0.59</v>
      </c>
      <c r="D927">
        <v>0.47499999999999998</v>
      </c>
      <c r="E927">
        <v>0.14000000000000001</v>
      </c>
      <c r="F927">
        <v>0.97699999999999998</v>
      </c>
      <c r="G927">
        <v>0.46250000000000002</v>
      </c>
      <c r="H927">
        <v>0.20250000000000001</v>
      </c>
      <c r="I927">
        <v>0.27500000000000002</v>
      </c>
      <c r="J927">
        <v>10</v>
      </c>
      <c r="K927">
        <v>5</v>
      </c>
      <c r="L927" t="s">
        <v>67</v>
      </c>
      <c r="M927" t="s">
        <v>68</v>
      </c>
      <c r="N927" t="s">
        <v>69</v>
      </c>
      <c r="O927">
        <v>9</v>
      </c>
      <c r="P927" t="s">
        <v>9</v>
      </c>
      <c r="Q927">
        <v>1.9</v>
      </c>
      <c r="R927" t="str">
        <f t="shared" si="30"/>
        <v>III</v>
      </c>
      <c r="S927">
        <f t="shared" si="31"/>
        <v>0.47303083333333329</v>
      </c>
    </row>
    <row r="928" spans="1:19">
      <c r="A928">
        <v>1900</v>
      </c>
      <c r="B928" t="s">
        <v>76</v>
      </c>
      <c r="C928">
        <v>0.57499999999999996</v>
      </c>
      <c r="D928">
        <v>0.45</v>
      </c>
      <c r="E928">
        <v>0.13</v>
      </c>
      <c r="F928">
        <v>0.78500000000000003</v>
      </c>
      <c r="G928">
        <v>0.318</v>
      </c>
      <c r="H928">
        <v>0.193</v>
      </c>
      <c r="I928">
        <v>0.22650000000000001</v>
      </c>
      <c r="J928">
        <v>9</v>
      </c>
      <c r="K928">
        <v>8</v>
      </c>
      <c r="L928" t="s">
        <v>55</v>
      </c>
      <c r="M928" t="s">
        <v>56</v>
      </c>
      <c r="N928" t="s">
        <v>57</v>
      </c>
      <c r="O928">
        <v>3</v>
      </c>
      <c r="P928" t="s">
        <v>10</v>
      </c>
      <c r="Q928">
        <v>3.6</v>
      </c>
      <c r="R928" t="str">
        <f t="shared" si="30"/>
        <v>II</v>
      </c>
      <c r="S928">
        <f t="shared" si="31"/>
        <v>0.29882333333333333</v>
      </c>
    </row>
    <row r="929" spans="1:19">
      <c r="A929">
        <v>2846</v>
      </c>
      <c r="B929" t="s">
        <v>76</v>
      </c>
      <c r="C929">
        <v>0.62</v>
      </c>
      <c r="D929">
        <v>0.48</v>
      </c>
      <c r="E929">
        <v>0.17</v>
      </c>
      <c r="F929">
        <v>1.1045</v>
      </c>
      <c r="G929">
        <v>0.53500000000000003</v>
      </c>
      <c r="H929">
        <v>0.25</v>
      </c>
      <c r="I929">
        <v>0.28699999999999998</v>
      </c>
      <c r="J929">
        <v>10</v>
      </c>
      <c r="K929">
        <v>1</v>
      </c>
      <c r="L929" t="s">
        <v>70</v>
      </c>
      <c r="M929" t="s">
        <v>71</v>
      </c>
      <c r="N929" t="s">
        <v>45</v>
      </c>
      <c r="O929">
        <v>10</v>
      </c>
      <c r="P929" t="s">
        <v>11</v>
      </c>
      <c r="Q929">
        <v>24.1</v>
      </c>
      <c r="R929" t="str">
        <f t="shared" si="30"/>
        <v>I</v>
      </c>
      <c r="S929">
        <f t="shared" si="31"/>
        <v>0.82009125000000005</v>
      </c>
    </row>
    <row r="930" spans="1:19">
      <c r="A930">
        <v>3905</v>
      </c>
      <c r="B930" t="s">
        <v>76</v>
      </c>
      <c r="C930">
        <v>0.57499999999999996</v>
      </c>
      <c r="D930">
        <v>0.47</v>
      </c>
      <c r="E930">
        <v>0.16500000000000001</v>
      </c>
      <c r="F930">
        <v>0.85299999999999998</v>
      </c>
      <c r="G930">
        <v>0.29199999999999998</v>
      </c>
      <c r="H930">
        <v>0.17899999999999999</v>
      </c>
      <c r="I930">
        <v>0.35</v>
      </c>
      <c r="J930">
        <v>16</v>
      </c>
      <c r="K930">
        <v>3</v>
      </c>
      <c r="L930" t="s">
        <v>52</v>
      </c>
      <c r="M930" t="s">
        <v>53</v>
      </c>
      <c r="N930" t="s">
        <v>54</v>
      </c>
      <c r="O930">
        <v>7</v>
      </c>
      <c r="P930" t="s">
        <v>6</v>
      </c>
      <c r="Q930">
        <v>2.5</v>
      </c>
      <c r="R930" t="str">
        <f t="shared" si="30"/>
        <v>II</v>
      </c>
      <c r="S930">
        <f t="shared" si="31"/>
        <v>0.33096400000000004</v>
      </c>
    </row>
    <row r="931" spans="1:19">
      <c r="A931">
        <v>2312</v>
      </c>
      <c r="B931" t="s">
        <v>76</v>
      </c>
      <c r="C931">
        <v>0.35</v>
      </c>
      <c r="D931">
        <v>0.26500000000000001</v>
      </c>
      <c r="E931">
        <v>0.11</v>
      </c>
      <c r="F931">
        <v>0.29649999999999999</v>
      </c>
      <c r="G931">
        <v>0.13650000000000001</v>
      </c>
      <c r="H931">
        <v>6.3E-2</v>
      </c>
      <c r="I931">
        <v>8.5000000000000006E-2</v>
      </c>
      <c r="J931">
        <v>7</v>
      </c>
      <c r="K931">
        <v>6</v>
      </c>
      <c r="L931" t="s">
        <v>46</v>
      </c>
      <c r="M931" t="s">
        <v>47</v>
      </c>
      <c r="N931" t="s">
        <v>48</v>
      </c>
      <c r="O931">
        <v>5</v>
      </c>
      <c r="P931" t="s">
        <v>12</v>
      </c>
      <c r="Q931">
        <v>12.8</v>
      </c>
      <c r="R931" t="str">
        <f t="shared" si="30"/>
        <v>II</v>
      </c>
      <c r="S931">
        <f t="shared" si="31"/>
        <v>9.5868333333333333E-2</v>
      </c>
    </row>
    <row r="932" spans="1:19">
      <c r="A932">
        <v>238</v>
      </c>
      <c r="B932" t="s">
        <v>76</v>
      </c>
      <c r="C932">
        <v>0.13</v>
      </c>
      <c r="D932">
        <v>0.1</v>
      </c>
      <c r="E932">
        <v>0.03</v>
      </c>
      <c r="F932">
        <v>1.2999999999999999E-2</v>
      </c>
      <c r="G932">
        <v>4.4999999999999997E-3</v>
      </c>
      <c r="H932">
        <v>3.0000000000000001E-3</v>
      </c>
      <c r="I932">
        <v>4.0000000000000001E-3</v>
      </c>
      <c r="J932">
        <v>3</v>
      </c>
      <c r="K932">
        <v>1</v>
      </c>
      <c r="L932" t="s">
        <v>70</v>
      </c>
      <c r="M932" t="s">
        <v>71</v>
      </c>
      <c r="N932" t="s">
        <v>45</v>
      </c>
      <c r="O932">
        <v>6</v>
      </c>
      <c r="P932" t="s">
        <v>7</v>
      </c>
      <c r="Q932">
        <v>14.1</v>
      </c>
      <c r="R932" t="str">
        <f t="shared" si="30"/>
        <v>II</v>
      </c>
      <c r="S932">
        <f t="shared" si="31"/>
        <v>3.3973333333333338E-3</v>
      </c>
    </row>
    <row r="933" spans="1:19">
      <c r="A933">
        <v>2869</v>
      </c>
      <c r="B933" t="s">
        <v>76</v>
      </c>
      <c r="C933">
        <v>0.33500000000000002</v>
      </c>
      <c r="D933">
        <v>0.26</v>
      </c>
      <c r="E933">
        <v>0.09</v>
      </c>
      <c r="F933">
        <v>0.19650000000000001</v>
      </c>
      <c r="G933">
        <v>8.7499999999999994E-2</v>
      </c>
      <c r="H933">
        <v>4.1000000000000002E-2</v>
      </c>
      <c r="I933">
        <v>5.6000000000000001E-2</v>
      </c>
      <c r="J933">
        <v>7</v>
      </c>
      <c r="K933">
        <v>7</v>
      </c>
      <c r="L933" t="s">
        <v>62</v>
      </c>
      <c r="M933" t="s">
        <v>63</v>
      </c>
      <c r="N933" t="s">
        <v>64</v>
      </c>
      <c r="O933">
        <v>5</v>
      </c>
      <c r="P933" t="s">
        <v>12</v>
      </c>
      <c r="Q933">
        <v>12.8</v>
      </c>
      <c r="R933" t="str">
        <f t="shared" si="30"/>
        <v>II</v>
      </c>
      <c r="S933">
        <f t="shared" si="31"/>
        <v>6.2487000000000008E-2</v>
      </c>
    </row>
    <row r="934" spans="1:19">
      <c r="A934">
        <v>3661</v>
      </c>
      <c r="B934" t="s">
        <v>76</v>
      </c>
      <c r="C934">
        <v>0.54500000000000004</v>
      </c>
      <c r="D934">
        <v>0.41</v>
      </c>
      <c r="E934">
        <v>0.125</v>
      </c>
      <c r="F934">
        <v>0.65400000000000003</v>
      </c>
      <c r="G934">
        <v>0.29449999999999998</v>
      </c>
      <c r="H934">
        <v>0.13150000000000001</v>
      </c>
      <c r="I934">
        <v>0.20499999999999999</v>
      </c>
      <c r="J934">
        <v>10</v>
      </c>
      <c r="K934">
        <v>11</v>
      </c>
      <c r="L934" t="s">
        <v>65</v>
      </c>
      <c r="M934" t="s">
        <v>66</v>
      </c>
      <c r="N934" t="s">
        <v>45</v>
      </c>
      <c r="O934">
        <v>9</v>
      </c>
      <c r="P934" t="s">
        <v>9</v>
      </c>
      <c r="Q934">
        <v>1.9</v>
      </c>
      <c r="R934" t="str">
        <f t="shared" si="30"/>
        <v>II</v>
      </c>
      <c r="S934">
        <f t="shared" si="31"/>
        <v>0.24241600000000008</v>
      </c>
    </row>
    <row r="935" spans="1:19">
      <c r="A935">
        <v>577</v>
      </c>
      <c r="B935" t="s">
        <v>76</v>
      </c>
      <c r="C935">
        <v>0.56000000000000005</v>
      </c>
      <c r="D935">
        <v>0.42499999999999999</v>
      </c>
      <c r="E935">
        <v>0.14000000000000001</v>
      </c>
      <c r="F935">
        <v>0.91749999999999998</v>
      </c>
      <c r="G935">
        <v>0.40050000000000002</v>
      </c>
      <c r="H935">
        <v>0.19750000000000001</v>
      </c>
      <c r="I935">
        <v>0.26</v>
      </c>
      <c r="J935">
        <v>10</v>
      </c>
      <c r="K935">
        <v>5</v>
      </c>
      <c r="L935" t="s">
        <v>67</v>
      </c>
      <c r="M935" t="s">
        <v>68</v>
      </c>
      <c r="N935" t="s">
        <v>69</v>
      </c>
      <c r="O935">
        <v>9</v>
      </c>
      <c r="P935" t="s">
        <v>9</v>
      </c>
      <c r="Q935">
        <v>1.9</v>
      </c>
      <c r="R935" t="str">
        <f t="shared" si="30"/>
        <v>III</v>
      </c>
      <c r="S935">
        <f t="shared" si="31"/>
        <v>0.43198958333333332</v>
      </c>
    </row>
    <row r="936" spans="1:19">
      <c r="A936">
        <v>623</v>
      </c>
      <c r="B936" t="s">
        <v>76</v>
      </c>
      <c r="C936">
        <v>0.5</v>
      </c>
      <c r="D936">
        <v>0.38500000000000001</v>
      </c>
      <c r="E936">
        <v>0.115</v>
      </c>
      <c r="F936">
        <v>0.67849999999999999</v>
      </c>
      <c r="G936">
        <v>0.29449999999999998</v>
      </c>
      <c r="H936">
        <v>0.13800000000000001</v>
      </c>
      <c r="I936">
        <v>0.19500000000000001</v>
      </c>
      <c r="J936">
        <v>12</v>
      </c>
      <c r="K936">
        <v>8</v>
      </c>
      <c r="L936" t="s">
        <v>55</v>
      </c>
      <c r="M936" t="s">
        <v>56</v>
      </c>
      <c r="N936" t="s">
        <v>57</v>
      </c>
      <c r="O936">
        <v>6</v>
      </c>
      <c r="P936" t="s">
        <v>7</v>
      </c>
      <c r="Q936">
        <v>14.1</v>
      </c>
      <c r="R936" t="str">
        <f t="shared" si="30"/>
        <v>II</v>
      </c>
      <c r="S936">
        <f t="shared" si="31"/>
        <v>0.24426000000000003</v>
      </c>
    </row>
    <row r="937" spans="1:19">
      <c r="A937">
        <v>383</v>
      </c>
      <c r="B937" t="s">
        <v>76</v>
      </c>
      <c r="C937">
        <v>0.48499999999999999</v>
      </c>
      <c r="D937">
        <v>0.4</v>
      </c>
      <c r="E937">
        <v>0.13500000000000001</v>
      </c>
      <c r="F937">
        <v>0.66300000000000003</v>
      </c>
      <c r="G937">
        <v>0.313</v>
      </c>
      <c r="H937">
        <v>0.13700000000000001</v>
      </c>
      <c r="I937">
        <v>0.2</v>
      </c>
      <c r="J937">
        <v>10</v>
      </c>
      <c r="K937">
        <v>13</v>
      </c>
      <c r="L937" t="s">
        <v>43</v>
      </c>
      <c r="M937" t="s">
        <v>44</v>
      </c>
      <c r="N937" t="s">
        <v>45</v>
      </c>
      <c r="O937">
        <v>6</v>
      </c>
      <c r="P937" t="s">
        <v>7</v>
      </c>
      <c r="Q937">
        <v>14.1</v>
      </c>
      <c r="R937" t="str">
        <f t="shared" si="30"/>
        <v>II</v>
      </c>
      <c r="S937">
        <f t="shared" si="31"/>
        <v>0.240448</v>
      </c>
    </row>
    <row r="938" spans="1:19">
      <c r="A938">
        <v>273</v>
      </c>
      <c r="B938" t="s">
        <v>76</v>
      </c>
      <c r="C938">
        <v>0.62</v>
      </c>
      <c r="D938">
        <v>0.48499999999999999</v>
      </c>
      <c r="E938">
        <v>0.20499999999999999</v>
      </c>
      <c r="F938">
        <v>1.2190000000000001</v>
      </c>
      <c r="G938">
        <v>0.38750000000000001</v>
      </c>
      <c r="H938">
        <v>0.2505</v>
      </c>
      <c r="I938">
        <v>0.38500000000000001</v>
      </c>
      <c r="J938">
        <v>14</v>
      </c>
      <c r="K938">
        <v>3</v>
      </c>
      <c r="L938" t="s">
        <v>52</v>
      </c>
      <c r="M938" t="s">
        <v>53</v>
      </c>
      <c r="N938" t="s">
        <v>54</v>
      </c>
      <c r="O938">
        <v>10</v>
      </c>
      <c r="P938" t="s">
        <v>11</v>
      </c>
      <c r="Q938">
        <v>24.1</v>
      </c>
      <c r="R938" t="str">
        <f t="shared" si="30"/>
        <v>II</v>
      </c>
      <c r="S938">
        <f t="shared" si="31"/>
        <v>0.48922533333333346</v>
      </c>
    </row>
    <row r="939" spans="1:19">
      <c r="A939">
        <v>1344</v>
      </c>
      <c r="B939" t="s">
        <v>76</v>
      </c>
      <c r="C939">
        <v>0.58499999999999996</v>
      </c>
      <c r="D939">
        <v>0.46</v>
      </c>
      <c r="E939">
        <v>0.16500000000000001</v>
      </c>
      <c r="F939">
        <v>1.1134999999999999</v>
      </c>
      <c r="G939">
        <v>0.58250000000000002</v>
      </c>
      <c r="H939">
        <v>0.23449999999999999</v>
      </c>
      <c r="I939">
        <v>0.27400000000000002</v>
      </c>
      <c r="J939">
        <v>10</v>
      </c>
      <c r="K939">
        <v>7</v>
      </c>
      <c r="L939" t="s">
        <v>62</v>
      </c>
      <c r="M939" t="s">
        <v>63</v>
      </c>
      <c r="N939" t="s">
        <v>64</v>
      </c>
      <c r="O939">
        <v>10</v>
      </c>
      <c r="P939" t="s">
        <v>11</v>
      </c>
      <c r="Q939">
        <v>24.1</v>
      </c>
      <c r="R939" t="str">
        <f t="shared" si="30"/>
        <v>I</v>
      </c>
      <c r="S939">
        <f t="shared" si="31"/>
        <v>0.8100712499999998</v>
      </c>
    </row>
    <row r="940" spans="1:19">
      <c r="A940">
        <v>527</v>
      </c>
      <c r="B940" t="s">
        <v>76</v>
      </c>
      <c r="C940">
        <v>0.155</v>
      </c>
      <c r="D940">
        <v>0.11</v>
      </c>
      <c r="E940">
        <v>0.04</v>
      </c>
      <c r="F940">
        <v>1.55E-2</v>
      </c>
      <c r="G940">
        <v>6.4999999999999997E-3</v>
      </c>
      <c r="H940">
        <v>3.0000000000000001E-3</v>
      </c>
      <c r="I940">
        <v>5.0000000000000001E-3</v>
      </c>
      <c r="J940">
        <v>3</v>
      </c>
      <c r="K940">
        <v>1</v>
      </c>
      <c r="L940" t="s">
        <v>70</v>
      </c>
      <c r="M940" t="s">
        <v>71</v>
      </c>
      <c r="N940" t="s">
        <v>45</v>
      </c>
      <c r="O940">
        <v>10</v>
      </c>
      <c r="P940" t="s">
        <v>11</v>
      </c>
      <c r="Q940">
        <v>24.1</v>
      </c>
      <c r="R940" t="str">
        <f t="shared" si="30"/>
        <v>II</v>
      </c>
      <c r="S940">
        <f t="shared" si="31"/>
        <v>4.1436666666666662E-3</v>
      </c>
    </row>
    <row r="941" spans="1:19">
      <c r="A941">
        <v>3936</v>
      </c>
      <c r="B941" t="s">
        <v>76</v>
      </c>
      <c r="C941">
        <v>0.52</v>
      </c>
      <c r="D941">
        <v>0.41</v>
      </c>
      <c r="E941">
        <v>0.115</v>
      </c>
      <c r="F941">
        <v>0.77</v>
      </c>
      <c r="G941">
        <v>0.26300000000000001</v>
      </c>
      <c r="H941">
        <v>0.157</v>
      </c>
      <c r="I941">
        <v>0.26</v>
      </c>
      <c r="J941">
        <v>11</v>
      </c>
      <c r="K941">
        <v>5</v>
      </c>
      <c r="L941" t="s">
        <v>67</v>
      </c>
      <c r="M941" t="s">
        <v>68</v>
      </c>
      <c r="N941" t="s">
        <v>69</v>
      </c>
      <c r="O941">
        <v>6</v>
      </c>
      <c r="P941" t="s">
        <v>7</v>
      </c>
      <c r="Q941">
        <v>14.1</v>
      </c>
      <c r="R941" t="str">
        <f t="shared" si="30"/>
        <v>II</v>
      </c>
      <c r="S941">
        <f t="shared" si="31"/>
        <v>0.28182000000000001</v>
      </c>
    </row>
    <row r="942" spans="1:19">
      <c r="A942">
        <v>2517</v>
      </c>
      <c r="B942" t="s">
        <v>76</v>
      </c>
      <c r="C942">
        <v>0.47499999999999998</v>
      </c>
      <c r="D942">
        <v>0.36499999999999999</v>
      </c>
      <c r="E942">
        <v>0.12</v>
      </c>
      <c r="F942">
        <v>0.53</v>
      </c>
      <c r="G942">
        <v>0.2505</v>
      </c>
      <c r="H942">
        <v>9.7500000000000003E-2</v>
      </c>
      <c r="I942">
        <v>0.16250000000000001</v>
      </c>
      <c r="J942">
        <v>10</v>
      </c>
      <c r="K942">
        <v>7</v>
      </c>
      <c r="L942" t="s">
        <v>62</v>
      </c>
      <c r="M942" t="s">
        <v>63</v>
      </c>
      <c r="N942" t="s">
        <v>64</v>
      </c>
      <c r="O942">
        <v>10</v>
      </c>
      <c r="P942" t="s">
        <v>11</v>
      </c>
      <c r="Q942">
        <v>24.1</v>
      </c>
      <c r="R942" t="str">
        <f t="shared" si="30"/>
        <v>II</v>
      </c>
      <c r="S942">
        <f t="shared" si="31"/>
        <v>0.18797333333333333</v>
      </c>
    </row>
    <row r="943" spans="1:19">
      <c r="A943">
        <v>2717</v>
      </c>
      <c r="B943" t="s">
        <v>76</v>
      </c>
      <c r="C943">
        <v>0.34</v>
      </c>
      <c r="D943">
        <v>0.245</v>
      </c>
      <c r="E943">
        <v>8.5000000000000006E-2</v>
      </c>
      <c r="F943">
        <v>0.20150000000000001</v>
      </c>
      <c r="G943">
        <v>0.10050000000000001</v>
      </c>
      <c r="H943">
        <v>3.7999999999999999E-2</v>
      </c>
      <c r="I943">
        <v>5.2999999999999999E-2</v>
      </c>
      <c r="J943">
        <v>6</v>
      </c>
      <c r="K943">
        <v>1</v>
      </c>
      <c r="L943" t="s">
        <v>70</v>
      </c>
      <c r="M943" t="s">
        <v>71</v>
      </c>
      <c r="N943" t="s">
        <v>45</v>
      </c>
      <c r="O943">
        <v>1</v>
      </c>
      <c r="P943" t="s">
        <v>4</v>
      </c>
      <c r="Q943">
        <v>22.1</v>
      </c>
      <c r="R943" t="str">
        <f t="shared" si="30"/>
        <v>II</v>
      </c>
      <c r="S943">
        <f t="shared" si="31"/>
        <v>6.3674000000000008E-2</v>
      </c>
    </row>
    <row r="944" spans="1:19">
      <c r="A944">
        <v>430</v>
      </c>
      <c r="B944" t="s">
        <v>76</v>
      </c>
      <c r="C944">
        <v>0.57499999999999996</v>
      </c>
      <c r="D944">
        <v>0.45</v>
      </c>
      <c r="E944">
        <v>0.17</v>
      </c>
      <c r="F944">
        <v>1.0475000000000001</v>
      </c>
      <c r="G944">
        <v>0.3775</v>
      </c>
      <c r="H944">
        <v>0.17050000000000001</v>
      </c>
      <c r="I944">
        <v>0.38500000000000001</v>
      </c>
      <c r="J944">
        <v>18</v>
      </c>
      <c r="K944">
        <v>3</v>
      </c>
      <c r="L944" t="s">
        <v>52</v>
      </c>
      <c r="M944" t="s">
        <v>53</v>
      </c>
      <c r="N944" t="s">
        <v>54</v>
      </c>
      <c r="O944">
        <v>6</v>
      </c>
      <c r="P944" t="s">
        <v>7</v>
      </c>
      <c r="Q944">
        <v>14.1</v>
      </c>
      <c r="R944" t="str">
        <f t="shared" si="30"/>
        <v>II</v>
      </c>
      <c r="S944">
        <f t="shared" si="31"/>
        <v>0.40433500000000006</v>
      </c>
    </row>
    <row r="945" spans="1:19">
      <c r="A945">
        <v>3775</v>
      </c>
      <c r="B945" t="s">
        <v>76</v>
      </c>
      <c r="C945">
        <v>0.57999999999999996</v>
      </c>
      <c r="D945">
        <v>0.42</v>
      </c>
      <c r="E945">
        <v>0.14000000000000001</v>
      </c>
      <c r="F945">
        <v>0.70099999999999996</v>
      </c>
      <c r="G945">
        <v>0.32850000000000001</v>
      </c>
      <c r="H945">
        <v>0.10199999999999999</v>
      </c>
      <c r="I945">
        <v>0.22550000000000001</v>
      </c>
      <c r="J945">
        <v>9</v>
      </c>
      <c r="K945">
        <v>14</v>
      </c>
      <c r="L945" t="s">
        <v>72</v>
      </c>
      <c r="M945" t="s">
        <v>73</v>
      </c>
      <c r="N945" t="s">
        <v>74</v>
      </c>
      <c r="O945">
        <v>4</v>
      </c>
      <c r="P945" t="s">
        <v>8</v>
      </c>
      <c r="Q945">
        <v>6.1</v>
      </c>
      <c r="R945" t="str">
        <f t="shared" si="30"/>
        <v>II</v>
      </c>
      <c r="S945">
        <f t="shared" si="31"/>
        <v>0.26544533333333326</v>
      </c>
    </row>
    <row r="946" spans="1:19">
      <c r="A946">
        <v>2791</v>
      </c>
      <c r="B946" t="s">
        <v>76</v>
      </c>
      <c r="C946">
        <v>0.62</v>
      </c>
      <c r="D946">
        <v>0.48</v>
      </c>
      <c r="E946">
        <v>0.16500000000000001</v>
      </c>
      <c r="F946">
        <v>1.0125</v>
      </c>
      <c r="G946">
        <v>0.53249999999999997</v>
      </c>
      <c r="H946">
        <v>0.4365</v>
      </c>
      <c r="I946">
        <v>0.32400000000000001</v>
      </c>
      <c r="J946">
        <v>10</v>
      </c>
      <c r="K946">
        <v>14</v>
      </c>
      <c r="L946" t="s">
        <v>72</v>
      </c>
      <c r="M946" t="s">
        <v>73</v>
      </c>
      <c r="N946" t="s">
        <v>74</v>
      </c>
      <c r="O946">
        <v>6</v>
      </c>
      <c r="P946" t="s">
        <v>7</v>
      </c>
      <c r="Q946">
        <v>14.1</v>
      </c>
      <c r="R946" t="str">
        <f t="shared" si="30"/>
        <v>I</v>
      </c>
      <c r="S946">
        <f t="shared" si="31"/>
        <v>0.75051562500000002</v>
      </c>
    </row>
    <row r="947" spans="1:19">
      <c r="A947">
        <v>4096</v>
      </c>
      <c r="B947" t="s">
        <v>76</v>
      </c>
      <c r="C947">
        <v>0.63500000000000001</v>
      </c>
      <c r="D947">
        <v>0.48499999999999999</v>
      </c>
      <c r="E947">
        <v>0.155</v>
      </c>
      <c r="F947">
        <v>1.073</v>
      </c>
      <c r="G947">
        <v>0.46700000000000003</v>
      </c>
      <c r="H947">
        <v>0.19750000000000001</v>
      </c>
      <c r="I947">
        <v>0.35</v>
      </c>
      <c r="J947">
        <v>11</v>
      </c>
      <c r="K947">
        <v>11</v>
      </c>
      <c r="L947" t="s">
        <v>65</v>
      </c>
      <c r="M947" t="s">
        <v>66</v>
      </c>
      <c r="N947" t="s">
        <v>45</v>
      </c>
      <c r="O947">
        <v>9</v>
      </c>
      <c r="P947" t="s">
        <v>9</v>
      </c>
      <c r="Q947">
        <v>1.9</v>
      </c>
      <c r="R947" t="str">
        <f t="shared" si="30"/>
        <v>III</v>
      </c>
      <c r="S947">
        <f t="shared" si="31"/>
        <v>0.53202916666666655</v>
      </c>
    </row>
    <row r="948" spans="1:19">
      <c r="A948">
        <v>3459</v>
      </c>
      <c r="B948" t="s">
        <v>76</v>
      </c>
      <c r="C948">
        <v>0.61</v>
      </c>
      <c r="D948">
        <v>0.47</v>
      </c>
      <c r="E948">
        <v>0.16</v>
      </c>
      <c r="F948">
        <v>1.0745</v>
      </c>
      <c r="G948">
        <v>0.49249999999999999</v>
      </c>
      <c r="H948">
        <v>0.23599999999999999</v>
      </c>
      <c r="I948">
        <v>0.28999999999999998</v>
      </c>
      <c r="J948">
        <v>8</v>
      </c>
      <c r="K948">
        <v>10</v>
      </c>
      <c r="L948" t="s">
        <v>37</v>
      </c>
      <c r="M948" t="s">
        <v>38</v>
      </c>
      <c r="N948" t="s">
        <v>39</v>
      </c>
      <c r="O948">
        <v>6</v>
      </c>
      <c r="P948" t="s">
        <v>7</v>
      </c>
      <c r="Q948">
        <v>14.1</v>
      </c>
      <c r="R948" t="str">
        <f t="shared" si="30"/>
        <v>III</v>
      </c>
      <c r="S948">
        <f t="shared" si="31"/>
        <v>0.526505</v>
      </c>
    </row>
    <row r="949" spans="1:19">
      <c r="A949">
        <v>2508</v>
      </c>
      <c r="B949" t="s">
        <v>76</v>
      </c>
      <c r="C949">
        <v>0.41499999999999998</v>
      </c>
      <c r="D949">
        <v>0.32500000000000001</v>
      </c>
      <c r="E949">
        <v>0.1</v>
      </c>
      <c r="F949">
        <v>0.46650000000000003</v>
      </c>
      <c r="G949">
        <v>0.22850000000000001</v>
      </c>
      <c r="H949">
        <v>0.1065</v>
      </c>
      <c r="I949">
        <v>0.114</v>
      </c>
      <c r="J949">
        <v>7</v>
      </c>
      <c r="K949">
        <v>5</v>
      </c>
      <c r="L949" t="s">
        <v>67</v>
      </c>
      <c r="M949" t="s">
        <v>68</v>
      </c>
      <c r="N949" t="s">
        <v>69</v>
      </c>
      <c r="O949">
        <v>3</v>
      </c>
      <c r="P949" t="s">
        <v>10</v>
      </c>
      <c r="Q949">
        <v>3.6</v>
      </c>
      <c r="R949" t="str">
        <f t="shared" si="30"/>
        <v>II</v>
      </c>
      <c r="S949">
        <f t="shared" si="31"/>
        <v>0.15798800000000002</v>
      </c>
    </row>
    <row r="950" spans="1:19">
      <c r="A950">
        <v>700</v>
      </c>
      <c r="B950" t="s">
        <v>76</v>
      </c>
      <c r="C950">
        <v>0.39500000000000002</v>
      </c>
      <c r="D950">
        <v>0.315</v>
      </c>
      <c r="E950">
        <v>0.105</v>
      </c>
      <c r="F950">
        <v>0.35149999999999998</v>
      </c>
      <c r="G950">
        <v>0.11849999999999999</v>
      </c>
      <c r="H950">
        <v>9.0999999999999998E-2</v>
      </c>
      <c r="I950">
        <v>0.1195</v>
      </c>
      <c r="J950">
        <v>16</v>
      </c>
      <c r="K950">
        <v>12</v>
      </c>
      <c r="L950" t="s">
        <v>58</v>
      </c>
      <c r="M950" t="s">
        <v>59</v>
      </c>
      <c r="N950" t="s">
        <v>45</v>
      </c>
      <c r="O950">
        <v>8</v>
      </c>
      <c r="P950" t="s">
        <v>13</v>
      </c>
      <c r="Q950">
        <v>12.3</v>
      </c>
      <c r="R950" t="str">
        <f t="shared" si="30"/>
        <v>II</v>
      </c>
      <c r="S950">
        <f t="shared" si="31"/>
        <v>0.11786966666666665</v>
      </c>
    </row>
    <row r="951" spans="1:19">
      <c r="A951">
        <v>2883</v>
      </c>
      <c r="B951" t="s">
        <v>76</v>
      </c>
      <c r="C951">
        <v>0.5</v>
      </c>
      <c r="D951">
        <v>0.39</v>
      </c>
      <c r="E951">
        <v>0.13</v>
      </c>
      <c r="F951">
        <v>0.50749999999999995</v>
      </c>
      <c r="G951">
        <v>0.21149999999999999</v>
      </c>
      <c r="H951">
        <v>0.104</v>
      </c>
      <c r="I951">
        <v>0.17549999999999999</v>
      </c>
      <c r="J951">
        <v>9</v>
      </c>
      <c r="K951">
        <v>14</v>
      </c>
      <c r="L951" t="s">
        <v>72</v>
      </c>
      <c r="M951" t="s">
        <v>73</v>
      </c>
      <c r="N951" t="s">
        <v>74</v>
      </c>
      <c r="O951">
        <v>5</v>
      </c>
      <c r="P951" t="s">
        <v>12</v>
      </c>
      <c r="Q951">
        <v>12.8</v>
      </c>
      <c r="R951" t="str">
        <f t="shared" si="30"/>
        <v>II</v>
      </c>
      <c r="S951">
        <f t="shared" si="31"/>
        <v>0.18405333333333335</v>
      </c>
    </row>
    <row r="952" spans="1:19">
      <c r="A952">
        <v>3653</v>
      </c>
      <c r="B952" t="s">
        <v>76</v>
      </c>
      <c r="C952">
        <v>0.52500000000000002</v>
      </c>
      <c r="D952">
        <v>0.42499999999999999</v>
      </c>
      <c r="E952">
        <v>0.14000000000000001</v>
      </c>
      <c r="F952">
        <v>0.87350000000000005</v>
      </c>
      <c r="G952">
        <v>0.42049999999999998</v>
      </c>
      <c r="H952">
        <v>0.182</v>
      </c>
      <c r="I952">
        <v>0.2225</v>
      </c>
      <c r="J952">
        <v>10</v>
      </c>
      <c r="K952">
        <v>3</v>
      </c>
      <c r="L952" t="s">
        <v>52</v>
      </c>
      <c r="M952" t="s">
        <v>53</v>
      </c>
      <c r="N952" t="s">
        <v>54</v>
      </c>
      <c r="O952">
        <v>7</v>
      </c>
      <c r="P952" t="s">
        <v>6</v>
      </c>
      <c r="Q952">
        <v>2.5</v>
      </c>
      <c r="R952" t="str">
        <f t="shared" si="30"/>
        <v>III</v>
      </c>
      <c r="S952">
        <f t="shared" si="31"/>
        <v>0.40617750000000002</v>
      </c>
    </row>
    <row r="953" spans="1:19">
      <c r="A953">
        <v>3087</v>
      </c>
      <c r="B953" t="s">
        <v>76</v>
      </c>
      <c r="C953">
        <v>0.35499999999999998</v>
      </c>
      <c r="D953">
        <v>0.27</v>
      </c>
      <c r="E953">
        <v>7.4999999999999997E-2</v>
      </c>
      <c r="F953">
        <v>0.20399999999999999</v>
      </c>
      <c r="G953">
        <v>0.30449999999999999</v>
      </c>
      <c r="H953">
        <v>4.5999999999999999E-2</v>
      </c>
      <c r="I953">
        <v>5.9499999999999997E-2</v>
      </c>
      <c r="J953">
        <v>7</v>
      </c>
      <c r="K953">
        <v>15</v>
      </c>
      <c r="L953" t="s">
        <v>60</v>
      </c>
      <c r="M953" t="s">
        <v>61</v>
      </c>
      <c r="N953" t="s">
        <v>45</v>
      </c>
      <c r="O953">
        <v>8</v>
      </c>
      <c r="P953" t="s">
        <v>13</v>
      </c>
      <c r="Q953">
        <v>12.3</v>
      </c>
      <c r="R953" t="str">
        <f t="shared" si="30"/>
        <v>II</v>
      </c>
      <c r="S953">
        <f t="shared" si="31"/>
        <v>6.5280000000000005E-2</v>
      </c>
    </row>
    <row r="954" spans="1:19">
      <c r="A954">
        <v>3727</v>
      </c>
      <c r="B954" t="s">
        <v>76</v>
      </c>
      <c r="C954">
        <v>0.5</v>
      </c>
      <c r="D954">
        <v>0.39500000000000002</v>
      </c>
      <c r="E954">
        <v>0.14499999999999999</v>
      </c>
      <c r="F954">
        <v>0.78649999999999998</v>
      </c>
      <c r="G954">
        <v>0.33200000000000002</v>
      </c>
      <c r="H954">
        <v>0.18149999999999999</v>
      </c>
      <c r="I954">
        <v>0.2455</v>
      </c>
      <c r="J954">
        <v>8</v>
      </c>
      <c r="K954">
        <v>6</v>
      </c>
      <c r="L954" t="s">
        <v>46</v>
      </c>
      <c r="M954" t="s">
        <v>47</v>
      </c>
      <c r="N954" t="s">
        <v>48</v>
      </c>
      <c r="O954">
        <v>6</v>
      </c>
      <c r="P954" t="s">
        <v>7</v>
      </c>
      <c r="Q954">
        <v>14.1</v>
      </c>
      <c r="R954" t="str">
        <f t="shared" si="30"/>
        <v>II</v>
      </c>
      <c r="S954">
        <f t="shared" si="31"/>
        <v>0.28733466666666668</v>
      </c>
    </row>
    <row r="955" spans="1:19">
      <c r="A955">
        <v>2724</v>
      </c>
      <c r="B955" t="s">
        <v>76</v>
      </c>
      <c r="C955">
        <v>0.38500000000000001</v>
      </c>
      <c r="D955">
        <v>0.3</v>
      </c>
      <c r="E955">
        <v>0.125</v>
      </c>
      <c r="F955">
        <v>0.34300000000000003</v>
      </c>
      <c r="G955">
        <v>0.17050000000000001</v>
      </c>
      <c r="H955">
        <v>7.3499999999999996E-2</v>
      </c>
      <c r="I955">
        <v>8.1000000000000003E-2</v>
      </c>
      <c r="J955">
        <v>7</v>
      </c>
      <c r="K955">
        <v>12</v>
      </c>
      <c r="L955" t="s">
        <v>58</v>
      </c>
      <c r="M955" t="s">
        <v>59</v>
      </c>
      <c r="N955" t="s">
        <v>45</v>
      </c>
      <c r="O955">
        <v>1</v>
      </c>
      <c r="P955" t="s">
        <v>4</v>
      </c>
      <c r="Q955">
        <v>22.1</v>
      </c>
      <c r="R955" t="str">
        <f t="shared" si="30"/>
        <v>II</v>
      </c>
      <c r="S955">
        <f t="shared" si="31"/>
        <v>0.11479066666666669</v>
      </c>
    </row>
    <row r="956" spans="1:19">
      <c r="A956">
        <v>1140</v>
      </c>
      <c r="B956" t="s">
        <v>76</v>
      </c>
      <c r="C956">
        <v>0.57499999999999996</v>
      </c>
      <c r="D956">
        <v>0.47</v>
      </c>
      <c r="E956">
        <v>0.16500000000000001</v>
      </c>
      <c r="F956">
        <v>0.86899999999999999</v>
      </c>
      <c r="G956">
        <v>0.435</v>
      </c>
      <c r="H956">
        <v>0.19700000000000001</v>
      </c>
      <c r="I956">
        <v>0.23799999999999999</v>
      </c>
      <c r="J956">
        <v>9</v>
      </c>
      <c r="K956">
        <v>5</v>
      </c>
      <c r="L956" t="s">
        <v>67</v>
      </c>
      <c r="M956" t="s">
        <v>68</v>
      </c>
      <c r="N956" t="s">
        <v>69</v>
      </c>
      <c r="O956">
        <v>8</v>
      </c>
      <c r="P956" t="s">
        <v>13</v>
      </c>
      <c r="Q956">
        <v>12.3</v>
      </c>
      <c r="R956" t="str">
        <f t="shared" si="30"/>
        <v>III</v>
      </c>
      <c r="S956">
        <f t="shared" si="31"/>
        <v>0.42146499999999998</v>
      </c>
    </row>
    <row r="957" spans="1:19">
      <c r="A957">
        <v>2667</v>
      </c>
      <c r="B957" t="s">
        <v>76</v>
      </c>
      <c r="C957">
        <v>0.57999999999999996</v>
      </c>
      <c r="D957">
        <v>0.45500000000000002</v>
      </c>
      <c r="E957">
        <v>0.13</v>
      </c>
      <c r="F957">
        <v>0.85199999999999998</v>
      </c>
      <c r="G957">
        <v>0.41</v>
      </c>
      <c r="H957">
        <v>0.17249999999999999</v>
      </c>
      <c r="I957">
        <v>0.22500000000000001</v>
      </c>
      <c r="J957">
        <v>8</v>
      </c>
      <c r="K957">
        <v>10</v>
      </c>
      <c r="L957" t="s">
        <v>37</v>
      </c>
      <c r="M957" t="s">
        <v>38</v>
      </c>
      <c r="N957" t="s">
        <v>39</v>
      </c>
      <c r="O957">
        <v>7</v>
      </c>
      <c r="P957" t="s">
        <v>6</v>
      </c>
      <c r="Q957">
        <v>2.5</v>
      </c>
      <c r="R957" t="str">
        <f t="shared" si="30"/>
        <v>III</v>
      </c>
      <c r="S957">
        <f t="shared" si="31"/>
        <v>0.40682999999999997</v>
      </c>
    </row>
    <row r="958" spans="1:19">
      <c r="A958">
        <v>1567</v>
      </c>
      <c r="B958" t="s">
        <v>76</v>
      </c>
      <c r="C958">
        <v>0.46500000000000002</v>
      </c>
      <c r="D958">
        <v>0.37</v>
      </c>
      <c r="E958">
        <v>0.12</v>
      </c>
      <c r="F958">
        <v>0.4365</v>
      </c>
      <c r="G958">
        <v>0.188</v>
      </c>
      <c r="H958">
        <v>8.1500000000000003E-2</v>
      </c>
      <c r="I958">
        <v>0.14699999999999999</v>
      </c>
      <c r="J958">
        <v>9</v>
      </c>
      <c r="K958">
        <v>10</v>
      </c>
      <c r="L958" t="s">
        <v>37</v>
      </c>
      <c r="M958" t="s">
        <v>38</v>
      </c>
      <c r="N958" t="s">
        <v>39</v>
      </c>
      <c r="O958">
        <v>9</v>
      </c>
      <c r="P958" t="s">
        <v>9</v>
      </c>
      <c r="Q958">
        <v>1.9</v>
      </c>
      <c r="R958" t="str">
        <f t="shared" si="30"/>
        <v>II</v>
      </c>
      <c r="S958">
        <f t="shared" si="31"/>
        <v>0.15452099999999999</v>
      </c>
    </row>
    <row r="959" spans="1:19">
      <c r="A959">
        <v>2761</v>
      </c>
      <c r="B959" t="s">
        <v>76</v>
      </c>
      <c r="C959">
        <v>0.55000000000000004</v>
      </c>
      <c r="D959">
        <v>0.43</v>
      </c>
      <c r="E959">
        <v>0.14499999999999999</v>
      </c>
      <c r="F959">
        <v>0.71199999999999997</v>
      </c>
      <c r="G959">
        <v>0.30249999999999999</v>
      </c>
      <c r="H959">
        <v>0.152</v>
      </c>
      <c r="I959">
        <v>0.22500000000000001</v>
      </c>
      <c r="J959">
        <v>10</v>
      </c>
      <c r="K959">
        <v>8</v>
      </c>
      <c r="L959" t="s">
        <v>55</v>
      </c>
      <c r="M959" t="s">
        <v>56</v>
      </c>
      <c r="N959" t="s">
        <v>57</v>
      </c>
      <c r="O959">
        <v>9</v>
      </c>
      <c r="P959" t="s">
        <v>9</v>
      </c>
      <c r="Q959">
        <v>1.9</v>
      </c>
      <c r="R959" t="str">
        <f t="shared" si="30"/>
        <v>II</v>
      </c>
      <c r="S959">
        <f t="shared" si="31"/>
        <v>0.26818666666666668</v>
      </c>
    </row>
    <row r="960" spans="1:19">
      <c r="A960">
        <v>3916</v>
      </c>
      <c r="B960" t="s">
        <v>76</v>
      </c>
      <c r="C960">
        <v>0.56000000000000005</v>
      </c>
      <c r="D960">
        <v>0.44500000000000001</v>
      </c>
      <c r="E960">
        <v>0.16500000000000001</v>
      </c>
      <c r="F960">
        <v>1.0285</v>
      </c>
      <c r="G960">
        <v>0.45350000000000001</v>
      </c>
      <c r="H960">
        <v>0.253</v>
      </c>
      <c r="I960">
        <v>0.27500000000000002</v>
      </c>
      <c r="J960">
        <v>11</v>
      </c>
      <c r="K960">
        <v>15</v>
      </c>
      <c r="L960" t="s">
        <v>60</v>
      </c>
      <c r="M960" t="s">
        <v>61</v>
      </c>
      <c r="N960" t="s">
        <v>45</v>
      </c>
      <c r="O960">
        <v>8</v>
      </c>
      <c r="P960" t="s">
        <v>13</v>
      </c>
      <c r="Q960">
        <v>12.3</v>
      </c>
      <c r="R960" t="str">
        <f t="shared" si="30"/>
        <v>III</v>
      </c>
      <c r="S960">
        <f t="shared" si="31"/>
        <v>0.49196583333333327</v>
      </c>
    </row>
    <row r="961" spans="1:19">
      <c r="A961">
        <v>704</v>
      </c>
      <c r="B961" t="s">
        <v>76</v>
      </c>
      <c r="C961">
        <v>0.39500000000000002</v>
      </c>
      <c r="D961">
        <v>0.29499999999999998</v>
      </c>
      <c r="E961">
        <v>0.115</v>
      </c>
      <c r="F961">
        <v>0.316</v>
      </c>
      <c r="G961">
        <v>0.1205</v>
      </c>
      <c r="H961">
        <v>5.9499999999999997E-2</v>
      </c>
      <c r="I961">
        <v>0.1105</v>
      </c>
      <c r="J961">
        <v>12</v>
      </c>
      <c r="K961">
        <v>8</v>
      </c>
      <c r="L961" t="s">
        <v>55</v>
      </c>
      <c r="M961" t="s">
        <v>56</v>
      </c>
      <c r="N961" t="s">
        <v>57</v>
      </c>
      <c r="O961">
        <v>10</v>
      </c>
      <c r="P961" t="s">
        <v>11</v>
      </c>
      <c r="Q961">
        <v>24.1</v>
      </c>
      <c r="R961" t="str">
        <f t="shared" si="30"/>
        <v>II</v>
      </c>
      <c r="S961">
        <f t="shared" si="31"/>
        <v>0.105544</v>
      </c>
    </row>
    <row r="962" spans="1:19">
      <c r="A962">
        <v>3124</v>
      </c>
      <c r="B962" t="s">
        <v>76</v>
      </c>
      <c r="C962">
        <v>0.57499999999999996</v>
      </c>
      <c r="D962">
        <v>0.45</v>
      </c>
      <c r="E962">
        <v>0.13500000000000001</v>
      </c>
      <c r="F962">
        <v>0.92149999999999999</v>
      </c>
      <c r="G962">
        <v>0.35399999999999998</v>
      </c>
      <c r="H962">
        <v>0.20899999999999999</v>
      </c>
      <c r="I962">
        <v>0.23649999999999999</v>
      </c>
      <c r="J962">
        <v>9</v>
      </c>
      <c r="K962">
        <v>7</v>
      </c>
      <c r="L962" t="s">
        <v>62</v>
      </c>
      <c r="M962" t="s">
        <v>63</v>
      </c>
      <c r="N962" t="s">
        <v>64</v>
      </c>
      <c r="O962">
        <v>5</v>
      </c>
      <c r="P962" t="s">
        <v>12</v>
      </c>
      <c r="Q962">
        <v>12.8</v>
      </c>
      <c r="R962" t="str">
        <f t="shared" si="30"/>
        <v>II</v>
      </c>
      <c r="S962">
        <f t="shared" si="31"/>
        <v>0.35139866666666664</v>
      </c>
    </row>
    <row r="963" spans="1:19">
      <c r="A963">
        <v>4175</v>
      </c>
      <c r="B963" t="s">
        <v>76</v>
      </c>
      <c r="C963">
        <v>0.6</v>
      </c>
      <c r="D963">
        <v>0.47499999999999998</v>
      </c>
      <c r="E963">
        <v>0.20499999999999999</v>
      </c>
      <c r="F963">
        <v>1.1759999999999999</v>
      </c>
      <c r="G963">
        <v>0.52549999999999997</v>
      </c>
      <c r="H963">
        <v>0.28749999999999998</v>
      </c>
      <c r="I963">
        <v>0.308</v>
      </c>
      <c r="J963">
        <v>9</v>
      </c>
      <c r="K963">
        <v>9</v>
      </c>
      <c r="L963" t="s">
        <v>34</v>
      </c>
      <c r="M963" t="s">
        <v>35</v>
      </c>
      <c r="N963" t="s">
        <v>36</v>
      </c>
      <c r="O963">
        <v>2</v>
      </c>
      <c r="P963" t="s">
        <v>5</v>
      </c>
      <c r="Q963">
        <v>18</v>
      </c>
      <c r="R963" t="str">
        <f t="shared" ref="R963:R1001" si="32">IF(OR(AND(J963 &gt; 15, B963 = "Infant"), AND(D963 = "Male", C963 &gt; 0.75),
    OR(I963 &gt; 0.8, G963 &gt; 0.5), G963 &gt; 1.2),
    "I",
    IF(OR(AND(I963 &lt; 0.4, G963 &lt; 0.4), AND(J963 &gt; 15, D963 = "Male"), AND(J963 &gt; 18, D963 = "Female"), C963 &lt; 0.36),
    "II",
    "III"))</f>
        <v>I</v>
      </c>
      <c r="S963">
        <f t="shared" ref="S963:S1001" si="33">IF(OR(AND(J963 &gt; 15, B963 = "Infant"), AND(D963 = "Male", C963 &gt; 0.75), OR(I963 &gt; 0.8, G963 &gt; 0.5), G963 &gt; 1.2), (1 + (1/3)*(C963 - 0.5) + (1/3)*(D963 - 0.4) + (1/3)*(E963 - 0.4)) * F963 * 0.5 * 1.5, IF(OR(AND(I963 &lt; 0.4, G963 &lt; 0.4), AND(J963 &gt; 15, D963 = "Male"), AND(J963 &gt; 18, D963 = "Female"), C963 &lt; 0.36), (1 + (1/3)*(C963 - 0.5) + (1/3)*(D963 - 0.4) + (1/3)*(E963 - 0.4)) * F963 * 0.5 * 0.8, (1 + (1/3)*(C963 - 0.5) + (1/3)*(D963 - 0.4) + (1/3)*(E963 - 0.4)) * F963 * 0.5))</f>
        <v>0.87611999999999979</v>
      </c>
    </row>
    <row r="964" spans="1:19">
      <c r="A964">
        <v>2297</v>
      </c>
      <c r="B964" t="s">
        <v>76</v>
      </c>
      <c r="C964">
        <v>0.53500000000000003</v>
      </c>
      <c r="D964">
        <v>0.45</v>
      </c>
      <c r="E964">
        <v>0.13500000000000001</v>
      </c>
      <c r="F964">
        <v>0.8075</v>
      </c>
      <c r="G964">
        <v>0.32200000000000001</v>
      </c>
      <c r="H964">
        <v>0.18099999999999999</v>
      </c>
      <c r="I964">
        <v>0.25</v>
      </c>
      <c r="J964">
        <v>13</v>
      </c>
      <c r="K964">
        <v>2</v>
      </c>
      <c r="L964" t="s">
        <v>49</v>
      </c>
      <c r="M964" t="s">
        <v>50</v>
      </c>
      <c r="N964" t="s">
        <v>51</v>
      </c>
      <c r="O964">
        <v>10</v>
      </c>
      <c r="P964" t="s">
        <v>11</v>
      </c>
      <c r="Q964">
        <v>24.1</v>
      </c>
      <c r="R964" t="str">
        <f t="shared" si="32"/>
        <v>II</v>
      </c>
      <c r="S964">
        <f t="shared" si="33"/>
        <v>0.30362</v>
      </c>
    </row>
    <row r="965" spans="1:19">
      <c r="A965">
        <v>2328</v>
      </c>
      <c r="B965" t="s">
        <v>76</v>
      </c>
      <c r="C965">
        <v>0.47499999999999998</v>
      </c>
      <c r="D965">
        <v>0.39500000000000002</v>
      </c>
      <c r="E965">
        <v>0.13500000000000001</v>
      </c>
      <c r="F965">
        <v>0.59199999999999997</v>
      </c>
      <c r="G965">
        <v>0.2465</v>
      </c>
      <c r="H965">
        <v>0.16450000000000001</v>
      </c>
      <c r="I965">
        <v>0.2</v>
      </c>
      <c r="J965">
        <v>13</v>
      </c>
      <c r="K965">
        <v>15</v>
      </c>
      <c r="L965" t="s">
        <v>60</v>
      </c>
      <c r="M965" t="s">
        <v>61</v>
      </c>
      <c r="N965" t="s">
        <v>45</v>
      </c>
      <c r="O965">
        <v>1</v>
      </c>
      <c r="P965" t="s">
        <v>4</v>
      </c>
      <c r="Q965">
        <v>22.1</v>
      </c>
      <c r="R965" t="str">
        <f t="shared" si="32"/>
        <v>II</v>
      </c>
      <c r="S965">
        <f t="shared" si="33"/>
        <v>0.21351466666666666</v>
      </c>
    </row>
    <row r="966" spans="1:19">
      <c r="A966">
        <v>3448</v>
      </c>
      <c r="B966" t="s">
        <v>76</v>
      </c>
      <c r="C966">
        <v>0.505</v>
      </c>
      <c r="D966">
        <v>0.39</v>
      </c>
      <c r="E966">
        <v>0.12</v>
      </c>
      <c r="F966">
        <v>0.57250000000000001</v>
      </c>
      <c r="G966">
        <v>0.2555</v>
      </c>
      <c r="H966">
        <v>0.13250000000000001</v>
      </c>
      <c r="I966">
        <v>0.14599999999999999</v>
      </c>
      <c r="J966">
        <v>8</v>
      </c>
      <c r="K966">
        <v>2</v>
      </c>
      <c r="L966" t="s">
        <v>49</v>
      </c>
      <c r="M966" t="s">
        <v>50</v>
      </c>
      <c r="N966" t="s">
        <v>51</v>
      </c>
      <c r="O966">
        <v>7</v>
      </c>
      <c r="P966" t="s">
        <v>6</v>
      </c>
      <c r="Q966">
        <v>2.5</v>
      </c>
      <c r="R966" t="str">
        <f t="shared" si="32"/>
        <v>II</v>
      </c>
      <c r="S966">
        <f t="shared" si="33"/>
        <v>0.20724500000000001</v>
      </c>
    </row>
    <row r="967" spans="1:19">
      <c r="A967">
        <v>1471</v>
      </c>
      <c r="B967" t="s">
        <v>76</v>
      </c>
      <c r="C967">
        <v>0.53</v>
      </c>
      <c r="D967">
        <v>0.43</v>
      </c>
      <c r="E967">
        <v>0.13</v>
      </c>
      <c r="F967">
        <v>0.70450000000000002</v>
      </c>
      <c r="G967">
        <v>0.34599999999999997</v>
      </c>
      <c r="H967">
        <v>0.14149999999999999</v>
      </c>
      <c r="I967">
        <v>0.189</v>
      </c>
      <c r="J967">
        <v>9</v>
      </c>
      <c r="K967">
        <v>11</v>
      </c>
      <c r="L967" t="s">
        <v>65</v>
      </c>
      <c r="M967" t="s">
        <v>66</v>
      </c>
      <c r="N967" t="s">
        <v>45</v>
      </c>
      <c r="O967">
        <v>8</v>
      </c>
      <c r="P967" t="s">
        <v>13</v>
      </c>
      <c r="Q967">
        <v>12.3</v>
      </c>
      <c r="R967" t="str">
        <f t="shared" si="32"/>
        <v>II</v>
      </c>
      <c r="S967">
        <f t="shared" si="33"/>
        <v>0.26207400000000003</v>
      </c>
    </row>
    <row r="968" spans="1:19">
      <c r="A968">
        <v>459</v>
      </c>
      <c r="B968" t="s">
        <v>76</v>
      </c>
      <c r="C968">
        <v>0.41499999999999998</v>
      </c>
      <c r="D968">
        <v>0.31</v>
      </c>
      <c r="E968">
        <v>0.11</v>
      </c>
      <c r="F968">
        <v>0.29649999999999999</v>
      </c>
      <c r="G968">
        <v>0.123</v>
      </c>
      <c r="H968">
        <v>5.7000000000000002E-2</v>
      </c>
      <c r="I968">
        <v>9.9500000000000005E-2</v>
      </c>
      <c r="J968">
        <v>10</v>
      </c>
      <c r="K968">
        <v>13</v>
      </c>
      <c r="L968" t="s">
        <v>43</v>
      </c>
      <c r="M968" t="s">
        <v>44</v>
      </c>
      <c r="N968" t="s">
        <v>45</v>
      </c>
      <c r="O968">
        <v>10</v>
      </c>
      <c r="P968" t="s">
        <v>11</v>
      </c>
      <c r="Q968">
        <v>24.1</v>
      </c>
      <c r="R968" t="str">
        <f t="shared" si="32"/>
        <v>II</v>
      </c>
      <c r="S968">
        <f t="shared" si="33"/>
        <v>0.100217</v>
      </c>
    </row>
    <row r="969" spans="1:19">
      <c r="A969">
        <v>672</v>
      </c>
      <c r="B969" t="s">
        <v>76</v>
      </c>
      <c r="C969">
        <v>0.5</v>
      </c>
      <c r="D969">
        <v>0.38</v>
      </c>
      <c r="E969">
        <v>0.155</v>
      </c>
      <c r="F969">
        <v>0.65500000000000003</v>
      </c>
      <c r="G969">
        <v>0.24049999999999999</v>
      </c>
      <c r="H969">
        <v>0.14299999999999999</v>
      </c>
      <c r="I969">
        <v>0.20499999999999999</v>
      </c>
      <c r="J969">
        <v>17</v>
      </c>
      <c r="K969">
        <v>10</v>
      </c>
      <c r="L969" t="s">
        <v>37</v>
      </c>
      <c r="M969" t="s">
        <v>38</v>
      </c>
      <c r="N969" t="s">
        <v>39</v>
      </c>
      <c r="O969">
        <v>1</v>
      </c>
      <c r="P969" t="s">
        <v>4</v>
      </c>
      <c r="Q969">
        <v>22.1</v>
      </c>
      <c r="R969" t="str">
        <f t="shared" si="32"/>
        <v>II</v>
      </c>
      <c r="S969">
        <f t="shared" si="33"/>
        <v>0.23885666666666669</v>
      </c>
    </row>
    <row r="970" spans="1:19">
      <c r="A970">
        <v>2910</v>
      </c>
      <c r="B970" t="s">
        <v>76</v>
      </c>
      <c r="C970">
        <v>0.57999999999999996</v>
      </c>
      <c r="D970">
        <v>0.45</v>
      </c>
      <c r="E970">
        <v>0.15</v>
      </c>
      <c r="F970">
        <v>0.92</v>
      </c>
      <c r="G970">
        <v>0.39300000000000002</v>
      </c>
      <c r="H970">
        <v>0.21199999999999999</v>
      </c>
      <c r="I970">
        <v>0.28949999999999998</v>
      </c>
      <c r="J970">
        <v>9</v>
      </c>
      <c r="K970">
        <v>14</v>
      </c>
      <c r="L970" t="s">
        <v>72</v>
      </c>
      <c r="M970" t="s">
        <v>73</v>
      </c>
      <c r="N970" t="s">
        <v>74</v>
      </c>
      <c r="O970">
        <v>9</v>
      </c>
      <c r="P970" t="s">
        <v>9</v>
      </c>
      <c r="Q970">
        <v>1.9</v>
      </c>
      <c r="R970" t="str">
        <f t="shared" si="32"/>
        <v>II</v>
      </c>
      <c r="S970">
        <f t="shared" si="33"/>
        <v>0.35327999999999998</v>
      </c>
    </row>
    <row r="971" spans="1:19">
      <c r="A971">
        <v>2133</v>
      </c>
      <c r="B971" t="s">
        <v>76</v>
      </c>
      <c r="C971">
        <v>0.52</v>
      </c>
      <c r="D971">
        <v>0.41</v>
      </c>
      <c r="E971">
        <v>0.125</v>
      </c>
      <c r="F971">
        <v>0.69850000000000001</v>
      </c>
      <c r="G971">
        <v>0.29449999999999998</v>
      </c>
      <c r="H971">
        <v>0.16250000000000001</v>
      </c>
      <c r="I971">
        <v>0.215</v>
      </c>
      <c r="J971">
        <v>10</v>
      </c>
      <c r="K971">
        <v>14</v>
      </c>
      <c r="L971" t="s">
        <v>72</v>
      </c>
      <c r="M971" t="s">
        <v>73</v>
      </c>
      <c r="N971" t="s">
        <v>74</v>
      </c>
      <c r="O971">
        <v>7</v>
      </c>
      <c r="P971" t="s">
        <v>6</v>
      </c>
      <c r="Q971">
        <v>2.5</v>
      </c>
      <c r="R971" t="str">
        <f t="shared" si="32"/>
        <v>II</v>
      </c>
      <c r="S971">
        <f t="shared" si="33"/>
        <v>0.25658233333333336</v>
      </c>
    </row>
    <row r="972" spans="1:19">
      <c r="A972">
        <v>2749</v>
      </c>
      <c r="B972" t="s">
        <v>76</v>
      </c>
      <c r="C972">
        <v>0.505</v>
      </c>
      <c r="D972">
        <v>0.38500000000000001</v>
      </c>
      <c r="E972">
        <v>0.125</v>
      </c>
      <c r="F972">
        <v>0.59599999999999997</v>
      </c>
      <c r="G972">
        <v>0.245</v>
      </c>
      <c r="H972">
        <v>9.7000000000000003E-2</v>
      </c>
      <c r="I972">
        <v>0.21</v>
      </c>
      <c r="J972">
        <v>9</v>
      </c>
      <c r="K972">
        <v>1</v>
      </c>
      <c r="L972" t="s">
        <v>70</v>
      </c>
      <c r="M972" t="s">
        <v>71</v>
      </c>
      <c r="N972" t="s">
        <v>45</v>
      </c>
      <c r="O972">
        <v>6</v>
      </c>
      <c r="P972" t="s">
        <v>7</v>
      </c>
      <c r="Q972">
        <v>14.1</v>
      </c>
      <c r="R972" t="str">
        <f t="shared" si="32"/>
        <v>II</v>
      </c>
      <c r="S972">
        <f t="shared" si="33"/>
        <v>0.215752</v>
      </c>
    </row>
    <row r="973" spans="1:19">
      <c r="A973">
        <v>2648</v>
      </c>
      <c r="B973" t="s">
        <v>76</v>
      </c>
      <c r="C973">
        <v>0.5</v>
      </c>
      <c r="D973">
        <v>0.39</v>
      </c>
      <c r="E973">
        <v>0.125</v>
      </c>
      <c r="F973">
        <v>0.58299999999999996</v>
      </c>
      <c r="G973">
        <v>0.29399999999999998</v>
      </c>
      <c r="H973">
        <v>0.13200000000000001</v>
      </c>
      <c r="I973">
        <v>0.1605</v>
      </c>
      <c r="J973">
        <v>8</v>
      </c>
      <c r="K973">
        <v>5</v>
      </c>
      <c r="L973" t="s">
        <v>67</v>
      </c>
      <c r="M973" t="s">
        <v>68</v>
      </c>
      <c r="N973" t="s">
        <v>69</v>
      </c>
      <c r="O973">
        <v>8</v>
      </c>
      <c r="P973" t="s">
        <v>13</v>
      </c>
      <c r="Q973">
        <v>12.3</v>
      </c>
      <c r="R973" t="str">
        <f t="shared" si="32"/>
        <v>II</v>
      </c>
      <c r="S973">
        <f t="shared" si="33"/>
        <v>0.21104599999999998</v>
      </c>
    </row>
    <row r="974" spans="1:19">
      <c r="A974">
        <v>2999</v>
      </c>
      <c r="B974" t="s">
        <v>76</v>
      </c>
      <c r="C974">
        <v>0.63500000000000001</v>
      </c>
      <c r="D974">
        <v>0.51</v>
      </c>
      <c r="E974">
        <v>0.17</v>
      </c>
      <c r="F974">
        <v>1.2235</v>
      </c>
      <c r="G974">
        <v>0.53200000000000003</v>
      </c>
      <c r="H974">
        <v>0.27100000000000002</v>
      </c>
      <c r="I974">
        <v>0.35399999999999998</v>
      </c>
      <c r="J974">
        <v>9</v>
      </c>
      <c r="K974">
        <v>2</v>
      </c>
      <c r="L974" t="s">
        <v>49</v>
      </c>
      <c r="M974" t="s">
        <v>50</v>
      </c>
      <c r="N974" t="s">
        <v>51</v>
      </c>
      <c r="O974">
        <v>5</v>
      </c>
      <c r="P974" t="s">
        <v>12</v>
      </c>
      <c r="Q974">
        <v>12.8</v>
      </c>
      <c r="R974" t="str">
        <f t="shared" si="32"/>
        <v>I</v>
      </c>
      <c r="S974">
        <f t="shared" si="33"/>
        <v>0.92221312499999986</v>
      </c>
    </row>
    <row r="975" spans="1:19">
      <c r="A975">
        <v>3557</v>
      </c>
      <c r="B975" t="s">
        <v>76</v>
      </c>
      <c r="C975">
        <v>0.53500000000000003</v>
      </c>
      <c r="D975">
        <v>0.41</v>
      </c>
      <c r="E975">
        <v>0.13</v>
      </c>
      <c r="F975">
        <v>0.60750000000000004</v>
      </c>
      <c r="G975">
        <v>0.26800000000000002</v>
      </c>
      <c r="H975">
        <v>0.1225</v>
      </c>
      <c r="I975">
        <v>0.19750000000000001</v>
      </c>
      <c r="J975">
        <v>9</v>
      </c>
      <c r="K975">
        <v>9</v>
      </c>
      <c r="L975" t="s">
        <v>34</v>
      </c>
      <c r="M975" t="s">
        <v>35</v>
      </c>
      <c r="N975" t="s">
        <v>36</v>
      </c>
      <c r="O975">
        <v>3</v>
      </c>
      <c r="P975" t="s">
        <v>10</v>
      </c>
      <c r="Q975">
        <v>3.6</v>
      </c>
      <c r="R975" t="str">
        <f t="shared" si="32"/>
        <v>II</v>
      </c>
      <c r="S975">
        <f t="shared" si="33"/>
        <v>0.22477500000000006</v>
      </c>
    </row>
    <row r="976" spans="1:19">
      <c r="A976">
        <v>1324</v>
      </c>
      <c r="B976" t="s">
        <v>76</v>
      </c>
      <c r="C976">
        <v>0.56000000000000005</v>
      </c>
      <c r="D976">
        <v>0.45500000000000002</v>
      </c>
      <c r="E976">
        <v>0.14499999999999999</v>
      </c>
      <c r="F976">
        <v>0.97399999999999998</v>
      </c>
      <c r="G976">
        <v>0.54700000000000004</v>
      </c>
      <c r="H976">
        <v>0.1615</v>
      </c>
      <c r="I976">
        <v>0.23499999999999999</v>
      </c>
      <c r="J976">
        <v>9</v>
      </c>
      <c r="K976">
        <v>9</v>
      </c>
      <c r="L976" t="s">
        <v>34</v>
      </c>
      <c r="M976" t="s">
        <v>35</v>
      </c>
      <c r="N976" t="s">
        <v>36</v>
      </c>
      <c r="O976">
        <v>10</v>
      </c>
      <c r="P976" t="s">
        <v>11</v>
      </c>
      <c r="Q976">
        <v>24.1</v>
      </c>
      <c r="R976" t="str">
        <f t="shared" si="32"/>
        <v>I</v>
      </c>
      <c r="S976">
        <f t="shared" si="33"/>
        <v>0.69640999999999997</v>
      </c>
    </row>
    <row r="977" spans="1:19">
      <c r="A977">
        <v>2563</v>
      </c>
      <c r="B977" t="s">
        <v>76</v>
      </c>
      <c r="C977">
        <v>0.44</v>
      </c>
      <c r="D977">
        <v>0.32500000000000001</v>
      </c>
      <c r="E977">
        <v>0.1</v>
      </c>
      <c r="F977">
        <v>0.41649999999999998</v>
      </c>
      <c r="G977">
        <v>0.185</v>
      </c>
      <c r="H977">
        <v>8.6499999999999994E-2</v>
      </c>
      <c r="I977">
        <v>0.11</v>
      </c>
      <c r="J977">
        <v>6</v>
      </c>
      <c r="K977">
        <v>3</v>
      </c>
      <c r="L977" t="s">
        <v>52</v>
      </c>
      <c r="M977" t="s">
        <v>53</v>
      </c>
      <c r="N977" t="s">
        <v>54</v>
      </c>
      <c r="O977">
        <v>2</v>
      </c>
      <c r="P977" t="s">
        <v>5</v>
      </c>
      <c r="Q977">
        <v>18</v>
      </c>
      <c r="R977" t="str">
        <f t="shared" si="32"/>
        <v>II</v>
      </c>
      <c r="S977">
        <f t="shared" si="33"/>
        <v>0.14244299999999999</v>
      </c>
    </row>
    <row r="978" spans="1:19">
      <c r="A978">
        <v>439</v>
      </c>
      <c r="B978" t="s">
        <v>76</v>
      </c>
      <c r="C978">
        <v>0.39</v>
      </c>
      <c r="D978">
        <v>0.3</v>
      </c>
      <c r="E978">
        <v>0.09</v>
      </c>
      <c r="F978">
        <v>0.30549999999999999</v>
      </c>
      <c r="G978">
        <v>0.14299999999999999</v>
      </c>
      <c r="H978">
        <v>6.4500000000000002E-2</v>
      </c>
      <c r="I978">
        <v>8.5000000000000006E-2</v>
      </c>
      <c r="J978">
        <v>9</v>
      </c>
      <c r="K978">
        <v>3</v>
      </c>
      <c r="L978" t="s">
        <v>52</v>
      </c>
      <c r="M978" t="s">
        <v>53</v>
      </c>
      <c r="N978" t="s">
        <v>54</v>
      </c>
      <c r="O978">
        <v>4</v>
      </c>
      <c r="P978" t="s">
        <v>8</v>
      </c>
      <c r="Q978">
        <v>6.1</v>
      </c>
      <c r="R978" t="str">
        <f t="shared" si="32"/>
        <v>II</v>
      </c>
      <c r="S978">
        <f t="shared" si="33"/>
        <v>0.10101866666666666</v>
      </c>
    </row>
    <row r="979" spans="1:19">
      <c r="A979">
        <v>3891</v>
      </c>
      <c r="B979" t="s">
        <v>76</v>
      </c>
      <c r="C979">
        <v>0.51500000000000001</v>
      </c>
      <c r="D979">
        <v>0.4</v>
      </c>
      <c r="E979">
        <v>0.14000000000000001</v>
      </c>
      <c r="F979">
        <v>0.73650000000000004</v>
      </c>
      <c r="G979">
        <v>0.29549999999999998</v>
      </c>
      <c r="H979">
        <v>0.184</v>
      </c>
      <c r="I979">
        <v>0.185</v>
      </c>
      <c r="J979">
        <v>16</v>
      </c>
      <c r="K979">
        <v>3</v>
      </c>
      <c r="L979" t="s">
        <v>52</v>
      </c>
      <c r="M979" t="s">
        <v>53</v>
      </c>
      <c r="N979" t="s">
        <v>54</v>
      </c>
      <c r="O979">
        <v>4</v>
      </c>
      <c r="P979" t="s">
        <v>8</v>
      </c>
      <c r="Q979">
        <v>6.1</v>
      </c>
      <c r="R979" t="str">
        <f t="shared" si="32"/>
        <v>II</v>
      </c>
      <c r="S979">
        <f t="shared" si="33"/>
        <v>0.27054099999999998</v>
      </c>
    </row>
    <row r="980" spans="1:19">
      <c r="A980">
        <v>3884</v>
      </c>
      <c r="B980" t="s">
        <v>76</v>
      </c>
      <c r="C980">
        <v>0.54</v>
      </c>
      <c r="D980">
        <v>0.42499999999999999</v>
      </c>
      <c r="E980">
        <v>0.12</v>
      </c>
      <c r="F980">
        <v>0.81699999999999995</v>
      </c>
      <c r="G980">
        <v>0.29449999999999998</v>
      </c>
      <c r="H980">
        <v>0.153</v>
      </c>
      <c r="I980">
        <v>0.19500000000000001</v>
      </c>
      <c r="J980">
        <v>10</v>
      </c>
      <c r="K980">
        <v>12</v>
      </c>
      <c r="L980" t="s">
        <v>58</v>
      </c>
      <c r="M980" t="s">
        <v>59</v>
      </c>
      <c r="N980" t="s">
        <v>45</v>
      </c>
      <c r="O980">
        <v>3</v>
      </c>
      <c r="P980" t="s">
        <v>10</v>
      </c>
      <c r="Q980">
        <v>3.6</v>
      </c>
      <c r="R980" t="str">
        <f t="shared" si="32"/>
        <v>II</v>
      </c>
      <c r="S980">
        <f t="shared" si="33"/>
        <v>0.30337933333333333</v>
      </c>
    </row>
    <row r="981" spans="1:19">
      <c r="A981">
        <v>1959</v>
      </c>
      <c r="B981" t="s">
        <v>76</v>
      </c>
      <c r="C981">
        <v>0.65</v>
      </c>
      <c r="D981">
        <v>0.52</v>
      </c>
      <c r="E981">
        <v>0.15</v>
      </c>
      <c r="F981">
        <v>1.238</v>
      </c>
      <c r="G981">
        <v>0.54949999999999999</v>
      </c>
      <c r="H981">
        <v>0.29599999999999999</v>
      </c>
      <c r="I981">
        <v>0.33050000000000002</v>
      </c>
      <c r="J981">
        <v>10</v>
      </c>
      <c r="K981">
        <v>4</v>
      </c>
      <c r="L981" t="s">
        <v>40</v>
      </c>
      <c r="M981" t="s">
        <v>41</v>
      </c>
      <c r="N981" t="s">
        <v>42</v>
      </c>
      <c r="O981">
        <v>5</v>
      </c>
      <c r="P981" t="s">
        <v>12</v>
      </c>
      <c r="Q981">
        <v>12.8</v>
      </c>
      <c r="R981" t="str">
        <f t="shared" si="32"/>
        <v>I</v>
      </c>
      <c r="S981">
        <f t="shared" si="33"/>
        <v>0.93469000000000002</v>
      </c>
    </row>
    <row r="982" spans="1:19">
      <c r="A982">
        <v>4038</v>
      </c>
      <c r="B982" t="s">
        <v>76</v>
      </c>
      <c r="C982">
        <v>0.54</v>
      </c>
      <c r="D982">
        <v>0.41499999999999998</v>
      </c>
      <c r="E982">
        <v>0.155</v>
      </c>
      <c r="F982">
        <v>0.70199999999999996</v>
      </c>
      <c r="G982">
        <v>0.32200000000000001</v>
      </c>
      <c r="H982">
        <v>0.16700000000000001</v>
      </c>
      <c r="I982">
        <v>0.19</v>
      </c>
      <c r="J982">
        <v>10</v>
      </c>
      <c r="K982">
        <v>13</v>
      </c>
      <c r="L982" t="s">
        <v>43</v>
      </c>
      <c r="M982" t="s">
        <v>44</v>
      </c>
      <c r="N982" t="s">
        <v>45</v>
      </c>
      <c r="O982">
        <v>3</v>
      </c>
      <c r="P982" t="s">
        <v>10</v>
      </c>
      <c r="Q982">
        <v>3.6</v>
      </c>
      <c r="R982" t="str">
        <f t="shared" si="32"/>
        <v>II</v>
      </c>
      <c r="S982">
        <f t="shared" si="33"/>
        <v>0.26301599999999997</v>
      </c>
    </row>
    <row r="983" spans="1:19">
      <c r="A983">
        <v>2220</v>
      </c>
      <c r="B983" t="s">
        <v>76</v>
      </c>
      <c r="C983">
        <v>0.48499999999999999</v>
      </c>
      <c r="D983">
        <v>0.375</v>
      </c>
      <c r="E983">
        <v>0.14499999999999999</v>
      </c>
      <c r="F983">
        <v>0.58850000000000002</v>
      </c>
      <c r="G983">
        <v>0.23849999999999999</v>
      </c>
      <c r="H983">
        <v>0.11550000000000001</v>
      </c>
      <c r="I983">
        <v>0.19</v>
      </c>
      <c r="J983">
        <v>13</v>
      </c>
      <c r="K983">
        <v>14</v>
      </c>
      <c r="L983" t="s">
        <v>72</v>
      </c>
      <c r="M983" t="s">
        <v>73</v>
      </c>
      <c r="N983" t="s">
        <v>74</v>
      </c>
      <c r="O983">
        <v>5</v>
      </c>
      <c r="P983" t="s">
        <v>12</v>
      </c>
      <c r="Q983">
        <v>12.8</v>
      </c>
      <c r="R983" t="str">
        <f t="shared" si="32"/>
        <v>II</v>
      </c>
      <c r="S983">
        <f t="shared" si="33"/>
        <v>0.21225233333333338</v>
      </c>
    </row>
    <row r="984" spans="1:19">
      <c r="A984">
        <v>3165</v>
      </c>
      <c r="B984" t="s">
        <v>76</v>
      </c>
      <c r="C984">
        <v>0.64</v>
      </c>
      <c r="D984">
        <v>0.47499999999999998</v>
      </c>
      <c r="E984">
        <v>0.19</v>
      </c>
      <c r="F984">
        <v>1.151</v>
      </c>
      <c r="G984">
        <v>0.4365</v>
      </c>
      <c r="H984">
        <v>0.28100000000000003</v>
      </c>
      <c r="I984">
        <v>0.3805</v>
      </c>
      <c r="J984">
        <v>13</v>
      </c>
      <c r="K984">
        <v>6</v>
      </c>
      <c r="L984" t="s">
        <v>46</v>
      </c>
      <c r="M984" t="s">
        <v>47</v>
      </c>
      <c r="N984" t="s">
        <v>48</v>
      </c>
      <c r="O984">
        <v>3</v>
      </c>
      <c r="P984" t="s">
        <v>10</v>
      </c>
      <c r="Q984">
        <v>3.6</v>
      </c>
      <c r="R984" t="str">
        <f t="shared" si="32"/>
        <v>III</v>
      </c>
      <c r="S984">
        <f t="shared" si="33"/>
        <v>0.57645916666666652</v>
      </c>
    </row>
    <row r="985" spans="1:19">
      <c r="A985">
        <v>2417</v>
      </c>
      <c r="B985" t="s">
        <v>76</v>
      </c>
      <c r="C985">
        <v>0.42499999999999999</v>
      </c>
      <c r="D985">
        <v>0.315</v>
      </c>
      <c r="E985">
        <v>0.125</v>
      </c>
      <c r="F985">
        <v>0.35249999999999998</v>
      </c>
      <c r="G985">
        <v>0.1135</v>
      </c>
      <c r="H985">
        <v>5.6500000000000002E-2</v>
      </c>
      <c r="I985">
        <v>0.13</v>
      </c>
      <c r="J985">
        <v>18</v>
      </c>
      <c r="K985">
        <v>14</v>
      </c>
      <c r="L985" t="s">
        <v>72</v>
      </c>
      <c r="M985" t="s">
        <v>73</v>
      </c>
      <c r="N985" t="s">
        <v>74</v>
      </c>
      <c r="O985">
        <v>2</v>
      </c>
      <c r="P985" t="s">
        <v>5</v>
      </c>
      <c r="Q985">
        <v>18</v>
      </c>
      <c r="R985" t="str">
        <f t="shared" si="32"/>
        <v>II</v>
      </c>
      <c r="S985">
        <f t="shared" si="33"/>
        <v>0.120555</v>
      </c>
    </row>
    <row r="986" spans="1:19">
      <c r="A986">
        <v>3646</v>
      </c>
      <c r="B986" t="s">
        <v>76</v>
      </c>
      <c r="C986">
        <v>0.47499999999999998</v>
      </c>
      <c r="D986">
        <v>0.33500000000000002</v>
      </c>
      <c r="E986">
        <v>0.1</v>
      </c>
      <c r="F986">
        <v>0.4425</v>
      </c>
      <c r="G986">
        <v>0.1895</v>
      </c>
      <c r="H986">
        <v>8.5999999999999993E-2</v>
      </c>
      <c r="I986">
        <v>0.13500000000000001</v>
      </c>
      <c r="J986">
        <v>9</v>
      </c>
      <c r="K986">
        <v>10</v>
      </c>
      <c r="L986" t="s">
        <v>37</v>
      </c>
      <c r="M986" t="s">
        <v>38</v>
      </c>
      <c r="N986" t="s">
        <v>39</v>
      </c>
      <c r="O986">
        <v>3</v>
      </c>
      <c r="P986" t="s">
        <v>10</v>
      </c>
      <c r="Q986">
        <v>3.6</v>
      </c>
      <c r="R986" t="str">
        <f t="shared" si="32"/>
        <v>II</v>
      </c>
      <c r="S986">
        <f t="shared" si="33"/>
        <v>0.15399000000000002</v>
      </c>
    </row>
    <row r="987" spans="1:19">
      <c r="A987">
        <v>1646</v>
      </c>
      <c r="B987" t="s">
        <v>76</v>
      </c>
      <c r="C987">
        <v>0.57999999999999996</v>
      </c>
      <c r="D987">
        <v>0.43</v>
      </c>
      <c r="E987">
        <v>0.13</v>
      </c>
      <c r="F987">
        <v>0.79800000000000004</v>
      </c>
      <c r="G987">
        <v>0.36499999999999999</v>
      </c>
      <c r="H987">
        <v>0.17299999999999999</v>
      </c>
      <c r="I987">
        <v>0.22850000000000001</v>
      </c>
      <c r="J987">
        <v>10</v>
      </c>
      <c r="K987">
        <v>4</v>
      </c>
      <c r="L987" t="s">
        <v>40</v>
      </c>
      <c r="M987" t="s">
        <v>41</v>
      </c>
      <c r="N987" t="s">
        <v>42</v>
      </c>
      <c r="O987">
        <v>1</v>
      </c>
      <c r="P987" t="s">
        <v>4</v>
      </c>
      <c r="Q987">
        <v>22.1</v>
      </c>
      <c r="R987" t="str">
        <f t="shared" si="32"/>
        <v>II</v>
      </c>
      <c r="S987">
        <f t="shared" si="33"/>
        <v>0.302176</v>
      </c>
    </row>
    <row r="988" spans="1:19">
      <c r="A988">
        <v>485</v>
      </c>
      <c r="B988" t="s">
        <v>76</v>
      </c>
      <c r="C988">
        <v>0.63</v>
      </c>
      <c r="D988">
        <v>0.48</v>
      </c>
      <c r="E988">
        <v>0.14499999999999999</v>
      </c>
      <c r="F988">
        <v>1.0115000000000001</v>
      </c>
      <c r="G988">
        <v>0.42349999999999999</v>
      </c>
      <c r="H988">
        <v>0.23699999999999999</v>
      </c>
      <c r="I988">
        <v>0.30499999999999999</v>
      </c>
      <c r="J988">
        <v>12</v>
      </c>
      <c r="K988">
        <v>12</v>
      </c>
      <c r="L988" t="s">
        <v>58</v>
      </c>
      <c r="M988" t="s">
        <v>59</v>
      </c>
      <c r="N988" t="s">
        <v>45</v>
      </c>
      <c r="O988">
        <v>2</v>
      </c>
      <c r="P988" t="s">
        <v>5</v>
      </c>
      <c r="Q988">
        <v>18</v>
      </c>
      <c r="R988" t="str">
        <f t="shared" si="32"/>
        <v>III</v>
      </c>
      <c r="S988">
        <f t="shared" si="33"/>
        <v>0.49816375000000007</v>
      </c>
    </row>
    <row r="989" spans="1:19">
      <c r="A989">
        <v>3340</v>
      </c>
      <c r="B989" t="s">
        <v>76</v>
      </c>
      <c r="C989">
        <v>0.58499999999999996</v>
      </c>
      <c r="D989">
        <v>0.47499999999999998</v>
      </c>
      <c r="E989">
        <v>0.185</v>
      </c>
      <c r="F989">
        <v>0.85750000000000004</v>
      </c>
      <c r="G989">
        <v>0.34649999999999997</v>
      </c>
      <c r="H989">
        <v>0.17849999999999999</v>
      </c>
      <c r="I989">
        <v>0.27500000000000002</v>
      </c>
      <c r="J989">
        <v>12</v>
      </c>
      <c r="K989">
        <v>6</v>
      </c>
      <c r="L989" t="s">
        <v>46</v>
      </c>
      <c r="M989" t="s">
        <v>47</v>
      </c>
      <c r="N989" t="s">
        <v>48</v>
      </c>
      <c r="O989">
        <v>1</v>
      </c>
      <c r="P989" t="s">
        <v>4</v>
      </c>
      <c r="Q989">
        <v>22.1</v>
      </c>
      <c r="R989" t="str">
        <f t="shared" si="32"/>
        <v>II</v>
      </c>
      <c r="S989">
        <f t="shared" si="33"/>
        <v>0.33671166666666669</v>
      </c>
    </row>
    <row r="990" spans="1:19">
      <c r="A990">
        <v>23</v>
      </c>
      <c r="B990" t="s">
        <v>76</v>
      </c>
      <c r="C990">
        <v>0.56499999999999995</v>
      </c>
      <c r="D990">
        <v>0.44</v>
      </c>
      <c r="E990">
        <v>0.155</v>
      </c>
      <c r="F990">
        <v>0.9395</v>
      </c>
      <c r="G990">
        <v>0.42749999999999999</v>
      </c>
      <c r="H990">
        <v>0.214</v>
      </c>
      <c r="I990">
        <v>0.27</v>
      </c>
      <c r="J990">
        <v>12</v>
      </c>
      <c r="K990">
        <v>8</v>
      </c>
      <c r="L990" t="s">
        <v>55</v>
      </c>
      <c r="M990" t="s">
        <v>56</v>
      </c>
      <c r="N990" t="s">
        <v>57</v>
      </c>
      <c r="O990">
        <v>8</v>
      </c>
      <c r="P990" t="s">
        <v>13</v>
      </c>
      <c r="Q990">
        <v>12.3</v>
      </c>
      <c r="R990" t="str">
        <f t="shared" si="32"/>
        <v>III</v>
      </c>
      <c r="S990">
        <f t="shared" si="33"/>
        <v>0.44782833333333338</v>
      </c>
    </row>
    <row r="991" spans="1:19">
      <c r="A991">
        <v>2001</v>
      </c>
      <c r="B991" t="s">
        <v>76</v>
      </c>
      <c r="C991">
        <v>0.35499999999999998</v>
      </c>
      <c r="D991">
        <v>0.27</v>
      </c>
      <c r="E991">
        <v>0.105</v>
      </c>
      <c r="F991">
        <v>0.27100000000000002</v>
      </c>
      <c r="G991">
        <v>0.14249999999999999</v>
      </c>
      <c r="H991">
        <v>5.2499999999999998E-2</v>
      </c>
      <c r="I991">
        <v>7.3499999999999996E-2</v>
      </c>
      <c r="J991">
        <v>9</v>
      </c>
      <c r="K991">
        <v>15</v>
      </c>
      <c r="L991" t="s">
        <v>60</v>
      </c>
      <c r="M991" t="s">
        <v>61</v>
      </c>
      <c r="N991" t="s">
        <v>45</v>
      </c>
      <c r="O991">
        <v>4</v>
      </c>
      <c r="P991" t="s">
        <v>8</v>
      </c>
      <c r="Q991">
        <v>6.1</v>
      </c>
      <c r="R991" t="str">
        <f t="shared" si="32"/>
        <v>II</v>
      </c>
      <c r="S991">
        <f t="shared" si="33"/>
        <v>8.7804000000000007E-2</v>
      </c>
    </row>
    <row r="992" spans="1:19">
      <c r="A992">
        <v>1254</v>
      </c>
      <c r="B992" t="s">
        <v>76</v>
      </c>
      <c r="C992">
        <v>0.42</v>
      </c>
      <c r="D992">
        <v>0.30499999999999999</v>
      </c>
      <c r="E992">
        <v>0.09</v>
      </c>
      <c r="F992">
        <v>0.32800000000000001</v>
      </c>
      <c r="G992">
        <v>0.16800000000000001</v>
      </c>
      <c r="H992">
        <v>6.1499999999999999E-2</v>
      </c>
      <c r="I992">
        <v>8.2000000000000003E-2</v>
      </c>
      <c r="J992">
        <v>6</v>
      </c>
      <c r="K992">
        <v>6</v>
      </c>
      <c r="L992" t="s">
        <v>46</v>
      </c>
      <c r="M992" t="s">
        <v>47</v>
      </c>
      <c r="N992" t="s">
        <v>48</v>
      </c>
      <c r="O992">
        <v>6</v>
      </c>
      <c r="P992" t="s">
        <v>7</v>
      </c>
      <c r="Q992">
        <v>14.1</v>
      </c>
      <c r="R992" t="str">
        <f t="shared" si="32"/>
        <v>II</v>
      </c>
      <c r="S992">
        <f t="shared" si="33"/>
        <v>0.10998933333333334</v>
      </c>
    </row>
    <row r="993" spans="1:19">
      <c r="A993">
        <v>2840</v>
      </c>
      <c r="B993" t="s">
        <v>76</v>
      </c>
      <c r="C993">
        <v>0.59</v>
      </c>
      <c r="D993">
        <v>0.45500000000000002</v>
      </c>
      <c r="E993">
        <v>0.15</v>
      </c>
      <c r="F993">
        <v>0.97599999999999998</v>
      </c>
      <c r="G993">
        <v>0.46500000000000002</v>
      </c>
      <c r="H993">
        <v>0.20549999999999999</v>
      </c>
      <c r="I993">
        <v>0.27650000000000002</v>
      </c>
      <c r="J993">
        <v>10</v>
      </c>
      <c r="K993">
        <v>10</v>
      </c>
      <c r="L993" t="s">
        <v>37</v>
      </c>
      <c r="M993" t="s">
        <v>38</v>
      </c>
      <c r="N993" t="s">
        <v>39</v>
      </c>
      <c r="O993">
        <v>8</v>
      </c>
      <c r="P993" t="s">
        <v>13</v>
      </c>
      <c r="Q993">
        <v>12.3</v>
      </c>
      <c r="R993" t="str">
        <f t="shared" si="32"/>
        <v>III</v>
      </c>
      <c r="S993">
        <f t="shared" si="33"/>
        <v>0.47091999999999995</v>
      </c>
    </row>
    <row r="994" spans="1:19">
      <c r="A994">
        <v>1915</v>
      </c>
      <c r="B994" t="s">
        <v>76</v>
      </c>
      <c r="C994">
        <v>0.59499999999999997</v>
      </c>
      <c r="D994">
        <v>0.45500000000000002</v>
      </c>
      <c r="E994">
        <v>0.15</v>
      </c>
      <c r="F994">
        <v>0.88600000000000001</v>
      </c>
      <c r="G994">
        <v>0.43149999999999999</v>
      </c>
      <c r="H994">
        <v>0.20100000000000001</v>
      </c>
      <c r="I994">
        <v>0.223</v>
      </c>
      <c r="J994">
        <v>10</v>
      </c>
      <c r="K994">
        <v>4</v>
      </c>
      <c r="L994" t="s">
        <v>40</v>
      </c>
      <c r="M994" t="s">
        <v>41</v>
      </c>
      <c r="N994" t="s">
        <v>42</v>
      </c>
      <c r="O994">
        <v>7</v>
      </c>
      <c r="P994" t="s">
        <v>6</v>
      </c>
      <c r="Q994">
        <v>2.5</v>
      </c>
      <c r="R994" t="str">
        <f t="shared" si="32"/>
        <v>III</v>
      </c>
      <c r="S994">
        <f t="shared" si="33"/>
        <v>0.42823333333333335</v>
      </c>
    </row>
    <row r="995" spans="1:19">
      <c r="A995">
        <v>634</v>
      </c>
      <c r="B995" t="s">
        <v>76</v>
      </c>
      <c r="C995">
        <v>0.47</v>
      </c>
      <c r="D995">
        <v>0.36</v>
      </c>
      <c r="E995">
        <v>0.13</v>
      </c>
      <c r="F995">
        <v>0.52249999999999996</v>
      </c>
      <c r="G995">
        <v>0.19800000000000001</v>
      </c>
      <c r="H995">
        <v>0.1065</v>
      </c>
      <c r="I995">
        <v>0.16500000000000001</v>
      </c>
      <c r="J995">
        <v>9</v>
      </c>
      <c r="K995">
        <v>8</v>
      </c>
      <c r="L995" t="s">
        <v>55</v>
      </c>
      <c r="M995" t="s">
        <v>56</v>
      </c>
      <c r="N995" t="s">
        <v>57</v>
      </c>
      <c r="O995">
        <v>7</v>
      </c>
      <c r="P995" t="s">
        <v>6</v>
      </c>
      <c r="Q995">
        <v>2.5</v>
      </c>
      <c r="R995" t="str">
        <f t="shared" si="32"/>
        <v>II</v>
      </c>
      <c r="S995">
        <f t="shared" si="33"/>
        <v>0.18531333333333333</v>
      </c>
    </row>
    <row r="996" spans="1:19">
      <c r="A996">
        <v>3025</v>
      </c>
      <c r="B996" t="s">
        <v>76</v>
      </c>
      <c r="C996">
        <v>0.47499999999999998</v>
      </c>
      <c r="D996">
        <v>0.375</v>
      </c>
      <c r="E996">
        <v>0.11</v>
      </c>
      <c r="F996">
        <v>0.45600000000000002</v>
      </c>
      <c r="G996">
        <v>0.182</v>
      </c>
      <c r="H996">
        <v>9.9000000000000005E-2</v>
      </c>
      <c r="I996">
        <v>0.16</v>
      </c>
      <c r="J996">
        <v>9</v>
      </c>
      <c r="K996">
        <v>14</v>
      </c>
      <c r="L996" t="s">
        <v>72</v>
      </c>
      <c r="M996" t="s">
        <v>73</v>
      </c>
      <c r="N996" t="s">
        <v>74</v>
      </c>
      <c r="O996">
        <v>5</v>
      </c>
      <c r="P996" t="s">
        <v>12</v>
      </c>
      <c r="Q996">
        <v>12.8</v>
      </c>
      <c r="R996" t="str">
        <f t="shared" si="32"/>
        <v>II</v>
      </c>
      <c r="S996">
        <f t="shared" si="33"/>
        <v>0.16172800000000001</v>
      </c>
    </row>
    <row r="997" spans="1:19">
      <c r="A997">
        <v>773</v>
      </c>
      <c r="B997" t="s">
        <v>76</v>
      </c>
      <c r="C997">
        <v>0.38500000000000001</v>
      </c>
      <c r="D997">
        <v>0.27500000000000002</v>
      </c>
      <c r="E997">
        <v>0.115</v>
      </c>
      <c r="F997">
        <v>0.26850000000000002</v>
      </c>
      <c r="G997">
        <v>9.7500000000000003E-2</v>
      </c>
      <c r="H997">
        <v>8.2500000000000004E-2</v>
      </c>
      <c r="I997">
        <v>8.5000000000000006E-2</v>
      </c>
      <c r="J997">
        <v>8</v>
      </c>
      <c r="K997">
        <v>2</v>
      </c>
      <c r="L997" t="s">
        <v>49</v>
      </c>
      <c r="M997" t="s">
        <v>50</v>
      </c>
      <c r="N997" t="s">
        <v>51</v>
      </c>
      <c r="O997">
        <v>10</v>
      </c>
      <c r="P997" t="s">
        <v>11</v>
      </c>
      <c r="Q997">
        <v>24.1</v>
      </c>
      <c r="R997" t="str">
        <f t="shared" si="32"/>
        <v>II</v>
      </c>
      <c r="S997">
        <f t="shared" si="33"/>
        <v>8.8605000000000017E-2</v>
      </c>
    </row>
    <row r="998" spans="1:19">
      <c r="A998">
        <v>1465</v>
      </c>
      <c r="B998" t="s">
        <v>76</v>
      </c>
      <c r="C998">
        <v>0.505</v>
      </c>
      <c r="D998">
        <v>0.38</v>
      </c>
      <c r="E998">
        <v>0.13500000000000001</v>
      </c>
      <c r="F998">
        <v>0.6855</v>
      </c>
      <c r="G998">
        <v>0.36099999999999999</v>
      </c>
      <c r="H998">
        <v>0.1565</v>
      </c>
      <c r="I998">
        <v>0.161</v>
      </c>
      <c r="J998">
        <v>9</v>
      </c>
      <c r="K998">
        <v>15</v>
      </c>
      <c r="L998" t="s">
        <v>60</v>
      </c>
      <c r="M998" t="s">
        <v>61</v>
      </c>
      <c r="N998" t="s">
        <v>45</v>
      </c>
      <c r="O998">
        <v>3</v>
      </c>
      <c r="P998" t="s">
        <v>10</v>
      </c>
      <c r="Q998">
        <v>3.6</v>
      </c>
      <c r="R998" t="str">
        <f t="shared" si="32"/>
        <v>II</v>
      </c>
      <c r="S998">
        <f t="shared" si="33"/>
        <v>0.248608</v>
      </c>
    </row>
    <row r="999" spans="1:19">
      <c r="A999">
        <v>833</v>
      </c>
      <c r="B999" t="s">
        <v>76</v>
      </c>
      <c r="C999">
        <v>0.44</v>
      </c>
      <c r="D999">
        <v>0.36499999999999999</v>
      </c>
      <c r="E999">
        <v>0.115</v>
      </c>
      <c r="F999">
        <v>0.501</v>
      </c>
      <c r="G999">
        <v>0.24349999999999999</v>
      </c>
      <c r="H999">
        <v>8.4000000000000005E-2</v>
      </c>
      <c r="I999">
        <v>0.14649999999999999</v>
      </c>
      <c r="J999">
        <v>9</v>
      </c>
      <c r="K999">
        <v>12</v>
      </c>
      <c r="L999" t="s">
        <v>58</v>
      </c>
      <c r="M999" t="s">
        <v>59</v>
      </c>
      <c r="N999" t="s">
        <v>45</v>
      </c>
      <c r="O999">
        <v>3</v>
      </c>
      <c r="P999" t="s">
        <v>10</v>
      </c>
      <c r="Q999">
        <v>3.6</v>
      </c>
      <c r="R999" t="str">
        <f t="shared" si="32"/>
        <v>II</v>
      </c>
      <c r="S999">
        <f t="shared" si="33"/>
        <v>0.175016</v>
      </c>
    </row>
    <row r="1000" spans="1:19">
      <c r="A1000">
        <v>4083</v>
      </c>
      <c r="B1000" t="s">
        <v>76</v>
      </c>
      <c r="C1000">
        <v>0.56499999999999995</v>
      </c>
      <c r="D1000">
        <v>0.46500000000000002</v>
      </c>
      <c r="E1000">
        <v>0.15</v>
      </c>
      <c r="F1000">
        <v>1.1815</v>
      </c>
      <c r="G1000">
        <v>0.58099999999999996</v>
      </c>
      <c r="H1000">
        <v>0.2215</v>
      </c>
      <c r="I1000">
        <v>0.3095</v>
      </c>
      <c r="J1000">
        <v>9</v>
      </c>
      <c r="K1000">
        <v>9</v>
      </c>
      <c r="L1000" t="s">
        <v>34</v>
      </c>
      <c r="M1000" t="s">
        <v>35</v>
      </c>
      <c r="N1000" t="s">
        <v>36</v>
      </c>
      <c r="O1000">
        <v>7</v>
      </c>
      <c r="P1000" t="s">
        <v>6</v>
      </c>
      <c r="Q1000">
        <v>2.5</v>
      </c>
      <c r="R1000" t="str">
        <f t="shared" si="32"/>
        <v>I</v>
      </c>
      <c r="S1000">
        <f t="shared" si="33"/>
        <v>0.8506800000000001</v>
      </c>
    </row>
    <row r="1001" spans="1:19">
      <c r="A1001">
        <v>2207</v>
      </c>
      <c r="B1001" t="s">
        <v>76</v>
      </c>
      <c r="C1001">
        <v>0.28999999999999998</v>
      </c>
      <c r="D1001">
        <v>0.22500000000000001</v>
      </c>
      <c r="E1001">
        <v>7.4999999999999997E-2</v>
      </c>
      <c r="F1001">
        <v>0.14000000000000001</v>
      </c>
      <c r="G1001">
        <v>5.1499999999999997E-2</v>
      </c>
      <c r="H1001">
        <v>2.35E-2</v>
      </c>
      <c r="I1001">
        <v>0.04</v>
      </c>
      <c r="J1001">
        <v>5</v>
      </c>
      <c r="K1001">
        <v>3</v>
      </c>
      <c r="L1001" t="s">
        <v>52</v>
      </c>
      <c r="M1001" t="s">
        <v>53</v>
      </c>
      <c r="N1001" t="s">
        <v>54</v>
      </c>
      <c r="O1001">
        <v>5</v>
      </c>
      <c r="P1001" t="s">
        <v>12</v>
      </c>
      <c r="Q1001">
        <v>12.8</v>
      </c>
      <c r="R1001" t="str">
        <f t="shared" si="32"/>
        <v>II</v>
      </c>
      <c r="S1001">
        <f t="shared" si="33"/>
        <v>4.2746666666666662E-2</v>
      </c>
    </row>
    <row r="1002" spans="1:19">
      <c r="B1002" t="s">
        <v>76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8AF3-298E-4B74-8DBC-EF0C65110A30}">
  <dimension ref="A1:E9"/>
  <sheetViews>
    <sheetView topLeftCell="A32" workbookViewId="0">
      <selection activeCell="G38" sqref="G38"/>
    </sheetView>
  </sheetViews>
  <sheetFormatPr defaultRowHeight="15"/>
  <cols>
    <col min="1" max="1" width="15.28515625" style="5" bestFit="1" customWidth="1"/>
    <col min="3" max="3" width="11" bestFit="1" customWidth="1"/>
    <col min="4" max="4" width="11.42578125" bestFit="1" customWidth="1"/>
    <col min="5" max="5" width="11.85546875" bestFit="1" customWidth="1"/>
  </cols>
  <sheetData>
    <row r="1" spans="1:5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</row>
    <row r="2" spans="1:5">
      <c r="A2" s="5" t="s">
        <v>18</v>
      </c>
      <c r="B2">
        <v>0.49030000000000001</v>
      </c>
      <c r="C2">
        <v>1.12E-2</v>
      </c>
      <c r="D2">
        <v>0.11</v>
      </c>
      <c r="E2">
        <v>0.72</v>
      </c>
    </row>
    <row r="3" spans="1:5">
      <c r="A3" s="5" t="s">
        <v>19</v>
      </c>
      <c r="B3">
        <v>0.37930000000000003</v>
      </c>
      <c r="C3">
        <v>7.6E-3</v>
      </c>
      <c r="D3">
        <v>0.09</v>
      </c>
      <c r="E3">
        <v>0.56499999999999995</v>
      </c>
    </row>
    <row r="4" spans="1:5">
      <c r="A4" s="5" t="s">
        <v>20</v>
      </c>
      <c r="B4">
        <v>0.12790000000000001</v>
      </c>
      <c r="C4">
        <v>1.1000000000000001E-3</v>
      </c>
      <c r="D4">
        <v>0</v>
      </c>
      <c r="E4">
        <v>0.23</v>
      </c>
    </row>
    <row r="5" spans="1:5">
      <c r="A5" s="5" t="s">
        <v>21</v>
      </c>
      <c r="B5">
        <v>0.64649999999999996</v>
      </c>
      <c r="C5">
        <v>0.1116</v>
      </c>
      <c r="D5">
        <v>8.0000000000000002E-3</v>
      </c>
      <c r="E5">
        <v>1.2435</v>
      </c>
    </row>
    <row r="6" spans="1:5">
      <c r="A6" s="5" t="s">
        <v>22</v>
      </c>
      <c r="B6">
        <v>0.27839999999999998</v>
      </c>
      <c r="C6">
        <v>2.2700000000000001E-2</v>
      </c>
      <c r="D6">
        <v>2.5000000000000001E-3</v>
      </c>
      <c r="E6">
        <v>0.70699999999999996</v>
      </c>
    </row>
    <row r="7" spans="1:5">
      <c r="A7" s="5" t="s">
        <v>23</v>
      </c>
      <c r="B7">
        <v>0.1426</v>
      </c>
      <c r="C7">
        <v>6.0000000000000001E-3</v>
      </c>
      <c r="D7">
        <v>2E-3</v>
      </c>
      <c r="E7">
        <v>0.4365</v>
      </c>
    </row>
    <row r="8" spans="1:5">
      <c r="A8" s="5" t="s">
        <v>24</v>
      </c>
      <c r="B8">
        <v>0.18890000000000001</v>
      </c>
      <c r="C8">
        <v>9.4999999999999998E-3</v>
      </c>
      <c r="D8">
        <v>3.0000000000000001E-3</v>
      </c>
      <c r="E8">
        <v>0.52500000000000002</v>
      </c>
    </row>
    <row r="9" spans="1:5">
      <c r="A9" s="5" t="s">
        <v>25</v>
      </c>
      <c r="B9">
        <v>9.4369999999999994</v>
      </c>
      <c r="C9">
        <v>9.2012</v>
      </c>
      <c r="D9">
        <v>3</v>
      </c>
      <c r="E9">
        <v>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EF66-E738-47AE-9D14-713CC7F42197}">
  <dimension ref="A1"/>
  <sheetViews>
    <sheetView workbookViewId="0">
      <selection activeCell="L23" sqref="L23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3984-0A76-498D-8CFB-839595BE541B}">
  <dimension ref="A1:P24"/>
  <sheetViews>
    <sheetView workbookViewId="0">
      <selection activeCell="A13" sqref="A13"/>
    </sheetView>
  </sheetViews>
  <sheetFormatPr defaultRowHeight="15"/>
  <cols>
    <col min="1" max="1" width="20.140625" bestFit="1" customWidth="1"/>
    <col min="2" max="2" width="22.7109375" bestFit="1" customWidth="1"/>
    <col min="3" max="3" width="24.7109375" bestFit="1" customWidth="1"/>
    <col min="4" max="4" width="26" bestFit="1" customWidth="1"/>
    <col min="5" max="5" width="15.85546875" customWidth="1"/>
    <col min="6" max="6" width="17.7109375" customWidth="1"/>
    <col min="7" max="7" width="16.5703125" customWidth="1"/>
    <col min="8" max="8" width="14.5703125" customWidth="1"/>
    <col min="10" max="10" width="11.5703125" customWidth="1"/>
    <col min="11" max="11" width="16.42578125" customWidth="1"/>
    <col min="12" max="12" width="15.7109375" customWidth="1"/>
    <col min="13" max="13" width="23.42578125" customWidth="1"/>
    <col min="15" max="15" width="15.140625" customWidth="1"/>
    <col min="16" max="16" width="12" customWidth="1"/>
  </cols>
  <sheetData>
    <row r="1" spans="1:16">
      <c r="A1" t="s">
        <v>95</v>
      </c>
      <c r="B1" s="6" t="s">
        <v>96</v>
      </c>
    </row>
    <row r="2" spans="1:16">
      <c r="A2" t="s">
        <v>97</v>
      </c>
      <c r="B2">
        <v>1319</v>
      </c>
    </row>
    <row r="5" spans="1:16" s="5" customFormat="1">
      <c r="A5" s="5" t="s">
        <v>17</v>
      </c>
      <c r="B5" s="5" t="s">
        <v>18</v>
      </c>
      <c r="C5" s="5" t="s">
        <v>19</v>
      </c>
      <c r="D5" s="5" t="s">
        <v>20</v>
      </c>
      <c r="E5" s="5" t="s">
        <v>78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79</v>
      </c>
      <c r="P5" s="5" t="s">
        <v>32</v>
      </c>
    </row>
    <row r="6" spans="1:16" ht="15.75" customHeight="1">
      <c r="A6" s="11" t="str">
        <f>INDEX('Personal Data'!B:B, MATCH(B2, 'Personal Data'!A:A, 0))</f>
        <v>F</v>
      </c>
      <c r="B6" s="11">
        <f>INDEX('Personal Data'!C:C, MATCH(B2, 'Personal Data'!A:A, 0))</f>
        <v>0.55500000000000005</v>
      </c>
      <c r="C6" s="11">
        <f>INDEX('Personal Data'!D:D, MATCH(B2, 'Personal Data'!A:A, 0))</f>
        <v>0.43</v>
      </c>
      <c r="D6">
        <f>INDEX('Personal Data'!E:E, MATCH(B2, 'Personal Data'!A:A, 0))</f>
        <v>0.14000000000000001</v>
      </c>
      <c r="E6">
        <f>INDEX('Personal Data'!F:F, MATCH(B2, 'Personal Data'!A:A, 0))</f>
        <v>0.76649999999999996</v>
      </c>
      <c r="F6" s="11">
        <f>INDEX('Personal Data'!G:G, MATCH(B2, 'Personal Data'!A:A, 0))</f>
        <v>0.34100000000000003</v>
      </c>
      <c r="G6" s="11">
        <f>INDEX('Personal Data'!H:H, MATCH(B2, 'Personal Data'!A:A, 0))</f>
        <v>0.16500000000000001</v>
      </c>
      <c r="H6">
        <f>INDEX('Personal Data'!I:I, MATCH(B2, 'Personal Data'!A:A, 0))</f>
        <v>0.23</v>
      </c>
      <c r="I6" s="11">
        <f>INDEX('Personal Data'!J:J, MATCH(B2, 'Personal Data'!A:A, 0))</f>
        <v>9</v>
      </c>
      <c r="J6" s="11">
        <f>INDEX('Personal Data'!K:K, MATCH(B2, 'Personal Data'!A:A, 0))</f>
        <v>3</v>
      </c>
      <c r="K6" s="11" t="str">
        <f>INDEX('Personal Data'!L:L, MATCH(B2, 'Personal Data'!A:A, 0))</f>
        <v>Inaya</v>
      </c>
      <c r="L6" t="str">
        <f>INDEX('Personal Data'!M:M, MATCH(B2, 'Personal Data'!A:A, 0))</f>
        <v>Bernard</v>
      </c>
      <c r="M6" s="12" t="str">
        <f>INDEX('Personal Data'!N:N, MATCH(B2, 'Personal Data'!A:A, 0))</f>
        <v>Stanford University</v>
      </c>
      <c r="N6" s="11">
        <f>INDEX('Personal Data'!O:O, MATCH(B2, 'Personal Data'!A:A, 0))</f>
        <v>3</v>
      </c>
      <c r="O6" s="12" t="str">
        <f>INDEX('Personal Data'!P:P, MATCH(B2, 'Personal Data'!A:A, 0))</f>
        <v>Northeast</v>
      </c>
      <c r="P6">
        <f>INDEX('Personal Data'!Q:Q, MATCH(B2, 'Personal Data'!A:A, 0))</f>
        <v>3.6</v>
      </c>
    </row>
    <row r="7" spans="1:16" ht="15" customHeight="1">
      <c r="B7" s="11"/>
      <c r="G7" s="11"/>
      <c r="H7" s="11"/>
      <c r="J7" s="11"/>
      <c r="N7" s="11"/>
    </row>
    <row r="8" spans="1:16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25</v>
      </c>
      <c r="J8" s="8" t="s">
        <v>26</v>
      </c>
      <c r="L8" s="13" t="s">
        <v>98</v>
      </c>
    </row>
    <row r="9" spans="1:16">
      <c r="A9" s="7" t="s">
        <v>33</v>
      </c>
      <c r="B9" s="7">
        <v>0.62</v>
      </c>
      <c r="C9" s="7">
        <v>0.49</v>
      </c>
      <c r="D9" s="7">
        <v>0.17</v>
      </c>
      <c r="E9" s="7">
        <v>1.2104999999999999</v>
      </c>
      <c r="F9" s="7">
        <v>0.51849999999999996</v>
      </c>
      <c r="G9" s="7">
        <v>0.2555</v>
      </c>
      <c r="H9" s="7">
        <v>0.33500000000000002</v>
      </c>
      <c r="I9" s="7">
        <v>13</v>
      </c>
      <c r="J9" s="7">
        <v>8</v>
      </c>
      <c r="L9" cm="1">
        <f t="array" ref="L9">IFERROR(
  MATCH(1,
    ('Personal Data'!B2:B1001 = A9) *
    ('Personal Data'!C2:C1001 = B9) *
    ('Personal Data'!D2:D1001 = C9) *
    ('Personal Data'!E2:E1001 = D9) *
    ('Personal Data'!F2:F1001 = E9) *
    ('Personal Data'!G2:G1001 = F9) *
    ('Personal Data'!H2:H1001 = G9) *
    ('Personal Data'!I2:I1001 = H9) *
    ('Personal Data'!J2:J1001 = I9), 0),
"Not Found")</f>
        <v>8</v>
      </c>
    </row>
    <row r="12" spans="1:16">
      <c r="A12" s="14" t="s">
        <v>0</v>
      </c>
      <c r="B12" t="s">
        <v>99</v>
      </c>
      <c r="C12" t="s">
        <v>100</v>
      </c>
      <c r="D12" t="s">
        <v>101</v>
      </c>
    </row>
    <row r="13" spans="1:16">
      <c r="A13" s="15" t="s">
        <v>4</v>
      </c>
      <c r="B13">
        <v>0.19843137254901952</v>
      </c>
      <c r="C13">
        <v>0.14969117647058824</v>
      </c>
      <c r="D13">
        <v>0.28222549019607851</v>
      </c>
    </row>
    <row r="14" spans="1:16">
      <c r="A14" s="15" t="s">
        <v>5</v>
      </c>
      <c r="B14">
        <v>0.17904787234042557</v>
      </c>
      <c r="C14">
        <v>0.13499468085106381</v>
      </c>
      <c r="D14">
        <v>0.26394148936170198</v>
      </c>
    </row>
    <row r="15" spans="1:16">
      <c r="A15" s="15" t="s">
        <v>6</v>
      </c>
      <c r="B15">
        <v>0.19692934782608704</v>
      </c>
      <c r="C15">
        <v>0.15093478260869572</v>
      </c>
      <c r="D15">
        <v>0.30088586956521751</v>
      </c>
    </row>
    <row r="16" spans="1:16">
      <c r="A16" s="15" t="s">
        <v>7</v>
      </c>
      <c r="B16">
        <v>0.19316216216216223</v>
      </c>
      <c r="C16">
        <v>0.14563063063063061</v>
      </c>
      <c r="D16">
        <v>0.27988738738738755</v>
      </c>
    </row>
    <row r="17" spans="1:4">
      <c r="A17" s="15" t="s">
        <v>8</v>
      </c>
      <c r="B17">
        <v>0.1956279069767442</v>
      </c>
      <c r="C17">
        <v>0.14587790697674424</v>
      </c>
      <c r="D17">
        <v>0.27847093023255814</v>
      </c>
    </row>
    <row r="18" spans="1:4">
      <c r="A18" s="15" t="s">
        <v>9</v>
      </c>
      <c r="B18">
        <v>0.19056499999999998</v>
      </c>
      <c r="C18">
        <v>0.14727999999999999</v>
      </c>
      <c r="D18">
        <v>0.29585499999999992</v>
      </c>
    </row>
    <row r="19" spans="1:4">
      <c r="A19" s="15" t="s">
        <v>10</v>
      </c>
      <c r="B19">
        <v>0.18372222222222234</v>
      </c>
      <c r="C19">
        <v>0.13795959595959598</v>
      </c>
      <c r="D19">
        <v>0.27171717171717169</v>
      </c>
    </row>
    <row r="20" spans="1:4">
      <c r="A20" s="15" t="s">
        <v>11</v>
      </c>
      <c r="B20">
        <v>0.19475252525252526</v>
      </c>
      <c r="C20">
        <v>0.1476717171717172</v>
      </c>
      <c r="D20">
        <v>0.2875808080808081</v>
      </c>
    </row>
    <row r="21" spans="1:4">
      <c r="A21" s="15" t="s">
        <v>12</v>
      </c>
      <c r="B21">
        <v>0.17893697478991605</v>
      </c>
      <c r="C21">
        <v>0.13193697478991598</v>
      </c>
      <c r="D21">
        <v>0.25628991596638634</v>
      </c>
    </row>
    <row r="22" spans="1:4">
      <c r="A22" s="15" t="s">
        <v>13</v>
      </c>
      <c r="B22">
        <v>0.18034183673469381</v>
      </c>
      <c r="C22">
        <v>0.13563265306122452</v>
      </c>
      <c r="D22">
        <v>0.27236224489795924</v>
      </c>
    </row>
    <row r="23" spans="1:4">
      <c r="A23" s="15" t="s">
        <v>14</v>
      </c>
    </row>
    <row r="24" spans="1:4">
      <c r="A24" s="15" t="s">
        <v>15</v>
      </c>
      <c r="B24">
        <v>0.18894549999999999</v>
      </c>
      <c r="C24">
        <v>0.1425525</v>
      </c>
      <c r="D24">
        <v>0.27844099999999988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1AFF-7095-4317-A6CC-D9E46F710C31}">
  <dimension ref="B1:H26"/>
  <sheetViews>
    <sheetView tabSelected="1" workbookViewId="0">
      <selection activeCell="B1" sqref="B1:G11"/>
    </sheetView>
  </sheetViews>
  <sheetFormatPr defaultRowHeight="15"/>
  <cols>
    <col min="2" max="2" width="19.28515625" customWidth="1"/>
    <col min="3" max="3" width="10.5703125" bestFit="1" customWidth="1"/>
    <col min="8" max="8" width="11.28515625" bestFit="1" customWidth="1"/>
  </cols>
  <sheetData>
    <row r="1" spans="2:8"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6" t="s">
        <v>107</v>
      </c>
    </row>
    <row r="2" spans="2:8" ht="30">
      <c r="B2" s="10" t="s">
        <v>4</v>
      </c>
      <c r="C2" s="9">
        <v>7</v>
      </c>
      <c r="D2" s="9">
        <v>7</v>
      </c>
      <c r="E2" s="9">
        <v>4</v>
      </c>
      <c r="F2" s="9">
        <v>4</v>
      </c>
      <c r="G2" s="9">
        <v>8</v>
      </c>
    </row>
    <row r="3" spans="2:8">
      <c r="B3" s="10" t="s">
        <v>5</v>
      </c>
      <c r="C3" s="9">
        <v>4</v>
      </c>
      <c r="D3" s="9">
        <v>3</v>
      </c>
      <c r="E3" s="9">
        <v>2</v>
      </c>
      <c r="F3" s="9">
        <v>8</v>
      </c>
      <c r="G3" s="9">
        <v>10</v>
      </c>
    </row>
    <row r="4" spans="2:8">
      <c r="B4" s="10" t="s">
        <v>10</v>
      </c>
      <c r="C4" s="9">
        <v>4</v>
      </c>
      <c r="D4" s="9">
        <v>6</v>
      </c>
      <c r="E4" s="9">
        <v>10</v>
      </c>
      <c r="F4" s="9">
        <v>5</v>
      </c>
      <c r="G4" s="9">
        <v>4</v>
      </c>
    </row>
    <row r="5" spans="2:8">
      <c r="B5" s="10" t="s">
        <v>8</v>
      </c>
      <c r="C5" s="9">
        <v>7</v>
      </c>
      <c r="D5" s="9">
        <v>4</v>
      </c>
      <c r="E5" s="9">
        <v>7</v>
      </c>
      <c r="F5" s="9">
        <v>6</v>
      </c>
      <c r="G5" s="9">
        <v>8</v>
      </c>
    </row>
    <row r="6" spans="2:8">
      <c r="B6" s="10" t="s">
        <v>12</v>
      </c>
      <c r="C6" s="9">
        <v>8</v>
      </c>
      <c r="D6" s="9">
        <v>5</v>
      </c>
      <c r="E6" s="9">
        <v>3</v>
      </c>
      <c r="F6" s="9">
        <v>9</v>
      </c>
      <c r="G6" s="9">
        <v>8</v>
      </c>
    </row>
    <row r="7" spans="2:8">
      <c r="B7" s="10" t="s">
        <v>89</v>
      </c>
      <c r="C7" s="9">
        <v>3</v>
      </c>
      <c r="D7" s="9">
        <v>7</v>
      </c>
      <c r="E7" s="9">
        <v>2</v>
      </c>
      <c r="F7" s="9">
        <v>4</v>
      </c>
      <c r="G7" s="9">
        <v>6</v>
      </c>
    </row>
    <row r="8" spans="2:8">
      <c r="B8" s="10" t="s">
        <v>6</v>
      </c>
      <c r="C8" s="9">
        <v>9</v>
      </c>
      <c r="D8" s="9">
        <v>4</v>
      </c>
      <c r="E8" s="9">
        <v>9</v>
      </c>
      <c r="F8" s="9">
        <v>3</v>
      </c>
      <c r="G8" s="9">
        <v>4</v>
      </c>
    </row>
    <row r="9" spans="2:8">
      <c r="B9" s="10" t="s">
        <v>13</v>
      </c>
      <c r="C9" s="9">
        <v>6</v>
      </c>
      <c r="D9" s="9">
        <v>3</v>
      </c>
      <c r="E9" s="9">
        <v>2</v>
      </c>
      <c r="F9" s="9">
        <v>2</v>
      </c>
      <c r="G9" s="9">
        <v>5</v>
      </c>
    </row>
    <row r="10" spans="2:8">
      <c r="B10" s="10" t="s">
        <v>9</v>
      </c>
      <c r="C10" s="9">
        <v>8</v>
      </c>
      <c r="D10" s="9">
        <v>3</v>
      </c>
      <c r="E10" s="9">
        <v>2</v>
      </c>
      <c r="F10" s="9">
        <v>3</v>
      </c>
      <c r="G10" s="9">
        <v>9</v>
      </c>
    </row>
    <row r="11" spans="2:8">
      <c r="B11" s="10" t="s">
        <v>11</v>
      </c>
      <c r="C11" s="9">
        <v>4</v>
      </c>
      <c r="D11" s="9">
        <v>7</v>
      </c>
      <c r="E11" s="9">
        <v>5</v>
      </c>
      <c r="F11" s="9">
        <v>7</v>
      </c>
      <c r="G11" s="9">
        <v>10</v>
      </c>
    </row>
    <row r="14" spans="2:8"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6" t="s">
        <v>107</v>
      </c>
      <c r="H14" t="s">
        <v>95</v>
      </c>
    </row>
    <row r="15" spans="2:8" ht="30">
      <c r="B15" s="9" t="s">
        <v>4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>
        <f>SUM(C15:G15)</f>
        <v>1</v>
      </c>
    </row>
    <row r="16" spans="2:8">
      <c r="B16" s="9" t="s">
        <v>5</v>
      </c>
      <c r="C16" s="9">
        <v>0</v>
      </c>
      <c r="D16" s="9">
        <v>1</v>
      </c>
      <c r="E16" s="9">
        <v>0</v>
      </c>
      <c r="F16" s="9">
        <v>0</v>
      </c>
      <c r="G16" s="9">
        <v>0</v>
      </c>
      <c r="H16">
        <f>SUM(C16:G16)</f>
        <v>1</v>
      </c>
    </row>
    <row r="17" spans="2:8">
      <c r="B17" s="9" t="s">
        <v>10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>
        <f>SUM(C17:G17)</f>
        <v>1</v>
      </c>
    </row>
    <row r="18" spans="2:8">
      <c r="B18" s="9" t="s">
        <v>8</v>
      </c>
      <c r="C18" s="9">
        <v>0</v>
      </c>
      <c r="D18" s="9">
        <v>1</v>
      </c>
      <c r="E18" s="9">
        <v>0</v>
      </c>
      <c r="F18" s="9">
        <v>0</v>
      </c>
      <c r="G18" s="9">
        <v>0</v>
      </c>
      <c r="H18">
        <f>SUM(C18:G18)</f>
        <v>1</v>
      </c>
    </row>
    <row r="19" spans="2:8">
      <c r="B19" s="9" t="s">
        <v>12</v>
      </c>
      <c r="C19" s="9">
        <v>0</v>
      </c>
      <c r="D19" s="9">
        <v>0</v>
      </c>
      <c r="E19" s="9">
        <v>1</v>
      </c>
      <c r="F19" s="9">
        <v>0</v>
      </c>
      <c r="G19" s="9">
        <v>0</v>
      </c>
      <c r="H19">
        <f>SUM(C19:G19)</f>
        <v>1</v>
      </c>
    </row>
    <row r="20" spans="2:8">
      <c r="B20" s="9" t="s">
        <v>89</v>
      </c>
      <c r="C20" s="9">
        <v>1</v>
      </c>
      <c r="D20" s="9">
        <v>0</v>
      </c>
      <c r="E20" s="9">
        <v>0</v>
      </c>
      <c r="F20" s="9">
        <v>0</v>
      </c>
      <c r="G20" s="9">
        <v>0</v>
      </c>
      <c r="H20">
        <f>SUM(C20:G20)</f>
        <v>1</v>
      </c>
    </row>
    <row r="21" spans="2:8">
      <c r="B21" s="9" t="s">
        <v>6</v>
      </c>
      <c r="C21" s="9">
        <v>0</v>
      </c>
      <c r="D21" s="9">
        <v>0</v>
      </c>
      <c r="E21" s="9">
        <v>0</v>
      </c>
      <c r="F21" s="9">
        <v>0</v>
      </c>
      <c r="G21" s="9">
        <v>1</v>
      </c>
      <c r="H21">
        <f>SUM(C21:G21)</f>
        <v>1</v>
      </c>
    </row>
    <row r="22" spans="2:8">
      <c r="B22" s="9" t="s">
        <v>13</v>
      </c>
      <c r="C22" s="9">
        <v>0</v>
      </c>
      <c r="D22" s="9">
        <v>0</v>
      </c>
      <c r="E22" s="9">
        <v>0</v>
      </c>
      <c r="F22" s="9">
        <v>1</v>
      </c>
      <c r="G22" s="9">
        <v>0</v>
      </c>
      <c r="H22">
        <f>SUM(C22:G22)</f>
        <v>1</v>
      </c>
    </row>
    <row r="23" spans="2:8">
      <c r="B23" s="9" t="s">
        <v>9</v>
      </c>
      <c r="C23" s="9">
        <v>0</v>
      </c>
      <c r="D23" s="9">
        <v>0</v>
      </c>
      <c r="E23" s="9">
        <v>1</v>
      </c>
      <c r="F23" s="9">
        <v>0</v>
      </c>
      <c r="G23" s="9">
        <v>0</v>
      </c>
      <c r="H23">
        <f>SUM(C23:G23)</f>
        <v>1</v>
      </c>
    </row>
    <row r="24" spans="2:8">
      <c r="B24" s="9" t="s">
        <v>11</v>
      </c>
      <c r="C24" s="9">
        <v>1</v>
      </c>
      <c r="D24" s="9">
        <v>0</v>
      </c>
      <c r="E24" s="9">
        <v>0</v>
      </c>
      <c r="F24" s="9">
        <v>0</v>
      </c>
      <c r="G24" s="9">
        <v>0</v>
      </c>
      <c r="H24">
        <f>SUM(C24:G24)</f>
        <v>1</v>
      </c>
    </row>
    <row r="25" spans="2:8">
      <c r="B25" s="10" t="s">
        <v>108</v>
      </c>
      <c r="C25">
        <f>SUM(C15:C24)</f>
        <v>2</v>
      </c>
      <c r="D25">
        <f>SUM(D15:D24)</f>
        <v>2</v>
      </c>
      <c r="E25">
        <f>SUM(E15:E24)</f>
        <v>2</v>
      </c>
      <c r="F25">
        <f>SUM(F15:F24)</f>
        <v>2</v>
      </c>
      <c r="G25">
        <f>SUM(G15:G24)</f>
        <v>2</v>
      </c>
    </row>
    <row r="26" spans="2:8">
      <c r="B26">
        <f>SUMPRODUCT(C15:G24,C2:G11)</f>
        <v>33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2025-04-11T08:42:22Z</dcterms:created>
  <dcterms:modified xsi:type="dcterms:W3CDTF">2025-04-13T00:04:44Z</dcterms:modified>
  <cp:category/>
  <cp:contentStatus/>
</cp:coreProperties>
</file>